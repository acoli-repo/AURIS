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A4B5CA23-368E-452D-9979-05D158D1697D}"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F216" i="2" l="1"/>
  <c r="E640" i="2"/>
  <c r="G639" i="2"/>
  <c r="E639" i="2"/>
  <c r="I638" i="2"/>
  <c r="E637" i="2"/>
  <c r="G637" i="2" s="1"/>
  <c r="G636" i="2"/>
  <c r="E636" i="2"/>
  <c r="F636" i="2" s="1"/>
  <c r="G635" i="2"/>
  <c r="F635" i="2"/>
  <c r="J635" i="2" s="1"/>
  <c r="H635" i="2" s="1"/>
  <c r="E635" i="2"/>
  <c r="G634" i="2"/>
  <c r="F634" i="2"/>
  <c r="J634" i="2" s="1"/>
  <c r="H634" i="2" s="1"/>
  <c r="E634" i="2"/>
  <c r="F633" i="2"/>
  <c r="E633" i="2"/>
  <c r="E632" i="2"/>
  <c r="F631" i="2"/>
  <c r="F630" i="2"/>
  <c r="I630" i="2" s="1"/>
  <c r="E630" i="2"/>
  <c r="G630" i="2" s="1"/>
  <c r="E629" i="2"/>
  <c r="G629" i="2" s="1"/>
  <c r="G628" i="2"/>
  <c r="E628" i="2"/>
  <c r="F628" i="2" s="1"/>
  <c r="I628" i="2" s="1"/>
  <c r="G627" i="2"/>
  <c r="F627" i="2"/>
  <c r="J627" i="2" s="1"/>
  <c r="H627" i="2" s="1"/>
  <c r="E627" i="2"/>
  <c r="F626" i="2"/>
  <c r="J626" i="2" s="1"/>
  <c r="E623" i="2"/>
  <c r="E622" i="2"/>
  <c r="F620" i="2"/>
  <c r="I620" i="2" s="1"/>
  <c r="E620" i="2"/>
  <c r="G620" i="2" s="1"/>
  <c r="E619" i="2"/>
  <c r="G619" i="2" s="1"/>
  <c r="F618" i="2"/>
  <c r="F617" i="2"/>
  <c r="J617" i="2" s="1"/>
  <c r="H617" i="2" s="1"/>
  <c r="G616" i="2"/>
  <c r="F616" i="2"/>
  <c r="J616" i="2" s="1"/>
  <c r="H616" i="2" s="1"/>
  <c r="E616" i="2"/>
  <c r="E615" i="2"/>
  <c r="E614" i="2"/>
  <c r="G613" i="2"/>
  <c r="F613" i="2"/>
  <c r="J613" i="2" s="1"/>
  <c r="H613" i="2" s="1"/>
  <c r="E613" i="2"/>
  <c r="F612" i="2"/>
  <c r="I612" i="2" s="1"/>
  <c r="E612" i="2"/>
  <c r="G612" i="2" s="1"/>
  <c r="E611" i="2"/>
  <c r="G611" i="2" s="1"/>
  <c r="F610" i="2"/>
  <c r="G609" i="2"/>
  <c r="F609" i="2"/>
  <c r="K609" i="2" s="1"/>
  <c r="G608" i="2"/>
  <c r="F608" i="2"/>
  <c r="E608" i="2"/>
  <c r="F605" i="2"/>
  <c r="E605" i="2"/>
  <c r="E604" i="2"/>
  <c r="G603" i="2"/>
  <c r="F603" i="2"/>
  <c r="K603" i="2" s="1"/>
  <c r="E603" i="2"/>
  <c r="F602" i="2"/>
  <c r="I602" i="2" s="1"/>
  <c r="E601" i="2"/>
  <c r="G601" i="2" s="1"/>
  <c r="G600" i="2"/>
  <c r="E600" i="2"/>
  <c r="F600" i="2" s="1"/>
  <c r="K600" i="2" s="1"/>
  <c r="F599" i="2"/>
  <c r="F598" i="2"/>
  <c r="E597" i="2"/>
  <c r="E596" i="2"/>
  <c r="G595" i="2"/>
  <c r="F595" i="2"/>
  <c r="K595" i="2" s="1"/>
  <c r="E595" i="2"/>
  <c r="F594" i="2"/>
  <c r="E594" i="2"/>
  <c r="G594" i="2" s="1"/>
  <c r="E593" i="2"/>
  <c r="G592" i="2"/>
  <c r="E592" i="2"/>
  <c r="F592" i="2" s="1"/>
  <c r="K592" i="2" s="1"/>
  <c r="F591" i="2"/>
  <c r="J591" i="2" s="1"/>
  <c r="H591" i="2" s="1"/>
  <c r="E590" i="2"/>
  <c r="F589" i="2"/>
  <c r="I589" i="2" s="1"/>
  <c r="E589" i="2"/>
  <c r="G587" i="2"/>
  <c r="F587" i="2"/>
  <c r="K587" i="2" s="1"/>
  <c r="E587" i="2"/>
  <c r="F586" i="2"/>
  <c r="E585" i="2"/>
  <c r="F584" i="2"/>
  <c r="G583" i="2"/>
  <c r="F583" i="2"/>
  <c r="J583" i="2" s="1"/>
  <c r="H583" i="2" s="1"/>
  <c r="E583" i="2"/>
  <c r="E582" i="2"/>
  <c r="F581" i="2"/>
  <c r="I581" i="2" s="1"/>
  <c r="E581" i="2"/>
  <c r="E580" i="2"/>
  <c r="G579" i="2"/>
  <c r="F579" i="2"/>
  <c r="J579" i="2" s="1"/>
  <c r="H579" i="2" s="1"/>
  <c r="E579" i="2"/>
  <c r="F576" i="2"/>
  <c r="E576" i="2"/>
  <c r="G576" i="2" s="1"/>
  <c r="E575" i="2"/>
  <c r="G574" i="2"/>
  <c r="E574" i="2"/>
  <c r="F574" i="2" s="1"/>
  <c r="G573" i="2"/>
  <c r="F573" i="2"/>
  <c r="J573" i="2" s="1"/>
  <c r="H573" i="2" s="1"/>
  <c r="E573" i="2"/>
  <c r="G572" i="2"/>
  <c r="F572" i="2"/>
  <c r="J572" i="2" s="1"/>
  <c r="H572" i="2" s="1"/>
  <c r="E572" i="2"/>
  <c r="E570" i="2"/>
  <c r="G569" i="2"/>
  <c r="F569" i="2"/>
  <c r="K569" i="2" s="1"/>
  <c r="E569" i="2"/>
  <c r="F568" i="2"/>
  <c r="J568" i="2" s="1"/>
  <c r="H568" i="2" s="1"/>
  <c r="E568" i="2"/>
  <c r="G568" i="2" s="1"/>
  <c r="E567" i="2"/>
  <c r="G566" i="2"/>
  <c r="E566" i="2"/>
  <c r="F566" i="2" s="1"/>
  <c r="K566" i="2" s="1"/>
  <c r="G565" i="2"/>
  <c r="E564" i="2"/>
  <c r="F563" i="2"/>
  <c r="I563" i="2" s="1"/>
  <c r="G561" i="2"/>
  <c r="F561" i="2"/>
  <c r="K561" i="2" s="1"/>
  <c r="E561" i="2"/>
  <c r="E560" i="2"/>
  <c r="G558" i="2"/>
  <c r="E558" i="2"/>
  <c r="F558" i="2" s="1"/>
  <c r="K558" i="2" s="1"/>
  <c r="G557" i="2"/>
  <c r="F557" i="2"/>
  <c r="E557" i="2"/>
  <c r="E555" i="2"/>
  <c r="E552" i="2"/>
  <c r="G551" i="2"/>
  <c r="F551" i="2"/>
  <c r="K551" i="2" s="1"/>
  <c r="E551" i="2"/>
  <c r="G548" i="2"/>
  <c r="E548" i="2"/>
  <c r="F548" i="2" s="1"/>
  <c r="K548" i="2" s="1"/>
  <c r="F547" i="2"/>
  <c r="G546" i="2"/>
  <c r="F546" i="2"/>
  <c r="I546" i="2" s="1"/>
  <c r="E546" i="2"/>
  <c r="E545" i="2"/>
  <c r="G544" i="2"/>
  <c r="E544" i="2"/>
  <c r="F543" i="2"/>
  <c r="E542" i="2"/>
  <c r="G542" i="2" s="1"/>
  <c r="E541" i="2"/>
  <c r="G540" i="2"/>
  <c r="E540" i="2"/>
  <c r="F540" i="2" s="1"/>
  <c r="I540" i="2" s="1"/>
  <c r="G539" i="2"/>
  <c r="F539" i="2"/>
  <c r="J539" i="2" s="1"/>
  <c r="H539" i="2" s="1"/>
  <c r="E539" i="2"/>
  <c r="E538" i="2"/>
  <c r="E536" i="2"/>
  <c r="F535" i="2"/>
  <c r="K535" i="2" s="1"/>
  <c r="F534" i="2"/>
  <c r="J534" i="2" s="1"/>
  <c r="H534" i="2" s="1"/>
  <c r="E534" i="2"/>
  <c r="G534" i="2" s="1"/>
  <c r="E533" i="2"/>
  <c r="F532" i="2"/>
  <c r="G531" i="2"/>
  <c r="F531" i="2"/>
  <c r="E531" i="2"/>
  <c r="E530" i="2"/>
  <c r="F529" i="2"/>
  <c r="I529" i="2" s="1"/>
  <c r="E528" i="2"/>
  <c r="G527" i="2"/>
  <c r="F527" i="2"/>
  <c r="J527" i="2" s="1"/>
  <c r="H527" i="2" s="1"/>
  <c r="E527" i="2"/>
  <c r="E526" i="2"/>
  <c r="E525" i="2"/>
  <c r="G522" i="2"/>
  <c r="E522" i="2"/>
  <c r="F522" i="2" s="1"/>
  <c r="K522" i="2" s="1"/>
  <c r="G521" i="2"/>
  <c r="E519" i="2"/>
  <c r="E518" i="2"/>
  <c r="G517" i="2"/>
  <c r="F517" i="2"/>
  <c r="K517" i="2" s="1"/>
  <c r="E517" i="2"/>
  <c r="F516" i="2"/>
  <c r="E515" i="2"/>
  <c r="G514" i="2"/>
  <c r="E514" i="2"/>
  <c r="F513" i="2"/>
  <c r="K513" i="2" s="1"/>
  <c r="E512" i="2"/>
  <c r="E511" i="2"/>
  <c r="G511" i="2" s="1"/>
  <c r="G510" i="2"/>
  <c r="E510" i="2"/>
  <c r="F510" i="2" s="1"/>
  <c r="J510" i="2" s="1"/>
  <c r="H510" i="2" s="1"/>
  <c r="G509" i="2"/>
  <c r="F509" i="2"/>
  <c r="K509" i="2" s="1"/>
  <c r="E509" i="2"/>
  <c r="F508" i="2"/>
  <c r="J508" i="2" s="1"/>
  <c r="E505" i="2"/>
  <c r="E504" i="2"/>
  <c r="G503" i="2"/>
  <c r="F503" i="2"/>
  <c r="K503" i="2" s="1"/>
  <c r="E503" i="2"/>
  <c r="E502" i="2"/>
  <c r="E501" i="2"/>
  <c r="G501" i="2" s="1"/>
  <c r="F500" i="2"/>
  <c r="J500" i="2" s="1"/>
  <c r="G499" i="2"/>
  <c r="F499" i="2"/>
  <c r="K499" i="2" s="1"/>
  <c r="E499" i="2"/>
  <c r="G498" i="2"/>
  <c r="F498" i="2"/>
  <c r="J498" i="2" s="1"/>
  <c r="H498" i="2" s="1"/>
  <c r="E498" i="2"/>
  <c r="F495" i="2"/>
  <c r="E495" i="2"/>
  <c r="E494" i="2"/>
  <c r="G493" i="2"/>
  <c r="F493" i="2"/>
  <c r="K493" i="2" s="1"/>
  <c r="E493" i="2"/>
  <c r="E491" i="2"/>
  <c r="G491" i="2" s="1"/>
  <c r="G490" i="2"/>
  <c r="E490" i="2"/>
  <c r="F490" i="2" s="1"/>
  <c r="J490" i="2" s="1"/>
  <c r="H490" i="2" s="1"/>
  <c r="F489" i="2"/>
  <c r="G488" i="2"/>
  <c r="F488" i="2"/>
  <c r="J488" i="2" s="1"/>
  <c r="H488" i="2" s="1"/>
  <c r="E488" i="2"/>
  <c r="F487" i="2"/>
  <c r="E487" i="2"/>
  <c r="G483" i="2"/>
  <c r="F483" i="2"/>
  <c r="K483" i="2" s="1"/>
  <c r="E483" i="2"/>
  <c r="E481" i="2"/>
  <c r="G481" i="2" s="1"/>
  <c r="G480" i="2"/>
  <c r="E480" i="2"/>
  <c r="F480" i="2" s="1"/>
  <c r="J480" i="2" s="1"/>
  <c r="H480" i="2" s="1"/>
  <c r="F479" i="2"/>
  <c r="J479" i="2" s="1"/>
  <c r="H479" i="2" s="1"/>
  <c r="G478" i="2"/>
  <c r="F478" i="2"/>
  <c r="J478" i="2" s="1"/>
  <c r="H478" i="2" s="1"/>
  <c r="E478" i="2"/>
  <c r="E477" i="2"/>
  <c r="G476" i="2"/>
  <c r="E476" i="2"/>
  <c r="G475" i="2"/>
  <c r="F475" i="2"/>
  <c r="K475" i="2" s="1"/>
  <c r="E475" i="2"/>
  <c r="E474" i="2"/>
  <c r="E473" i="2"/>
  <c r="G473" i="2" s="1"/>
  <c r="F472" i="2"/>
  <c r="G471" i="2"/>
  <c r="F471" i="2"/>
  <c r="K471" i="2" s="1"/>
  <c r="E471" i="2"/>
  <c r="G470" i="2"/>
  <c r="F470" i="2"/>
  <c r="J470" i="2" s="1"/>
  <c r="H470" i="2" s="1"/>
  <c r="E470" i="2"/>
  <c r="E469" i="2"/>
  <c r="G468" i="2"/>
  <c r="E468" i="2"/>
  <c r="G467" i="2"/>
  <c r="K467" i="2"/>
  <c r="E466" i="2"/>
  <c r="E463" i="2"/>
  <c r="G463" i="2" s="1"/>
  <c r="G462" i="2"/>
  <c r="E462" i="2"/>
  <c r="F462" i="2" s="1"/>
  <c r="G461" i="2"/>
  <c r="F461" i="2"/>
  <c r="K461" i="2" s="1"/>
  <c r="E461" i="2"/>
  <c r="G460" i="2"/>
  <c r="F460" i="2"/>
  <c r="J460" i="2" s="1"/>
  <c r="H460" i="2" s="1"/>
  <c r="E460" i="2"/>
  <c r="F459" i="2"/>
  <c r="E459" i="2"/>
  <c r="E458" i="2"/>
  <c r="G457" i="2"/>
  <c r="F457" i="2"/>
  <c r="K457" i="2" s="1"/>
  <c r="E457" i="2"/>
  <c r="E456" i="2"/>
  <c r="E455" i="2"/>
  <c r="G455" i="2" s="1"/>
  <c r="G454" i="2"/>
  <c r="E454" i="2"/>
  <c r="F454" i="2" s="1"/>
  <c r="J454" i="2" s="1"/>
  <c r="H454" i="2" s="1"/>
  <c r="G453" i="2"/>
  <c r="F453" i="2"/>
  <c r="J453" i="2" s="1"/>
  <c r="H453" i="2" s="1"/>
  <c r="E453" i="2"/>
  <c r="G452" i="2"/>
  <c r="F452" i="2"/>
  <c r="E452" i="2"/>
  <c r="F451" i="2"/>
  <c r="E451" i="2"/>
  <c r="G449" i="2"/>
  <c r="F449" i="2"/>
  <c r="K449" i="2" s="1"/>
  <c r="E449" i="2"/>
  <c r="E448" i="2"/>
  <c r="F446" i="2"/>
  <c r="J446" i="2" s="1"/>
  <c r="H446" i="2" s="1"/>
  <c r="G445" i="2"/>
  <c r="F445" i="2"/>
  <c r="K445" i="2" s="1"/>
  <c r="E445" i="2"/>
  <c r="G444" i="2"/>
  <c r="F444" i="2"/>
  <c r="J444" i="2" s="1"/>
  <c r="H444" i="2" s="1"/>
  <c r="E444" i="2"/>
  <c r="E443" i="2"/>
  <c r="G442" i="2"/>
  <c r="E442" i="2"/>
  <c r="G441" i="2"/>
  <c r="F441" i="2"/>
  <c r="K441" i="2" s="1"/>
  <c r="E441" i="2"/>
  <c r="F440" i="2"/>
  <c r="E440" i="2"/>
  <c r="E439" i="2"/>
  <c r="G438" i="2"/>
  <c r="E438" i="2"/>
  <c r="F438" i="2" s="1"/>
  <c r="J438" i="2" s="1"/>
  <c r="H438" i="2" s="1"/>
  <c r="F437" i="2"/>
  <c r="J437" i="2" s="1"/>
  <c r="H437" i="2" s="1"/>
  <c r="F436" i="2"/>
  <c r="J436" i="2" s="1"/>
  <c r="H436" i="2" s="1"/>
  <c r="G435" i="2"/>
  <c r="E435" i="2"/>
  <c r="E434" i="2"/>
  <c r="G433" i="2"/>
  <c r="E432" i="2"/>
  <c r="E431" i="2"/>
  <c r="G430" i="2"/>
  <c r="E430" i="2"/>
  <c r="F430" i="2" s="1"/>
  <c r="F429" i="2"/>
  <c r="J429" i="2" s="1"/>
  <c r="H429" i="2" s="1"/>
  <c r="G428" i="2"/>
  <c r="F428" i="2"/>
  <c r="I428" i="2" s="1"/>
  <c r="E428" i="2"/>
  <c r="G427" i="2"/>
  <c r="E427" i="2"/>
  <c r="E426" i="2"/>
  <c r="G425" i="2"/>
  <c r="E425" i="2"/>
  <c r="E423" i="2"/>
  <c r="F422" i="2"/>
  <c r="G421" i="2"/>
  <c r="F421" i="2"/>
  <c r="K421" i="2" s="1"/>
  <c r="E421" i="2"/>
  <c r="G420" i="2"/>
  <c r="F420" i="2"/>
  <c r="J420" i="2" s="1"/>
  <c r="H420" i="2" s="1"/>
  <c r="E420" i="2"/>
  <c r="G419" i="2"/>
  <c r="E419" i="2"/>
  <c r="E418" i="2"/>
  <c r="F417" i="2"/>
  <c r="F416" i="2"/>
  <c r="I416" i="2" s="1"/>
  <c r="E416" i="2"/>
  <c r="G416" i="2" s="1"/>
  <c r="F414" i="2"/>
  <c r="I414" i="2" s="1"/>
  <c r="G413" i="2"/>
  <c r="F413" i="2"/>
  <c r="K413" i="2" s="1"/>
  <c r="E413" i="2"/>
  <c r="G411" i="2"/>
  <c r="F411" i="2"/>
  <c r="E411" i="2"/>
  <c r="E409" i="2"/>
  <c r="E408" i="2"/>
  <c r="F407" i="2"/>
  <c r="E407" i="2"/>
  <c r="F406" i="2"/>
  <c r="J406" i="2" s="1"/>
  <c r="H406" i="2" s="1"/>
  <c r="E406" i="2"/>
  <c r="G406" i="2" s="1"/>
  <c r="E405" i="2"/>
  <c r="G404" i="2"/>
  <c r="E404" i="2"/>
  <c r="F404" i="2" s="1"/>
  <c r="G403" i="2"/>
  <c r="F403" i="2"/>
  <c r="K403" i="2" s="1"/>
  <c r="E403" i="2"/>
  <c r="G402" i="2"/>
  <c r="F402" i="2"/>
  <c r="J402" i="2" s="1"/>
  <c r="H402" i="2" s="1"/>
  <c r="E402" i="2"/>
  <c r="E400" i="2"/>
  <c r="G399" i="2"/>
  <c r="F399" i="2"/>
  <c r="K399" i="2" s="1"/>
  <c r="E399" i="2"/>
  <c r="F398" i="2"/>
  <c r="I398" i="2" s="1"/>
  <c r="E398" i="2"/>
  <c r="G398" i="2" s="1"/>
  <c r="E397" i="2"/>
  <c r="G396" i="2"/>
  <c r="E396" i="2"/>
  <c r="F396" i="2" s="1"/>
  <c r="I396" i="2" s="1"/>
  <c r="G395" i="2"/>
  <c r="F395" i="2"/>
  <c r="K395" i="2" s="1"/>
  <c r="E395" i="2"/>
  <c r="G394" i="2"/>
  <c r="F394" i="2"/>
  <c r="E394" i="2"/>
  <c r="E393" i="2"/>
  <c r="E392" i="2"/>
  <c r="F391" i="2"/>
  <c r="E391" i="2"/>
  <c r="F390" i="2"/>
  <c r="J390" i="2" s="1"/>
  <c r="H390" i="2" s="1"/>
  <c r="E390" i="2"/>
  <c r="G390" i="2" s="1"/>
  <c r="E389" i="2"/>
  <c r="G388" i="2"/>
  <c r="E388" i="2"/>
  <c r="F388" i="2" s="1"/>
  <c r="K388" i="2" s="1"/>
  <c r="F387" i="2"/>
  <c r="G386" i="2"/>
  <c r="F386" i="2"/>
  <c r="J386" i="2" s="1"/>
  <c r="H386" i="2" s="1"/>
  <c r="E386" i="2"/>
  <c r="E385" i="2"/>
  <c r="E384" i="2"/>
  <c r="F383" i="2"/>
  <c r="K383" i="2" s="1"/>
  <c r="F382" i="2"/>
  <c r="E382" i="2"/>
  <c r="G382" i="2" s="1"/>
  <c r="E381" i="2"/>
  <c r="G380" i="2"/>
  <c r="E380" i="2"/>
  <c r="F380" i="2" s="1"/>
  <c r="I380" i="2" s="1"/>
  <c r="G377" i="2"/>
  <c r="F377" i="2"/>
  <c r="I377" i="2" s="1"/>
  <c r="E377" i="2"/>
  <c r="G376" i="2"/>
  <c r="F376" i="2"/>
  <c r="E376" i="2"/>
  <c r="E375" i="2"/>
  <c r="F370" i="2"/>
  <c r="J370" i="2" s="1"/>
  <c r="H370" i="2" s="1"/>
  <c r="E370" i="2"/>
  <c r="G370" i="2" s="1"/>
  <c r="E369" i="2"/>
  <c r="G368" i="2"/>
  <c r="E368" i="2"/>
  <c r="F368" i="2" s="1"/>
  <c r="K368" i="2" s="1"/>
  <c r="G367" i="2"/>
  <c r="F367" i="2"/>
  <c r="K367" i="2" s="1"/>
  <c r="E367" i="2"/>
  <c r="G366" i="2"/>
  <c r="F366" i="2"/>
  <c r="J366" i="2" s="1"/>
  <c r="H366" i="2" s="1"/>
  <c r="E366" i="2"/>
  <c r="E364" i="2"/>
  <c r="G363" i="2"/>
  <c r="F363" i="2"/>
  <c r="K363" i="2" s="1"/>
  <c r="E363" i="2"/>
  <c r="F362" i="2"/>
  <c r="I362" i="2" s="1"/>
  <c r="E362" i="2"/>
  <c r="G362" i="2" s="1"/>
  <c r="G358" i="2"/>
  <c r="E358" i="2"/>
  <c r="F358" i="2" s="1"/>
  <c r="I358" i="2" s="1"/>
  <c r="F357" i="2"/>
  <c r="I357" i="2" s="1"/>
  <c r="G356" i="2"/>
  <c r="F356" i="2"/>
  <c r="E356" i="2"/>
  <c r="E355" i="2"/>
  <c r="E354" i="2"/>
  <c r="F353" i="2"/>
  <c r="E353" i="2"/>
  <c r="G353" i="2" s="1"/>
  <c r="F352" i="2"/>
  <c r="E352" i="2"/>
  <c r="G352" i="2" s="1"/>
  <c r="E351" i="2"/>
  <c r="G350" i="2"/>
  <c r="E350" i="2"/>
  <c r="F350" i="2" s="1"/>
  <c r="G349" i="2"/>
  <c r="F349" i="2"/>
  <c r="K349" i="2" s="1"/>
  <c r="E349" i="2"/>
  <c r="G348" i="2"/>
  <c r="F348" i="2"/>
  <c r="J348" i="2" s="1"/>
  <c r="H348" i="2" s="1"/>
  <c r="E348" i="2"/>
  <c r="G347" i="2"/>
  <c r="E347" i="2"/>
  <c r="F346" i="2"/>
  <c r="K346" i="2" s="1"/>
  <c r="E346" i="2"/>
  <c r="G345" i="2"/>
  <c r="F345" i="2"/>
  <c r="K345" i="2" s="1"/>
  <c r="E345" i="2"/>
  <c r="F344" i="2"/>
  <c r="J344" i="2" s="1"/>
  <c r="H344" i="2" s="1"/>
  <c r="E344" i="2"/>
  <c r="G344" i="2" s="1"/>
  <c r="E343" i="2"/>
  <c r="G342" i="2"/>
  <c r="E342" i="2"/>
  <c r="F342" i="2" s="1"/>
  <c r="I342" i="2" s="1"/>
  <c r="G341" i="2"/>
  <c r="K341" i="2"/>
  <c r="G340" i="2"/>
  <c r="F340" i="2"/>
  <c r="E340" i="2"/>
  <c r="G339" i="2"/>
  <c r="E339" i="2"/>
  <c r="F338" i="2"/>
  <c r="F337" i="2"/>
  <c r="K337" i="2" s="1"/>
  <c r="E337" i="2"/>
  <c r="G337" i="2" s="1"/>
  <c r="F336" i="2"/>
  <c r="E336" i="2"/>
  <c r="E335" i="2"/>
  <c r="G332" i="2"/>
  <c r="E332" i="2"/>
  <c r="F332" i="2" s="1"/>
  <c r="K332" i="2" s="1"/>
  <c r="G331" i="2"/>
  <c r="F331" i="2"/>
  <c r="E331" i="2"/>
  <c r="G330" i="2"/>
  <c r="E330" i="2"/>
  <c r="E329" i="2"/>
  <c r="F328" i="2"/>
  <c r="E328" i="2"/>
  <c r="F327" i="2"/>
  <c r="F326" i="2"/>
  <c r="J326" i="2" s="1"/>
  <c r="H326" i="2" s="1"/>
  <c r="E326" i="2"/>
  <c r="G326" i="2" s="1"/>
  <c r="E325" i="2"/>
  <c r="E324" i="2"/>
  <c r="J323" i="2"/>
  <c r="H323" i="2" s="1"/>
  <c r="G322" i="2"/>
  <c r="E322" i="2"/>
  <c r="F322" i="2" s="1"/>
  <c r="I322" i="2" s="1"/>
  <c r="F321" i="2"/>
  <c r="I321" i="2" s="1"/>
  <c r="E321" i="2"/>
  <c r="G321" i="2" s="1"/>
  <c r="G320" i="2"/>
  <c r="E320" i="2"/>
  <c r="E319" i="2"/>
  <c r="G318" i="2"/>
  <c r="E318" i="2"/>
  <c r="F318" i="2" s="1"/>
  <c r="J318" i="2" s="1"/>
  <c r="H318" i="2" s="1"/>
  <c r="G316" i="2"/>
  <c r="F316" i="2"/>
  <c r="E316" i="2"/>
  <c r="E315" i="2"/>
  <c r="G314" i="2"/>
  <c r="F314" i="2"/>
  <c r="J314" i="2" s="1"/>
  <c r="H314" i="2" s="1"/>
  <c r="E314" i="2"/>
  <c r="E313" i="2"/>
  <c r="F312" i="2"/>
  <c r="J312" i="2" s="1"/>
  <c r="H312" i="2" s="1"/>
  <c r="G311" i="2"/>
  <c r="E311" i="2"/>
  <c r="F311" i="2" s="1"/>
  <c r="F310" i="2"/>
  <c r="J310" i="2" s="1"/>
  <c r="H310" i="2" s="1"/>
  <c r="E310" i="2"/>
  <c r="G310" i="2" s="1"/>
  <c r="G309" i="2"/>
  <c r="E309" i="2"/>
  <c r="G308" i="2"/>
  <c r="F308" i="2"/>
  <c r="E308" i="2"/>
  <c r="G307" i="2"/>
  <c r="E307" i="2"/>
  <c r="G304" i="2"/>
  <c r="F304" i="2"/>
  <c r="J304" i="2" s="1"/>
  <c r="H304" i="2" s="1"/>
  <c r="E304" i="2"/>
  <c r="F302" i="2"/>
  <c r="J302" i="2" s="1"/>
  <c r="H302" i="2" s="1"/>
  <c r="E302" i="2"/>
  <c r="G302" i="2" s="1"/>
  <c r="G301" i="2"/>
  <c r="K301" i="2"/>
  <c r="F300" i="2"/>
  <c r="E300" i="2"/>
  <c r="G300" i="2" s="1"/>
  <c r="G299" i="2"/>
  <c r="E299" i="2"/>
  <c r="G298" i="2"/>
  <c r="F298" i="2"/>
  <c r="E298" i="2"/>
  <c r="G296" i="2"/>
  <c r="F296" i="2"/>
  <c r="J296" i="2" s="1"/>
  <c r="H296" i="2" s="1"/>
  <c r="E296" i="2"/>
  <c r="E295" i="2"/>
  <c r="F294" i="2"/>
  <c r="J294" i="2" s="1"/>
  <c r="H294" i="2" s="1"/>
  <c r="E294" i="2"/>
  <c r="G294" i="2" s="1"/>
  <c r="G291" i="2"/>
  <c r="E291" i="2"/>
  <c r="F291" i="2" s="1"/>
  <c r="K291" i="2" s="1"/>
  <c r="J290" i="2"/>
  <c r="H290" i="2" s="1"/>
  <c r="G290" i="2"/>
  <c r="G289" i="2"/>
  <c r="E289" i="2"/>
  <c r="G288" i="2"/>
  <c r="F288" i="2"/>
  <c r="E288" i="2"/>
  <c r="G286" i="2"/>
  <c r="F286" i="2"/>
  <c r="J286" i="2" s="1"/>
  <c r="H286" i="2" s="1"/>
  <c r="E286" i="2"/>
  <c r="E285" i="2"/>
  <c r="F284" i="2"/>
  <c r="J284" i="2" s="1"/>
  <c r="H284" i="2" s="1"/>
  <c r="E284" i="2"/>
  <c r="G284" i="2" s="1"/>
  <c r="F283" i="2"/>
  <c r="F282" i="2"/>
  <c r="J282" i="2" s="1"/>
  <c r="H282" i="2" s="1"/>
  <c r="E282" i="2"/>
  <c r="G282" i="2" s="1"/>
  <c r="G281" i="2"/>
  <c r="E281" i="2"/>
  <c r="G280" i="2"/>
  <c r="F280" i="2"/>
  <c r="J280" i="2" s="1"/>
  <c r="H280" i="2" s="1"/>
  <c r="E280" i="2"/>
  <c r="E279" i="2"/>
  <c r="F278" i="2"/>
  <c r="J278" i="2" s="1"/>
  <c r="H278" i="2" s="1"/>
  <c r="F276" i="2"/>
  <c r="J276" i="2" s="1"/>
  <c r="H276" i="2" s="1"/>
  <c r="E276" i="2"/>
  <c r="G276" i="2" s="1"/>
  <c r="E275" i="2"/>
  <c r="F274" i="2"/>
  <c r="J274" i="2" s="1"/>
  <c r="H274" i="2" s="1"/>
  <c r="E274" i="2"/>
  <c r="G274" i="2" s="1"/>
  <c r="G273" i="2"/>
  <c r="E273" i="2"/>
  <c r="G272" i="2"/>
  <c r="F272" i="2"/>
  <c r="J272" i="2" s="1"/>
  <c r="H272" i="2" s="1"/>
  <c r="E272" i="2"/>
  <c r="G271" i="2"/>
  <c r="E271" i="2"/>
  <c r="G270" i="2"/>
  <c r="F270" i="2"/>
  <c r="J270" i="2" s="1"/>
  <c r="H270" i="2" s="1"/>
  <c r="E270" i="2"/>
  <c r="F266" i="2"/>
  <c r="J266" i="2" s="1"/>
  <c r="H266" i="2" s="1"/>
  <c r="E266" i="2"/>
  <c r="G266" i="2" s="1"/>
  <c r="G265" i="2"/>
  <c r="E265" i="2"/>
  <c r="G264" i="2"/>
  <c r="F264" i="2"/>
  <c r="E264" i="2"/>
  <c r="F262" i="2"/>
  <c r="I262" i="2" s="1"/>
  <c r="E262" i="2"/>
  <c r="G260" i="2"/>
  <c r="F260" i="2"/>
  <c r="J260" i="2" s="1"/>
  <c r="H260" i="2" s="1"/>
  <c r="G257" i="2"/>
  <c r="F257" i="2"/>
  <c r="K257" i="2" s="1"/>
  <c r="E257" i="2"/>
  <c r="F256" i="2"/>
  <c r="J256" i="2" s="1"/>
  <c r="H256" i="2" s="1"/>
  <c r="G255" i="2"/>
  <c r="E255" i="2"/>
  <c r="G254" i="2"/>
  <c r="F254" i="2"/>
  <c r="I254" i="2" s="1"/>
  <c r="E254" i="2"/>
  <c r="G253" i="2"/>
  <c r="E253" i="2"/>
  <c r="F253" i="2" s="1"/>
  <c r="I253" i="2" s="1"/>
  <c r="F250" i="2"/>
  <c r="I250" i="2" s="1"/>
  <c r="E250" i="2"/>
  <c r="G249" i="2"/>
  <c r="E249" i="2"/>
  <c r="G248" i="2"/>
  <c r="F248" i="2"/>
  <c r="E248" i="2"/>
  <c r="F247" i="2"/>
  <c r="K247" i="2" s="1"/>
  <c r="E247" i="2"/>
  <c r="F246" i="2"/>
  <c r="E246" i="2"/>
  <c r="G245" i="2"/>
  <c r="E245" i="2"/>
  <c r="F244" i="2"/>
  <c r="I244" i="2" s="1"/>
  <c r="G243" i="2"/>
  <c r="E243" i="2"/>
  <c r="F242" i="2"/>
  <c r="J242" i="2" s="1"/>
  <c r="H242" i="2" s="1"/>
  <c r="E241" i="2"/>
  <c r="F240" i="2"/>
  <c r="E238" i="2"/>
  <c r="E237" i="2"/>
  <c r="F236" i="2"/>
  <c r="I236" i="2" s="1"/>
  <c r="F234" i="2"/>
  <c r="J234" i="2" s="1"/>
  <c r="H234" i="2" s="1"/>
  <c r="G233" i="2"/>
  <c r="E233" i="2"/>
  <c r="G232" i="2"/>
  <c r="F232" i="2"/>
  <c r="K232" i="2" s="1"/>
  <c r="E232" i="2"/>
  <c r="G231" i="2"/>
  <c r="F231" i="2"/>
  <c r="K231" i="2" s="1"/>
  <c r="E231" i="2"/>
  <c r="E229" i="2"/>
  <c r="G228" i="2"/>
  <c r="F228" i="2"/>
  <c r="I228" i="2" s="1"/>
  <c r="E228" i="2"/>
  <c r="E227" i="2"/>
  <c r="F227" i="2" s="1"/>
  <c r="F226" i="2"/>
  <c r="J226" i="2" s="1"/>
  <c r="H226" i="2" s="1"/>
  <c r="G225" i="2"/>
  <c r="E225" i="2"/>
  <c r="G224" i="2"/>
  <c r="F224" i="2"/>
  <c r="E224" i="2"/>
  <c r="G223" i="2"/>
  <c r="F223" i="2"/>
  <c r="J223" i="2" s="1"/>
  <c r="H223" i="2" s="1"/>
  <c r="E223" i="2"/>
  <c r="F222" i="2"/>
  <c r="J222" i="2" s="1"/>
  <c r="H222" i="2" s="1"/>
  <c r="E219" i="2"/>
  <c r="G218" i="2"/>
  <c r="F218" i="2"/>
  <c r="I218" i="2" s="1"/>
  <c r="E218" i="2"/>
  <c r="E217" i="2"/>
  <c r="J214" i="2"/>
  <c r="H214" i="2" s="1"/>
  <c r="G213" i="2"/>
  <c r="F213" i="2"/>
  <c r="I213" i="2" s="1"/>
  <c r="E213" i="2"/>
  <c r="E212" i="2"/>
  <c r="E211" i="2"/>
  <c r="G210" i="2"/>
  <c r="F210" i="2"/>
  <c r="K210" i="2" s="1"/>
  <c r="E210" i="2"/>
  <c r="G209" i="2"/>
  <c r="F209" i="2"/>
  <c r="K209" i="2" s="1"/>
  <c r="E209" i="2"/>
  <c r="E208" i="2"/>
  <c r="G207" i="2"/>
  <c r="F207" i="2"/>
  <c r="K207" i="2" s="1"/>
  <c r="E207" i="2"/>
  <c r="E206" i="2"/>
  <c r="F205" i="2"/>
  <c r="I205" i="2" s="1"/>
  <c r="G203" i="2"/>
  <c r="E203" i="2"/>
  <c r="F203" i="2" s="1"/>
  <c r="J203" i="2" s="1"/>
  <c r="H203" i="2" s="1"/>
  <c r="F202" i="2"/>
  <c r="I202" i="2" s="1"/>
  <c r="E202" i="2"/>
  <c r="G202" i="2" s="1"/>
  <c r="G200" i="2"/>
  <c r="F200" i="2"/>
  <c r="K200" i="2" s="1"/>
  <c r="E200" i="2"/>
  <c r="F199" i="2"/>
  <c r="K199" i="2" s="1"/>
  <c r="G198" i="2"/>
  <c r="F198" i="2"/>
  <c r="J198" i="2" s="1"/>
  <c r="H198" i="2" s="1"/>
  <c r="E198" i="2"/>
  <c r="F197" i="2"/>
  <c r="E197" i="2"/>
  <c r="G195" i="2"/>
  <c r="F195" i="2"/>
  <c r="K195" i="2" s="1"/>
  <c r="E195" i="2"/>
  <c r="F194" i="2"/>
  <c r="I194" i="2" s="1"/>
  <c r="E194" i="2"/>
  <c r="G194" i="2" s="1"/>
  <c r="E193" i="2"/>
  <c r="F192" i="2"/>
  <c r="G189" i="2"/>
  <c r="F189" i="2"/>
  <c r="K189" i="2" s="1"/>
  <c r="E189" i="2"/>
  <c r="G188" i="2"/>
  <c r="F188" i="2"/>
  <c r="J188" i="2" s="1"/>
  <c r="H188" i="2" s="1"/>
  <c r="E188" i="2"/>
  <c r="G185" i="2"/>
  <c r="F185" i="2"/>
  <c r="I185" i="2" s="1"/>
  <c r="E185" i="2"/>
  <c r="F184" i="2"/>
  <c r="I184" i="2" s="1"/>
  <c r="E184" i="2"/>
  <c r="G184" i="2" s="1"/>
  <c r="E183" i="2"/>
  <c r="F182" i="2"/>
  <c r="G181" i="2"/>
  <c r="F181" i="2"/>
  <c r="K181" i="2" s="1"/>
  <c r="E181" i="2"/>
  <c r="F180" i="2"/>
  <c r="J180" i="2" s="1"/>
  <c r="H180" i="2" s="1"/>
  <c r="E179" i="2"/>
  <c r="F177" i="2"/>
  <c r="I177" i="2" s="1"/>
  <c r="F176" i="2"/>
  <c r="I176" i="2" s="1"/>
  <c r="E176" i="2"/>
  <c r="G176" i="2" s="1"/>
  <c r="E174" i="2"/>
  <c r="G172" i="2"/>
  <c r="F172" i="2"/>
  <c r="K172" i="2" s="1"/>
  <c r="E172" i="2"/>
  <c r="G171" i="2"/>
  <c r="F171" i="2"/>
  <c r="K171" i="2" s="1"/>
  <c r="E171" i="2"/>
  <c r="F170" i="2"/>
  <c r="J170" i="2" s="1"/>
  <c r="H170" i="2" s="1"/>
  <c r="E169" i="2"/>
  <c r="E168" i="2"/>
  <c r="G167" i="2"/>
  <c r="F167" i="2"/>
  <c r="I167" i="2" s="1"/>
  <c r="E167" i="2"/>
  <c r="F166" i="2"/>
  <c r="K166" i="2" s="1"/>
  <c r="E166" i="2"/>
  <c r="G166" i="2" s="1"/>
  <c r="E165" i="2"/>
  <c r="F164" i="2"/>
  <c r="G163" i="2"/>
  <c r="E163" i="2"/>
  <c r="E162" i="2"/>
  <c r="F162" i="2" s="1"/>
  <c r="E161" i="2"/>
  <c r="G159" i="2"/>
  <c r="F159" i="2"/>
  <c r="K159" i="2" s="1"/>
  <c r="E159" i="2"/>
  <c r="F158" i="2"/>
  <c r="K158" i="2" s="1"/>
  <c r="E158" i="2"/>
  <c r="G158" i="2" s="1"/>
  <c r="G157" i="2"/>
  <c r="G156" i="2"/>
  <c r="F156" i="2"/>
  <c r="I156" i="2" s="1"/>
  <c r="E156" i="2"/>
  <c r="F155" i="2"/>
  <c r="F154" i="2"/>
  <c r="J154" i="2" s="1"/>
  <c r="H154" i="2" s="1"/>
  <c r="E154" i="2"/>
  <c r="F153" i="2"/>
  <c r="K153" i="2" s="1"/>
  <c r="E152" i="2"/>
  <c r="G151" i="2"/>
  <c r="F151" i="2"/>
  <c r="K151" i="2" s="1"/>
  <c r="E151" i="2"/>
  <c r="F148" i="2"/>
  <c r="K148" i="2" s="1"/>
  <c r="E148" i="2"/>
  <c r="G148" i="2" s="1"/>
  <c r="G146" i="2"/>
  <c r="F146" i="2"/>
  <c r="I146" i="2" s="1"/>
  <c r="E146" i="2"/>
  <c r="F145" i="2"/>
  <c r="G144" i="2"/>
  <c r="E144" i="2"/>
  <c r="F143" i="2"/>
  <c r="I143" i="2" s="1"/>
  <c r="E143" i="2"/>
  <c r="E142" i="2"/>
  <c r="G141" i="2"/>
  <c r="F141" i="2"/>
  <c r="K141" i="2" s="1"/>
  <c r="E141" i="2"/>
  <c r="F140" i="2"/>
  <c r="E140" i="2"/>
  <c r="G140" i="2" s="1"/>
  <c r="G139" i="2"/>
  <c r="G138" i="2"/>
  <c r="F138" i="2"/>
  <c r="I138" i="2" s="1"/>
  <c r="E138" i="2"/>
  <c r="E137" i="2"/>
  <c r="G136" i="2"/>
  <c r="F136" i="2"/>
  <c r="J136" i="2" s="1"/>
  <c r="H136" i="2" s="1"/>
  <c r="E136" i="2"/>
  <c r="E135" i="2"/>
  <c r="F135" i="2" s="1"/>
  <c r="G133" i="2"/>
  <c r="F133" i="2"/>
  <c r="K133" i="2" s="1"/>
  <c r="E133" i="2"/>
  <c r="F132" i="2"/>
  <c r="E132" i="2"/>
  <c r="G132" i="2" s="1"/>
  <c r="E131" i="2"/>
  <c r="G130" i="2"/>
  <c r="F130" i="2"/>
  <c r="I130" i="2" s="1"/>
  <c r="E130" i="2"/>
  <c r="E129" i="2"/>
  <c r="G125" i="2"/>
  <c r="F125" i="2"/>
  <c r="K125" i="2" s="1"/>
  <c r="E125" i="2"/>
  <c r="F124" i="2"/>
  <c r="I124" i="2" s="1"/>
  <c r="E124" i="2"/>
  <c r="G124" i="2" s="1"/>
  <c r="G123" i="2"/>
  <c r="E123" i="2"/>
  <c r="F122" i="2"/>
  <c r="K121" i="2"/>
  <c r="G120" i="2"/>
  <c r="F120" i="2"/>
  <c r="J120" i="2" s="1"/>
  <c r="H120" i="2" s="1"/>
  <c r="E120" i="2"/>
  <c r="F119" i="2"/>
  <c r="K119" i="2" s="1"/>
  <c r="E119" i="2"/>
  <c r="E118" i="2"/>
  <c r="G117" i="2"/>
  <c r="F117" i="2"/>
  <c r="K117" i="2" s="1"/>
  <c r="E117" i="2"/>
  <c r="F114" i="2"/>
  <c r="K114" i="2" s="1"/>
  <c r="E114" i="2"/>
  <c r="G114" i="2" s="1"/>
  <c r="E113" i="2"/>
  <c r="G112" i="2"/>
  <c r="F112" i="2"/>
  <c r="E112" i="2"/>
  <c r="G111" i="2"/>
  <c r="E111" i="2"/>
  <c r="G110" i="2"/>
  <c r="F110" i="2"/>
  <c r="E110" i="2"/>
  <c r="E109" i="2"/>
  <c r="E108" i="2"/>
  <c r="F107" i="2"/>
  <c r="F104" i="2"/>
  <c r="K104" i="2" s="1"/>
  <c r="E104" i="2"/>
  <c r="G104" i="2" s="1"/>
  <c r="G102" i="2"/>
  <c r="F102" i="2"/>
  <c r="I102" i="2" s="1"/>
  <c r="F101" i="2"/>
  <c r="F100" i="2"/>
  <c r="E100" i="2"/>
  <c r="F99" i="2"/>
  <c r="I99" i="2" s="1"/>
  <c r="E99" i="2"/>
  <c r="E98" i="2"/>
  <c r="G97" i="2"/>
  <c r="F97" i="2"/>
  <c r="J97" i="2" s="1"/>
  <c r="H97" i="2" s="1"/>
  <c r="E97" i="2"/>
  <c r="F96" i="2"/>
  <c r="K96" i="2" s="1"/>
  <c r="E96" i="2"/>
  <c r="G96" i="2" s="1"/>
  <c r="G94" i="2"/>
  <c r="F94" i="2"/>
  <c r="I94" i="2" s="1"/>
  <c r="E94" i="2"/>
  <c r="G93" i="2"/>
  <c r="E93" i="2"/>
  <c r="E91" i="2"/>
  <c r="E90" i="2"/>
  <c r="F89" i="2"/>
  <c r="K89" i="2" s="1"/>
  <c r="F86" i="2"/>
  <c r="K86" i="2" s="1"/>
  <c r="E86" i="2"/>
  <c r="G86" i="2" s="1"/>
  <c r="E85" i="2"/>
  <c r="G84" i="2"/>
  <c r="F84" i="2"/>
  <c r="I84" i="2" s="1"/>
  <c r="E84" i="2"/>
  <c r="G83" i="2"/>
  <c r="F83" i="2"/>
  <c r="E83" i="2"/>
  <c r="F82" i="2"/>
  <c r="J82" i="2" s="1"/>
  <c r="H82" i="2" s="1"/>
  <c r="F81" i="2"/>
  <c r="I81" i="2" s="1"/>
  <c r="E81" i="2"/>
  <c r="E80" i="2"/>
  <c r="F79" i="2"/>
  <c r="K79" i="2" s="1"/>
  <c r="F78" i="2"/>
  <c r="E78" i="2"/>
  <c r="G78" i="2" s="1"/>
  <c r="F76" i="2"/>
  <c r="J76" i="2" s="1"/>
  <c r="H76" i="2" s="1"/>
  <c r="G75" i="2"/>
  <c r="E75" i="2"/>
  <c r="F74" i="2"/>
  <c r="G72" i="2"/>
  <c r="E72" i="2"/>
  <c r="G71" i="2"/>
  <c r="F71" i="2"/>
  <c r="E71" i="2"/>
  <c r="F70" i="2"/>
  <c r="K70" i="2" s="1"/>
  <c r="E70" i="2"/>
  <c r="G70" i="2" s="1"/>
  <c r="E69" i="2"/>
  <c r="G68" i="2"/>
  <c r="F68" i="2"/>
  <c r="E68" i="2"/>
  <c r="E67" i="2"/>
  <c r="F66" i="2"/>
  <c r="J66" i="2" s="1"/>
  <c r="H66" i="2" s="1"/>
  <c r="E65" i="2"/>
  <c r="F65" i="2" s="1"/>
  <c r="G64" i="2"/>
  <c r="E64" i="2"/>
  <c r="G63" i="2"/>
  <c r="K63" i="2"/>
  <c r="F62" i="2"/>
  <c r="I62" i="2" s="1"/>
  <c r="E62" i="2"/>
  <c r="G62" i="2" s="1"/>
  <c r="G60" i="2"/>
  <c r="F60" i="2"/>
  <c r="J60" i="2" s="1"/>
  <c r="H60" i="2" s="1"/>
  <c r="E60" i="2"/>
  <c r="G59" i="2"/>
  <c r="E59" i="2"/>
  <c r="E58" i="2"/>
  <c r="E57" i="2"/>
  <c r="G55" i="2"/>
  <c r="E55" i="2"/>
  <c r="G53" i="2"/>
  <c r="F53" i="2"/>
  <c r="E53" i="2"/>
  <c r="F52" i="2"/>
  <c r="I52" i="2" s="1"/>
  <c r="E52" i="2"/>
  <c r="G52" i="2" s="1"/>
  <c r="E51" i="2"/>
  <c r="G50" i="2"/>
  <c r="F50" i="2"/>
  <c r="E50" i="2"/>
  <c r="E49" i="2"/>
  <c r="G48" i="2"/>
  <c r="F48" i="2"/>
  <c r="J48" i="2" s="1"/>
  <c r="H48" i="2" s="1"/>
  <c r="E48" i="2"/>
  <c r="F47" i="2"/>
  <c r="E47" i="2"/>
  <c r="G45" i="2"/>
  <c r="F45" i="2"/>
  <c r="K45" i="2" s="1"/>
  <c r="E45" i="2"/>
  <c r="F44" i="2"/>
  <c r="I44" i="2" s="1"/>
  <c r="E44" i="2"/>
  <c r="G44" i="2" s="1"/>
  <c r="E43" i="2"/>
  <c r="F42" i="2"/>
  <c r="J42" i="2" s="1"/>
  <c r="G41" i="2"/>
  <c r="E41" i="2"/>
  <c r="E40" i="2"/>
  <c r="E39" i="2"/>
  <c r="G36" i="2"/>
  <c r="E36" i="2"/>
  <c r="F35" i="2"/>
  <c r="F34" i="2"/>
  <c r="I34" i="2" s="1"/>
  <c r="E34" i="2"/>
  <c r="G34" i="2" s="1"/>
  <c r="F33" i="2"/>
  <c r="J33" i="2" s="1"/>
  <c r="H33" i="2" s="1"/>
  <c r="G32" i="2"/>
  <c r="F32" i="2"/>
  <c r="K32" i="2" s="1"/>
  <c r="E32" i="2"/>
  <c r="G31" i="2"/>
  <c r="F31" i="2"/>
  <c r="E31" i="2"/>
  <c r="F30" i="2"/>
  <c r="E30" i="2"/>
  <c r="E29" i="2"/>
  <c r="G28" i="2"/>
  <c r="F28" i="2"/>
  <c r="J28" i="2" s="1"/>
  <c r="H28" i="2" s="1"/>
  <c r="E28" i="2"/>
  <c r="G27" i="2"/>
  <c r="F27" i="2"/>
  <c r="I27" i="2" s="1"/>
  <c r="E27" i="2"/>
  <c r="F26" i="2"/>
  <c r="E23" i="2"/>
  <c r="F23" i="2" s="1"/>
  <c r="K23" i="2" s="1"/>
  <c r="G22" i="2"/>
  <c r="E22" i="2"/>
  <c r="F22" i="2" s="1"/>
  <c r="J22" i="2" s="1"/>
  <c r="H22" i="2" s="1"/>
  <c r="G21" i="2"/>
  <c r="F21" i="2"/>
  <c r="K21" i="2" s="1"/>
  <c r="E21" i="2"/>
  <c r="G19" i="2"/>
  <c r="F19" i="2"/>
  <c r="E19" i="2"/>
  <c r="G18" i="2"/>
  <c r="F18" i="2"/>
  <c r="K18" i="2" s="1"/>
  <c r="E18" i="2"/>
  <c r="F17" i="2"/>
  <c r="J17" i="2" s="1"/>
  <c r="H17" i="2" s="1"/>
  <c r="E17" i="2"/>
  <c r="E16" i="2"/>
  <c r="E15" i="2"/>
  <c r="G15" i="2" s="1"/>
  <c r="F14" i="2"/>
  <c r="J14" i="2" s="1"/>
  <c r="G13" i="2"/>
  <c r="K13" i="2"/>
  <c r="E12" i="2"/>
  <c r="G11" i="2"/>
  <c r="F11" i="2"/>
  <c r="E11" i="2"/>
  <c r="E8" i="2"/>
  <c r="G8" i="2" s="1"/>
  <c r="E6" i="2"/>
  <c r="E5" i="2"/>
  <c r="G5" i="2" s="1"/>
  <c r="F4" i="2"/>
  <c r="K4" i="2" s="1"/>
  <c r="J3" i="2"/>
  <c r="H3" i="2" s="1"/>
  <c r="I3" i="2"/>
  <c r="F3" i="2"/>
  <c r="K3" i="2" s="1"/>
  <c r="K621" i="2" l="1"/>
  <c r="K631" i="2"/>
  <c r="K547" i="2"/>
  <c r="K417" i="2"/>
  <c r="K338" i="2"/>
  <c r="K283" i="2"/>
  <c r="K192" i="2"/>
  <c r="K182" i="2"/>
  <c r="K167" i="2"/>
  <c r="K214" i="2"/>
  <c r="G214" i="2" s="1"/>
  <c r="I125" i="2"/>
  <c r="I141" i="2"/>
  <c r="J569" i="2"/>
  <c r="H569" i="2" s="1"/>
  <c r="K185" i="2"/>
  <c r="K223" i="2"/>
  <c r="J141" i="2"/>
  <c r="H141" i="2" s="1"/>
  <c r="I470" i="2"/>
  <c r="J483" i="2"/>
  <c r="H483" i="2" s="1"/>
  <c r="I445" i="2"/>
  <c r="I283" i="2"/>
  <c r="I151" i="2"/>
  <c r="I569" i="2"/>
  <c r="J612" i="2"/>
  <c r="H612" i="2" s="1"/>
  <c r="K28" i="2"/>
  <c r="J159" i="2"/>
  <c r="H159" i="2" s="1"/>
  <c r="J332" i="2"/>
  <c r="H332" i="2" s="1"/>
  <c r="I314" i="2"/>
  <c r="I14" i="2"/>
  <c r="I42" i="2"/>
  <c r="K97" i="2"/>
  <c r="J185" i="2"/>
  <c r="H185" i="2" s="1"/>
  <c r="K33" i="2"/>
  <c r="I367" i="2"/>
  <c r="I444" i="2"/>
  <c r="J509" i="2"/>
  <c r="H509" i="2" s="1"/>
  <c r="I222" i="2"/>
  <c r="K630" i="2"/>
  <c r="J195" i="2"/>
  <c r="H195" i="2" s="1"/>
  <c r="J202" i="2"/>
  <c r="H202" i="2" s="1"/>
  <c r="K254" i="2"/>
  <c r="J414" i="2"/>
  <c r="K429" i="2" s="1"/>
  <c r="K490" i="2"/>
  <c r="J587" i="2"/>
  <c r="H587" i="2" s="1"/>
  <c r="J23" i="2"/>
  <c r="H23" i="2" s="1"/>
  <c r="J167" i="2"/>
  <c r="H167" i="2" s="1"/>
  <c r="K202" i="2"/>
  <c r="I421" i="2"/>
  <c r="I535" i="2"/>
  <c r="K145" i="2"/>
  <c r="I406" i="2"/>
  <c r="J445" i="2"/>
  <c r="H445" i="2" s="1"/>
  <c r="I568" i="2"/>
  <c r="J151" i="2"/>
  <c r="H151" i="2" s="1"/>
  <c r="K322" i="2"/>
  <c r="I326" i="2"/>
  <c r="J421" i="2"/>
  <c r="H421" i="2" s="1"/>
  <c r="I429" i="2"/>
  <c r="I454" i="2"/>
  <c r="I471" i="2"/>
  <c r="K612" i="2"/>
  <c r="I158" i="2"/>
  <c r="I247" i="2"/>
  <c r="K326" i="2"/>
  <c r="K342" i="2"/>
  <c r="J449" i="2"/>
  <c r="H449" i="2" s="1"/>
  <c r="K470" i="2"/>
  <c r="I479" i="2"/>
  <c r="J493" i="2"/>
  <c r="H493" i="2" s="1"/>
  <c r="K22" i="2"/>
  <c r="I23" i="2"/>
  <c r="I89" i="2"/>
  <c r="I97" i="2"/>
  <c r="I166" i="2"/>
  <c r="K198" i="2"/>
  <c r="K203" i="2"/>
  <c r="I210" i="2"/>
  <c r="I349" i="2"/>
  <c r="I387" i="2"/>
  <c r="K479" i="2"/>
  <c r="G479" i="2" s="1"/>
  <c r="K52" i="2"/>
  <c r="J70" i="2"/>
  <c r="H70" i="2" s="1"/>
  <c r="I104" i="2"/>
  <c r="I234" i="2"/>
  <c r="I242" i="2"/>
  <c r="K444" i="2"/>
  <c r="I587" i="2"/>
  <c r="K627" i="2"/>
  <c r="J104" i="2"/>
  <c r="H104" i="2" s="1"/>
  <c r="I159" i="2"/>
  <c r="K213" i="2"/>
  <c r="I547" i="2"/>
  <c r="K616" i="2"/>
  <c r="I32" i="2"/>
  <c r="I107" i="2"/>
  <c r="J158" i="2"/>
  <c r="H158" i="2" s="1"/>
  <c r="J254" i="2"/>
  <c r="H254" i="2" s="1"/>
  <c r="J262" i="2"/>
  <c r="H262" i="2" s="1"/>
  <c r="I332" i="2"/>
  <c r="I370" i="2"/>
  <c r="K396" i="2"/>
  <c r="I534" i="2"/>
  <c r="K579" i="2"/>
  <c r="I586" i="2"/>
  <c r="J595" i="2"/>
  <c r="H595" i="2" s="1"/>
  <c r="K634" i="2"/>
  <c r="I117" i="2"/>
  <c r="I301" i="2"/>
  <c r="J341" i="2"/>
  <c r="H341" i="2" s="1"/>
  <c r="K358" i="2"/>
  <c r="I413" i="2"/>
  <c r="I453" i="2"/>
  <c r="I460" i="2"/>
  <c r="I500" i="2"/>
  <c r="J586" i="2"/>
  <c r="K599" i="2" s="1"/>
  <c r="K60" i="2"/>
  <c r="J63" i="2"/>
  <c r="H63" i="2" s="1"/>
  <c r="I66" i="2"/>
  <c r="I79" i="2"/>
  <c r="I96" i="2"/>
  <c r="J117" i="2"/>
  <c r="H117" i="2" s="1"/>
  <c r="J166" i="2"/>
  <c r="H166" i="2" s="1"/>
  <c r="I200" i="2"/>
  <c r="I231" i="2"/>
  <c r="J244" i="2"/>
  <c r="J250" i="2"/>
  <c r="H250" i="2" s="1"/>
  <c r="I390" i="2"/>
  <c r="K453" i="2"/>
  <c r="I517" i="2"/>
  <c r="K539" i="2"/>
  <c r="K568" i="2"/>
  <c r="K583" i="2"/>
  <c r="I63" i="2"/>
  <c r="I13" i="2"/>
  <c r="I33" i="2"/>
  <c r="I48" i="2"/>
  <c r="J52" i="2"/>
  <c r="H52" i="2" s="1"/>
  <c r="I70" i="2"/>
  <c r="I76" i="2"/>
  <c r="J96" i="2"/>
  <c r="H96" i="2" s="1"/>
  <c r="K143" i="2"/>
  <c r="J177" i="2"/>
  <c r="K180" i="2" s="1"/>
  <c r="I195" i="2"/>
  <c r="I498" i="2"/>
  <c r="K510" i="2"/>
  <c r="J517" i="2"/>
  <c r="H517" i="2" s="1"/>
  <c r="K527" i="2"/>
  <c r="J561" i="2"/>
  <c r="H561" i="2" s="1"/>
  <c r="J631" i="2"/>
  <c r="K438" i="2"/>
  <c r="K480" i="2"/>
  <c r="J547" i="2"/>
  <c r="K563" i="2" s="1"/>
  <c r="I600" i="2"/>
  <c r="J620" i="2"/>
  <c r="H620" i="2" s="1"/>
  <c r="K99" i="2"/>
  <c r="K205" i="2"/>
  <c r="I223" i="2"/>
  <c r="J380" i="2"/>
  <c r="H380" i="2" s="1"/>
  <c r="K540" i="2"/>
  <c r="I278" i="2"/>
  <c r="K328" i="2"/>
  <c r="K460" i="2"/>
  <c r="K613" i="2"/>
  <c r="K635" i="2"/>
  <c r="K184" i="2"/>
  <c r="K11" i="2"/>
  <c r="J34" i="2"/>
  <c r="H34" i="2" s="1"/>
  <c r="I45" i="2"/>
  <c r="J79" i="2"/>
  <c r="K240" i="2" s="1"/>
  <c r="K83" i="2"/>
  <c r="J89" i="2"/>
  <c r="K107" i="2" s="1"/>
  <c r="J107" i="2"/>
  <c r="J114" i="2"/>
  <c r="H114" i="2" s="1"/>
  <c r="J125" i="2"/>
  <c r="H125" i="2" s="1"/>
  <c r="I133" i="2"/>
  <c r="I148" i="2"/>
  <c r="K170" i="2"/>
  <c r="K188" i="2"/>
  <c r="K194" i="2"/>
  <c r="J218" i="2"/>
  <c r="H218" i="2" s="1"/>
  <c r="I240" i="2"/>
  <c r="J246" i="2"/>
  <c r="H246" i="2" s="1"/>
  <c r="I341" i="2"/>
  <c r="J367" i="2"/>
  <c r="H367" i="2" s="1"/>
  <c r="J387" i="2"/>
  <c r="K414" i="2" s="1"/>
  <c r="I438" i="2"/>
  <c r="K454" i="2"/>
  <c r="J471" i="2"/>
  <c r="H471" i="2" s="1"/>
  <c r="I480" i="2"/>
  <c r="I490" i="2"/>
  <c r="K508" i="2"/>
  <c r="I509" i="2"/>
  <c r="I522" i="2"/>
  <c r="J602" i="2"/>
  <c r="I613" i="2"/>
  <c r="I114" i="2"/>
  <c r="I4" i="2"/>
  <c r="K31" i="2"/>
  <c r="K34" i="2"/>
  <c r="J45" i="2"/>
  <c r="H45" i="2" s="1"/>
  <c r="J133" i="2"/>
  <c r="H133" i="2" s="1"/>
  <c r="I164" i="2"/>
  <c r="I207" i="2"/>
  <c r="K218" i="2"/>
  <c r="J232" i="2"/>
  <c r="H232" i="2" s="1"/>
  <c r="J321" i="2"/>
  <c r="H321" i="2" s="1"/>
  <c r="I446" i="2"/>
  <c r="I532" i="2"/>
  <c r="I558" i="2"/>
  <c r="K602" i="2"/>
  <c r="J621" i="2"/>
  <c r="K176" i="2"/>
  <c r="J4" i="2"/>
  <c r="K14" i="2" s="1"/>
  <c r="I86" i="2"/>
  <c r="J124" i="2"/>
  <c r="H124" i="2" s="1"/>
  <c r="I153" i="2"/>
  <c r="I403" i="2"/>
  <c r="I437" i="2"/>
  <c r="K446" i="2"/>
  <c r="I461" i="2"/>
  <c r="I489" i="2"/>
  <c r="K498" i="2"/>
  <c r="I499" i="2"/>
  <c r="J535" i="2"/>
  <c r="I566" i="2"/>
  <c r="I603" i="2"/>
  <c r="K608" i="2"/>
  <c r="I610" i="2"/>
  <c r="J638" i="2"/>
  <c r="I60" i="2"/>
  <c r="J86" i="2"/>
  <c r="H86" i="2" s="1"/>
  <c r="K124" i="2"/>
  <c r="I172" i="2"/>
  <c r="I182" i="2"/>
  <c r="I192" i="2"/>
  <c r="I214" i="2"/>
  <c r="I291" i="2"/>
  <c r="J358" i="2"/>
  <c r="H358" i="2" s="1"/>
  <c r="I395" i="2"/>
  <c r="J403" i="2"/>
  <c r="H403" i="2" s="1"/>
  <c r="J428" i="2"/>
  <c r="H428" i="2" s="1"/>
  <c r="J457" i="2"/>
  <c r="H457" i="2" s="1"/>
  <c r="J461" i="2"/>
  <c r="H461" i="2" s="1"/>
  <c r="J489" i="2"/>
  <c r="J499" i="2"/>
  <c r="H499" i="2" s="1"/>
  <c r="I508" i="2"/>
  <c r="J546" i="2"/>
  <c r="H546" i="2" s="1"/>
  <c r="I573" i="2"/>
  <c r="I579" i="2"/>
  <c r="J630" i="2"/>
  <c r="H630" i="2" s="1"/>
  <c r="K638" i="2"/>
  <c r="J110" i="2"/>
  <c r="H110" i="2" s="1"/>
  <c r="J171" i="2"/>
  <c r="H171" i="2" s="1"/>
  <c r="J181" i="2"/>
  <c r="H181" i="2" s="1"/>
  <c r="J189" i="2"/>
  <c r="H189" i="2" s="1"/>
  <c r="J209" i="2"/>
  <c r="H209" i="2" s="1"/>
  <c r="I224" i="2"/>
  <c r="K262" i="2"/>
  <c r="J194" i="2"/>
  <c r="H194" i="2" s="1"/>
  <c r="K19" i="2"/>
  <c r="J199" i="2"/>
  <c r="I583" i="2"/>
  <c r="I595" i="2"/>
  <c r="J603" i="2"/>
  <c r="H603" i="2" s="1"/>
  <c r="K620" i="2"/>
  <c r="I631" i="2"/>
  <c r="K380" i="2"/>
  <c r="J396" i="2"/>
  <c r="H396" i="2" s="1"/>
  <c r="I436" i="2"/>
  <c r="K617" i="2"/>
  <c r="I621" i="2"/>
  <c r="G58" i="2"/>
  <c r="F12" i="2"/>
  <c r="J12" i="2" s="1"/>
  <c r="H12" i="2" s="1"/>
  <c r="G40" i="2"/>
  <c r="F8" i="2"/>
  <c r="J8" i="2" s="1"/>
  <c r="H8" i="2" s="1"/>
  <c r="G12" i="2"/>
  <c r="J13" i="2"/>
  <c r="H13" i="2" s="1"/>
  <c r="J18" i="2"/>
  <c r="H18" i="2" s="1"/>
  <c r="I18" i="2"/>
  <c r="F20" i="2"/>
  <c r="I20" i="2" s="1"/>
  <c r="I21" i="2"/>
  <c r="F40" i="2"/>
  <c r="J40" i="2" s="1"/>
  <c r="H40" i="2" s="1"/>
  <c r="J47" i="2"/>
  <c r="H47" i="2" s="1"/>
  <c r="G47" i="2"/>
  <c r="K47" i="2"/>
  <c r="I47" i="2"/>
  <c r="G49" i="2"/>
  <c r="F49" i="2"/>
  <c r="I49" i="2" s="1"/>
  <c r="K81" i="2"/>
  <c r="G208" i="2"/>
  <c r="F208" i="2"/>
  <c r="I208" i="2" s="1"/>
  <c r="K35" i="2"/>
  <c r="J35" i="2"/>
  <c r="K66" i="2" s="1"/>
  <c r="I35" i="2"/>
  <c r="G67" i="2"/>
  <c r="F67" i="2"/>
  <c r="J67" i="2" s="1"/>
  <c r="H67" i="2" s="1"/>
  <c r="G129" i="2"/>
  <c r="F129" i="2"/>
  <c r="J129" i="2" s="1"/>
  <c r="H129" i="2" s="1"/>
  <c r="G6" i="2"/>
  <c r="F6" i="2"/>
  <c r="J21" i="2"/>
  <c r="H21" i="2" s="1"/>
  <c r="K30" i="2"/>
  <c r="J30" i="2"/>
  <c r="H30" i="2" s="1"/>
  <c r="I30" i="2"/>
  <c r="G30" i="2"/>
  <c r="J68" i="2"/>
  <c r="H68" i="2" s="1"/>
  <c r="K68" i="2"/>
  <c r="I68" i="2"/>
  <c r="F77" i="2"/>
  <c r="I77" i="2" s="1"/>
  <c r="G90" i="2"/>
  <c r="F90" i="2"/>
  <c r="I90" i="2" s="1"/>
  <c r="K100" i="2"/>
  <c r="I100" i="2"/>
  <c r="J100" i="2"/>
  <c r="H100" i="2" s="1"/>
  <c r="G100" i="2"/>
  <c r="K53" i="2"/>
  <c r="J53" i="2"/>
  <c r="H53" i="2" s="1"/>
  <c r="I53" i="2"/>
  <c r="K140" i="2"/>
  <c r="J140" i="2"/>
  <c r="H140" i="2" s="1"/>
  <c r="I140" i="2"/>
  <c r="J157" i="2"/>
  <c r="H157" i="2" s="1"/>
  <c r="F58" i="2"/>
  <c r="K58" i="2" s="1"/>
  <c r="G16" i="2"/>
  <c r="F16" i="2"/>
  <c r="I16" i="2" s="1"/>
  <c r="J50" i="2"/>
  <c r="H50" i="2" s="1"/>
  <c r="K50" i="2"/>
  <c r="I50" i="2"/>
  <c r="F61" i="2"/>
  <c r="I61" i="2" s="1"/>
  <c r="K122" i="2"/>
  <c r="J122" i="2"/>
  <c r="I122" i="2"/>
  <c r="G160" i="2"/>
  <c r="K160" i="2"/>
  <c r="F95" i="2"/>
  <c r="K95" i="2" s="1"/>
  <c r="K78" i="2"/>
  <c r="J78" i="2"/>
  <c r="H78" i="2" s="1"/>
  <c r="F127" i="2"/>
  <c r="F147" i="2"/>
  <c r="K147" i="2" s="1"/>
  <c r="G169" i="2"/>
  <c r="F169" i="2"/>
  <c r="K169" i="2" s="1"/>
  <c r="G179" i="2"/>
  <c r="F179" i="2"/>
  <c r="I179" i="2" s="1"/>
  <c r="F187" i="2"/>
  <c r="K187" i="2" s="1"/>
  <c r="G238" i="2"/>
  <c r="F238" i="2"/>
  <c r="K238" i="2" s="1"/>
  <c r="J277" i="2"/>
  <c r="H277" i="2" s="1"/>
  <c r="G277" i="2"/>
  <c r="J135" i="2"/>
  <c r="H135" i="2" s="1"/>
  <c r="G135" i="2"/>
  <c r="K135" i="2"/>
  <c r="I135" i="2"/>
  <c r="J65" i="2"/>
  <c r="H65" i="2" s="1"/>
  <c r="G65" i="2"/>
  <c r="K65" i="2"/>
  <c r="I65" i="2"/>
  <c r="I22" i="2"/>
  <c r="F85" i="2"/>
  <c r="J85" i="2" s="1"/>
  <c r="H85" i="2" s="1"/>
  <c r="G98" i="2"/>
  <c r="F98" i="2"/>
  <c r="I98" i="2" s="1"/>
  <c r="K112" i="2"/>
  <c r="J112" i="2"/>
  <c r="H112" i="2" s="1"/>
  <c r="I112" i="2"/>
  <c r="G137" i="2"/>
  <c r="G313" i="2"/>
  <c r="F313" i="2"/>
  <c r="J313" i="2" s="1"/>
  <c r="H313" i="2" s="1"/>
  <c r="K132" i="2"/>
  <c r="J132" i="2"/>
  <c r="H132" i="2" s="1"/>
  <c r="I132" i="2"/>
  <c r="J26" i="2"/>
  <c r="I26" i="2"/>
  <c r="F43" i="2"/>
  <c r="J43" i="2" s="1"/>
  <c r="H43" i="2" s="1"/>
  <c r="G43" i="2"/>
  <c r="F7" i="2"/>
  <c r="J7" i="2" s="1"/>
  <c r="H7" i="2" s="1"/>
  <c r="K17" i="2"/>
  <c r="I17" i="2"/>
  <c r="G17" i="2"/>
  <c r="K27" i="2"/>
  <c r="K71" i="2"/>
  <c r="J71" i="2"/>
  <c r="H71" i="2" s="1"/>
  <c r="I71" i="2"/>
  <c r="K74" i="2"/>
  <c r="J74" i="2"/>
  <c r="I74" i="2"/>
  <c r="I78" i="2"/>
  <c r="G85" i="2"/>
  <c r="G92" i="2"/>
  <c r="I92" i="2"/>
  <c r="F137" i="2"/>
  <c r="J137" i="2" s="1"/>
  <c r="H137" i="2" s="1"/>
  <c r="K248" i="2"/>
  <c r="J248" i="2"/>
  <c r="H248" i="2" s="1"/>
  <c r="I11" i="2"/>
  <c r="I19" i="2"/>
  <c r="J27" i="2"/>
  <c r="H27" i="2" s="1"/>
  <c r="I31" i="2"/>
  <c r="J32" i="2"/>
  <c r="H32" i="2" s="1"/>
  <c r="J44" i="2"/>
  <c r="H44" i="2" s="1"/>
  <c r="F46" i="2"/>
  <c r="J62" i="2"/>
  <c r="H62" i="2" s="1"/>
  <c r="F64" i="2"/>
  <c r="I64" i="2" s="1"/>
  <c r="G80" i="2"/>
  <c r="F80" i="2"/>
  <c r="K80" i="2" s="1"/>
  <c r="K82" i="2"/>
  <c r="I82" i="2"/>
  <c r="K102" i="2"/>
  <c r="J102" i="2"/>
  <c r="H102" i="2" s="1"/>
  <c r="J119" i="2"/>
  <c r="H119" i="2" s="1"/>
  <c r="G119" i="2"/>
  <c r="J121" i="2"/>
  <c r="H121" i="2" s="1"/>
  <c r="I121" i="2"/>
  <c r="K139" i="2"/>
  <c r="J148" i="2"/>
  <c r="H148" i="2" s="1"/>
  <c r="G152" i="2"/>
  <c r="F152" i="2"/>
  <c r="K152" i="2" s="1"/>
  <c r="K154" i="2"/>
  <c r="I154" i="2"/>
  <c r="J216" i="2"/>
  <c r="H216" i="2" s="1"/>
  <c r="F289" i="2"/>
  <c r="I289" i="2" s="1"/>
  <c r="K430" i="2"/>
  <c r="J430" i="2"/>
  <c r="H430" i="2" s="1"/>
  <c r="I430" i="2"/>
  <c r="K162" i="2"/>
  <c r="I162" i="2"/>
  <c r="K224" i="2"/>
  <c r="J224" i="2"/>
  <c r="H224" i="2" s="1"/>
  <c r="K230" i="2"/>
  <c r="I350" i="2"/>
  <c r="K350" i="2"/>
  <c r="J350" i="2"/>
  <c r="H350" i="2" s="1"/>
  <c r="F5" i="2"/>
  <c r="J11" i="2"/>
  <c r="H11" i="2" s="1"/>
  <c r="F15" i="2"/>
  <c r="J19" i="2"/>
  <c r="H19" i="2" s="1"/>
  <c r="G23" i="2"/>
  <c r="F29" i="2"/>
  <c r="J31" i="2"/>
  <c r="H31" i="2" s="1"/>
  <c r="G39" i="2"/>
  <c r="K44" i="2"/>
  <c r="G57" i="2"/>
  <c r="K62" i="2"/>
  <c r="K94" i="2"/>
  <c r="J94" i="2"/>
  <c r="H94" i="2" s="1"/>
  <c r="G109" i="2"/>
  <c r="F131" i="2"/>
  <c r="K131" i="2" s="1"/>
  <c r="G142" i="2"/>
  <c r="F142" i="2"/>
  <c r="I142" i="2" s="1"/>
  <c r="G162" i="2"/>
  <c r="F204" i="2"/>
  <c r="F275" i="2"/>
  <c r="J275" i="2" s="1"/>
  <c r="H275" i="2" s="1"/>
  <c r="K311" i="2"/>
  <c r="I311" i="2"/>
  <c r="I340" i="2"/>
  <c r="J340" i="2"/>
  <c r="H340" i="2" s="1"/>
  <c r="J356" i="2"/>
  <c r="H356" i="2" s="1"/>
  <c r="I356" i="2"/>
  <c r="I584" i="2"/>
  <c r="G174" i="2"/>
  <c r="F174" i="2"/>
  <c r="J174" i="2" s="1"/>
  <c r="H174" i="2" s="1"/>
  <c r="G183" i="2"/>
  <c r="F183" i="2"/>
  <c r="J183" i="2" s="1"/>
  <c r="H183" i="2" s="1"/>
  <c r="G193" i="2"/>
  <c r="F193" i="2"/>
  <c r="K193" i="2" s="1"/>
  <c r="K227" i="2"/>
  <c r="J227" i="2"/>
  <c r="H227" i="2" s="1"/>
  <c r="I227" i="2"/>
  <c r="G227" i="2"/>
  <c r="I28" i="2"/>
  <c r="G29" i="2"/>
  <c r="F39" i="2"/>
  <c r="J39" i="2" s="1"/>
  <c r="H39" i="2" s="1"/>
  <c r="K48" i="2"/>
  <c r="F57" i="2"/>
  <c r="J57" i="2" s="1"/>
  <c r="H57" i="2" s="1"/>
  <c r="F73" i="2"/>
  <c r="J73" i="2" s="1"/>
  <c r="H73" i="2" s="1"/>
  <c r="K84" i="2"/>
  <c r="J84" i="2"/>
  <c r="H84" i="2" s="1"/>
  <c r="J99" i="2"/>
  <c r="H99" i="2" s="1"/>
  <c r="G99" i="2"/>
  <c r="J101" i="2"/>
  <c r="I101" i="2"/>
  <c r="F109" i="2"/>
  <c r="J109" i="2" s="1"/>
  <c r="H109" i="2" s="1"/>
  <c r="F111" i="2"/>
  <c r="K111" i="2" s="1"/>
  <c r="I119" i="2"/>
  <c r="G121" i="2"/>
  <c r="F123" i="2"/>
  <c r="K123" i="2" s="1"/>
  <c r="G131" i="2"/>
  <c r="F134" i="2"/>
  <c r="I134" i="2" s="1"/>
  <c r="K136" i="2"/>
  <c r="I136" i="2"/>
  <c r="F144" i="2"/>
  <c r="J144" i="2" s="1"/>
  <c r="H144" i="2" s="1"/>
  <c r="G154" i="2"/>
  <c r="K156" i="2"/>
  <c r="J156" i="2"/>
  <c r="H156" i="2" s="1"/>
  <c r="J162" i="2"/>
  <c r="H162" i="2" s="1"/>
  <c r="G275" i="2"/>
  <c r="K300" i="2"/>
  <c r="I300" i="2"/>
  <c r="J300" i="2"/>
  <c r="H300" i="2" s="1"/>
  <c r="K404" i="2"/>
  <c r="J404" i="2"/>
  <c r="H404" i="2" s="1"/>
  <c r="I404" i="2"/>
  <c r="F51" i="2"/>
  <c r="F69" i="2"/>
  <c r="K69" i="2" s="1"/>
  <c r="G91" i="2"/>
  <c r="F113" i="2"/>
  <c r="K113" i="2" s="1"/>
  <c r="F126" i="2"/>
  <c r="I126" i="2" s="1"/>
  <c r="K146" i="2"/>
  <c r="J146" i="2"/>
  <c r="H146" i="2" s="1"/>
  <c r="G161" i="2"/>
  <c r="F219" i="2"/>
  <c r="J219" i="2" s="1"/>
  <c r="H219" i="2" s="1"/>
  <c r="F315" i="2"/>
  <c r="I315" i="2" s="1"/>
  <c r="J352" i="2"/>
  <c r="H352" i="2" s="1"/>
  <c r="I352" i="2"/>
  <c r="J376" i="2"/>
  <c r="H376" i="2" s="1"/>
  <c r="I376" i="2"/>
  <c r="G384" i="2"/>
  <c r="F384" i="2"/>
  <c r="J384" i="2" s="1"/>
  <c r="H384" i="2" s="1"/>
  <c r="G474" i="2"/>
  <c r="F474" i="2"/>
  <c r="I474" i="2" s="1"/>
  <c r="F36" i="2"/>
  <c r="J36" i="2" s="1"/>
  <c r="H36" i="2" s="1"/>
  <c r="F41" i="2"/>
  <c r="J41" i="2" s="1"/>
  <c r="H41" i="2" s="1"/>
  <c r="G51" i="2"/>
  <c r="F55" i="2"/>
  <c r="J55" i="2" s="1"/>
  <c r="H55" i="2" s="1"/>
  <c r="F59" i="2"/>
  <c r="J59" i="2" s="1"/>
  <c r="H59" i="2" s="1"/>
  <c r="G69" i="2"/>
  <c r="F72" i="2"/>
  <c r="J72" i="2" s="1"/>
  <c r="H72" i="2" s="1"/>
  <c r="F75" i="2"/>
  <c r="J75" i="2" s="1"/>
  <c r="H75" i="2" s="1"/>
  <c r="J81" i="2"/>
  <c r="H81" i="2" s="1"/>
  <c r="G81" i="2"/>
  <c r="J83" i="2"/>
  <c r="H83" i="2" s="1"/>
  <c r="I83" i="2"/>
  <c r="F91" i="2"/>
  <c r="J91" i="2" s="1"/>
  <c r="H91" i="2" s="1"/>
  <c r="F93" i="2"/>
  <c r="K93" i="2" s="1"/>
  <c r="F103" i="2"/>
  <c r="I103" i="2" s="1"/>
  <c r="G113" i="2"/>
  <c r="G118" i="2"/>
  <c r="F118" i="2"/>
  <c r="K120" i="2"/>
  <c r="I120" i="2"/>
  <c r="F128" i="2"/>
  <c r="J128" i="2" s="1"/>
  <c r="K138" i="2"/>
  <c r="J138" i="2"/>
  <c r="H138" i="2" s="1"/>
  <c r="J153" i="2"/>
  <c r="H153" i="2" s="1"/>
  <c r="J155" i="2"/>
  <c r="I155" i="2"/>
  <c r="F161" i="2"/>
  <c r="F163" i="2"/>
  <c r="K163" i="2" s="1"/>
  <c r="G168" i="2"/>
  <c r="F168" i="2"/>
  <c r="J168" i="2" s="1"/>
  <c r="H168" i="2" s="1"/>
  <c r="J176" i="2"/>
  <c r="H176" i="2" s="1"/>
  <c r="F178" i="2"/>
  <c r="J184" i="2"/>
  <c r="H184" i="2" s="1"/>
  <c r="F186" i="2"/>
  <c r="G196" i="2"/>
  <c r="J196" i="2"/>
  <c r="H196" i="2" s="1"/>
  <c r="G212" i="2"/>
  <c r="F212" i="2"/>
  <c r="I212" i="2" s="1"/>
  <c r="G219" i="2"/>
  <c r="F273" i="2"/>
  <c r="J273" i="2" s="1"/>
  <c r="H273" i="2" s="1"/>
  <c r="F279" i="2"/>
  <c r="K279" i="2" s="1"/>
  <c r="G279" i="2"/>
  <c r="F287" i="2"/>
  <c r="J287" i="2" s="1"/>
  <c r="H287" i="2" s="1"/>
  <c r="G315" i="2"/>
  <c r="G108" i="2"/>
  <c r="F108" i="2"/>
  <c r="J108" i="2" s="1"/>
  <c r="H108" i="2" s="1"/>
  <c r="K110" i="2"/>
  <c r="I110" i="2"/>
  <c r="K130" i="2"/>
  <c r="J130" i="2"/>
  <c r="H130" i="2" s="1"/>
  <c r="J143" i="2"/>
  <c r="H143" i="2" s="1"/>
  <c r="G143" i="2"/>
  <c r="J145" i="2"/>
  <c r="I145" i="2"/>
  <c r="G165" i="2"/>
  <c r="F165" i="2"/>
  <c r="I165" i="2" s="1"/>
  <c r="K197" i="2"/>
  <c r="J197" i="2"/>
  <c r="H197" i="2" s="1"/>
  <c r="I197" i="2"/>
  <c r="G197" i="2"/>
  <c r="F243" i="2"/>
  <c r="K243" i="2" s="1"/>
  <c r="I248" i="2"/>
  <c r="J164" i="2"/>
  <c r="K177" i="2" s="1"/>
  <c r="I171" i="2"/>
  <c r="J172" i="2"/>
  <c r="H172" i="2" s="1"/>
  <c r="I181" i="2"/>
  <c r="J182" i="2"/>
  <c r="I189" i="2"/>
  <c r="J192" i="2"/>
  <c r="K244" i="2" s="1"/>
  <c r="I199" i="2"/>
  <c r="J200" i="2"/>
  <c r="H200" i="2" s="1"/>
  <c r="J205" i="2"/>
  <c r="J207" i="2"/>
  <c r="H207" i="2" s="1"/>
  <c r="I209" i="2"/>
  <c r="J210" i="2"/>
  <c r="H210" i="2" s="1"/>
  <c r="J213" i="2"/>
  <c r="H213" i="2" s="1"/>
  <c r="F215" i="2"/>
  <c r="I216" i="2"/>
  <c r="J228" i="2"/>
  <c r="H228" i="2" s="1"/>
  <c r="I232" i="2"/>
  <c r="J236" i="2"/>
  <c r="K250" i="2"/>
  <c r="J253" i="2"/>
  <c r="H253" i="2" s="1"/>
  <c r="F255" i="2"/>
  <c r="I255" i="2" s="1"/>
  <c r="J257" i="2"/>
  <c r="H257" i="2" s="1"/>
  <c r="K264" i="2"/>
  <c r="I264" i="2"/>
  <c r="I270" i="2"/>
  <c r="F281" i="2"/>
  <c r="I281" i="2" s="1"/>
  <c r="G285" i="2"/>
  <c r="F285" i="2"/>
  <c r="J285" i="2" s="1"/>
  <c r="H285" i="2" s="1"/>
  <c r="I296" i="2"/>
  <c r="K298" i="2"/>
  <c r="J298" i="2"/>
  <c r="H298" i="2" s="1"/>
  <c r="I298" i="2"/>
  <c r="F309" i="2"/>
  <c r="I309" i="2" s="1"/>
  <c r="I323" i="2"/>
  <c r="K323" i="2"/>
  <c r="J368" i="2"/>
  <c r="H368" i="2" s="1"/>
  <c r="I368" i="2"/>
  <c r="J394" i="2"/>
  <c r="H394" i="2" s="1"/>
  <c r="I394" i="2"/>
  <c r="I170" i="2"/>
  <c r="I180" i="2"/>
  <c r="I188" i="2"/>
  <c r="I198" i="2"/>
  <c r="K226" i="2"/>
  <c r="K228" i="2"/>
  <c r="K236" i="2"/>
  <c r="F245" i="2"/>
  <c r="K245" i="2" s="1"/>
  <c r="J247" i="2"/>
  <c r="H247" i="2" s="1"/>
  <c r="K253" i="2"/>
  <c r="F307" i="2"/>
  <c r="J307" i="2" s="1"/>
  <c r="H307" i="2" s="1"/>
  <c r="K331" i="2"/>
  <c r="I331" i="2"/>
  <c r="G354" i="2"/>
  <c r="F354" i="2"/>
  <c r="K354" i="2" s="1"/>
  <c r="F373" i="2"/>
  <c r="I373" i="2" s="1"/>
  <c r="K440" i="2"/>
  <c r="J440" i="2"/>
  <c r="H440" i="2" s="1"/>
  <c r="G582" i="2"/>
  <c r="F582" i="2"/>
  <c r="K582" i="2" s="1"/>
  <c r="K594" i="2"/>
  <c r="J594" i="2"/>
  <c r="H594" i="2" s="1"/>
  <c r="I594" i="2"/>
  <c r="F211" i="2"/>
  <c r="K211" i="2" s="1"/>
  <c r="F229" i="2"/>
  <c r="K229" i="2" s="1"/>
  <c r="F237" i="2"/>
  <c r="K272" i="2"/>
  <c r="I272" i="2"/>
  <c r="K290" i="2"/>
  <c r="I290" i="2"/>
  <c r="F303" i="2"/>
  <c r="K303" i="2" s="1"/>
  <c r="K316" i="2"/>
  <c r="J316" i="2"/>
  <c r="H316" i="2" s="1"/>
  <c r="I316" i="2"/>
  <c r="G374" i="2"/>
  <c r="F374" i="2"/>
  <c r="I374" i="2" s="1"/>
  <c r="F201" i="2"/>
  <c r="K201" i="2" s="1"/>
  <c r="I203" i="2"/>
  <c r="F206" i="2"/>
  <c r="G211" i="2"/>
  <c r="F217" i="2"/>
  <c r="I217" i="2" s="1"/>
  <c r="G229" i="2"/>
  <c r="J231" i="2"/>
  <c r="H231" i="2" s="1"/>
  <c r="G237" i="2"/>
  <c r="F239" i="2"/>
  <c r="J240" i="2"/>
  <c r="K489" i="2" s="1"/>
  <c r="G247" i="2"/>
  <c r="F249" i="2"/>
  <c r="J249" i="2" s="1"/>
  <c r="H249" i="2" s="1"/>
  <c r="I257" i="2"/>
  <c r="F263" i="2"/>
  <c r="J263" i="2" s="1"/>
  <c r="J264" i="2"/>
  <c r="H264" i="2" s="1"/>
  <c r="K274" i="2"/>
  <c r="I274" i="2"/>
  <c r="I286" i="2"/>
  <c r="K288" i="2"/>
  <c r="J288" i="2"/>
  <c r="H288" i="2" s="1"/>
  <c r="I288" i="2"/>
  <c r="F299" i="2"/>
  <c r="I299" i="2" s="1"/>
  <c r="G319" i="2"/>
  <c r="F319" i="2"/>
  <c r="J319" i="2" s="1"/>
  <c r="H319" i="2" s="1"/>
  <c r="F324" i="2"/>
  <c r="I324" i="2" s="1"/>
  <c r="G324" i="2"/>
  <c r="F329" i="2"/>
  <c r="K329" i="2" s="1"/>
  <c r="G329" i="2"/>
  <c r="J331" i="2"/>
  <c r="H331" i="2" s="1"/>
  <c r="J411" i="2"/>
  <c r="H411" i="2" s="1"/>
  <c r="I411" i="2"/>
  <c r="J516" i="2"/>
  <c r="K532" i="2" s="1"/>
  <c r="I516" i="2"/>
  <c r="G206" i="2"/>
  <c r="G217" i="2"/>
  <c r="F225" i="2"/>
  <c r="I225" i="2" s="1"/>
  <c r="I226" i="2"/>
  <c r="F241" i="2"/>
  <c r="I241" i="2" s="1"/>
  <c r="K256" i="2"/>
  <c r="I256" i="2"/>
  <c r="F265" i="2"/>
  <c r="J265" i="2" s="1"/>
  <c r="H265" i="2" s="1"/>
  <c r="F269" i="2"/>
  <c r="J269" i="2" s="1"/>
  <c r="K280" i="2"/>
  <c r="I280" i="2"/>
  <c r="F297" i="2"/>
  <c r="K310" i="2"/>
  <c r="I310" i="2"/>
  <c r="G541" i="2"/>
  <c r="F541" i="2"/>
  <c r="K541" i="2" s="1"/>
  <c r="K216" i="2"/>
  <c r="F233" i="2"/>
  <c r="K233" i="2" s="1"/>
  <c r="G241" i="2"/>
  <c r="G246" i="2"/>
  <c r="K246" i="2"/>
  <c r="I246" i="2"/>
  <c r="I260" i="2"/>
  <c r="F271" i="2"/>
  <c r="I271" i="2" s="1"/>
  <c r="K282" i="2"/>
  <c r="I282" i="2"/>
  <c r="G295" i="2"/>
  <c r="F295" i="2"/>
  <c r="J295" i="2" s="1"/>
  <c r="H295" i="2" s="1"/>
  <c r="I304" i="2"/>
  <c r="K308" i="2"/>
  <c r="J308" i="2"/>
  <c r="H308" i="2" s="1"/>
  <c r="I308" i="2"/>
  <c r="G317" i="2"/>
  <c r="J317" i="2"/>
  <c r="H317" i="2" s="1"/>
  <c r="F320" i="2"/>
  <c r="I320" i="2" s="1"/>
  <c r="J336" i="2"/>
  <c r="H336" i="2" s="1"/>
  <c r="I336" i="2"/>
  <c r="K344" i="2"/>
  <c r="I344" i="2"/>
  <c r="K260" i="2"/>
  <c r="I266" i="2"/>
  <c r="K270" i="2"/>
  <c r="I276" i="2"/>
  <c r="K278" i="2"/>
  <c r="I284" i="2"/>
  <c r="K286" i="2"/>
  <c r="I294" i="2"/>
  <c r="K296" i="2"/>
  <c r="I302" i="2"/>
  <c r="K304" i="2"/>
  <c r="I312" i="2"/>
  <c r="K314" i="2"/>
  <c r="I318" i="2"/>
  <c r="J322" i="2"/>
  <c r="H322" i="2" s="1"/>
  <c r="I327" i="2"/>
  <c r="J327" i="2"/>
  <c r="K387" i="2" s="1"/>
  <c r="J342" i="2"/>
  <c r="H342" i="2" s="1"/>
  <c r="J349" i="2"/>
  <c r="H349" i="2" s="1"/>
  <c r="G364" i="2"/>
  <c r="F364" i="2"/>
  <c r="K364" i="2" s="1"/>
  <c r="J388" i="2"/>
  <c r="H388" i="2" s="1"/>
  <c r="I388" i="2"/>
  <c r="F458" i="2"/>
  <c r="K458" i="2" s="1"/>
  <c r="G458" i="2"/>
  <c r="K557" i="2"/>
  <c r="J557" i="2"/>
  <c r="H557" i="2" s="1"/>
  <c r="G250" i="2"/>
  <c r="G262" i="2"/>
  <c r="K266" i="2"/>
  <c r="K276" i="2"/>
  <c r="J283" i="2"/>
  <c r="K312" i="2" s="1"/>
  <c r="K284" i="2"/>
  <c r="J291" i="2"/>
  <c r="H291" i="2" s="1"/>
  <c r="K294" i="2"/>
  <c r="J301" i="2"/>
  <c r="H301" i="2" s="1"/>
  <c r="K302" i="2"/>
  <c r="J311" i="2"/>
  <c r="H311" i="2" s="1"/>
  <c r="K318" i="2"/>
  <c r="G336" i="2"/>
  <c r="K336" i="2"/>
  <c r="J338" i="2"/>
  <c r="H338" i="2" s="1"/>
  <c r="I338" i="2"/>
  <c r="G343" i="2"/>
  <c r="F343" i="2"/>
  <c r="I345" i="2"/>
  <c r="J345" i="2"/>
  <c r="H345" i="2" s="1"/>
  <c r="F347" i="2"/>
  <c r="I347" i="2" s="1"/>
  <c r="K362" i="2"/>
  <c r="J362" i="2"/>
  <c r="H362" i="2" s="1"/>
  <c r="F365" i="2"/>
  <c r="K365" i="2" s="1"/>
  <c r="G369" i="2"/>
  <c r="F369" i="2"/>
  <c r="K369" i="2" s="1"/>
  <c r="I391" i="2"/>
  <c r="K391" i="2"/>
  <c r="J391" i="2"/>
  <c r="H391" i="2" s="1"/>
  <c r="G391" i="2"/>
  <c r="I407" i="2"/>
  <c r="K407" i="2"/>
  <c r="J407" i="2"/>
  <c r="H407" i="2" s="1"/>
  <c r="G407" i="2"/>
  <c r="J422" i="2"/>
  <c r="I422" i="2"/>
  <c r="G466" i="2"/>
  <c r="F466" i="2"/>
  <c r="K466" i="2" s="1"/>
  <c r="J503" i="2"/>
  <c r="H503" i="2" s="1"/>
  <c r="K382" i="2"/>
  <c r="J382" i="2"/>
  <c r="H382" i="2" s="1"/>
  <c r="F385" i="2"/>
  <c r="I385" i="2" s="1"/>
  <c r="K574" i="2"/>
  <c r="I574" i="2"/>
  <c r="J328" i="2"/>
  <c r="H328" i="2" s="1"/>
  <c r="I328" i="2"/>
  <c r="I382" i="2"/>
  <c r="G385" i="2"/>
  <c r="G400" i="2"/>
  <c r="F400" i="2"/>
  <c r="J400" i="2" s="1"/>
  <c r="H400" i="2" s="1"/>
  <c r="G418" i="2"/>
  <c r="F418" i="2"/>
  <c r="J418" i="2" s="1"/>
  <c r="H418" i="2" s="1"/>
  <c r="J452" i="2"/>
  <c r="H452" i="2" s="1"/>
  <c r="I452" i="2"/>
  <c r="J472" i="2"/>
  <c r="K472" i="2"/>
  <c r="I472" i="2"/>
  <c r="G533" i="2"/>
  <c r="F533" i="2"/>
  <c r="K533" i="2" s="1"/>
  <c r="G355" i="2"/>
  <c r="F355" i="2"/>
  <c r="I355" i="2" s="1"/>
  <c r="K357" i="2"/>
  <c r="J357" i="2"/>
  <c r="K321" i="2"/>
  <c r="G325" i="2"/>
  <c r="F325" i="2"/>
  <c r="I325" i="2" s="1"/>
  <c r="G328" i="2"/>
  <c r="F330" i="2"/>
  <c r="J330" i="2" s="1"/>
  <c r="H330" i="2" s="1"/>
  <c r="G335" i="2"/>
  <c r="F335" i="2"/>
  <c r="J335" i="2" s="1"/>
  <c r="H335" i="2" s="1"/>
  <c r="I337" i="2"/>
  <c r="J337" i="2"/>
  <c r="H337" i="2" s="1"/>
  <c r="F339" i="2"/>
  <c r="I339" i="2" s="1"/>
  <c r="J346" i="2"/>
  <c r="H346" i="2" s="1"/>
  <c r="I346" i="2"/>
  <c r="G346" i="2"/>
  <c r="G351" i="2"/>
  <c r="F351" i="2"/>
  <c r="J351" i="2" s="1"/>
  <c r="H351" i="2" s="1"/>
  <c r="I353" i="2"/>
  <c r="K353" i="2"/>
  <c r="J353" i="2"/>
  <c r="H353" i="2" s="1"/>
  <c r="K377" i="2"/>
  <c r="J377" i="2"/>
  <c r="H377" i="2" s="1"/>
  <c r="K398" i="2"/>
  <c r="J398" i="2"/>
  <c r="H398" i="2" s="1"/>
  <c r="K416" i="2"/>
  <c r="J416" i="2"/>
  <c r="H416" i="2" s="1"/>
  <c r="J462" i="2"/>
  <c r="H462" i="2" s="1"/>
  <c r="K462" i="2"/>
  <c r="I462" i="2"/>
  <c r="F468" i="2"/>
  <c r="I468" i="2" s="1"/>
  <c r="G477" i="2"/>
  <c r="F477" i="2"/>
  <c r="K477" i="2" s="1"/>
  <c r="K487" i="2"/>
  <c r="J487" i="2"/>
  <c r="H487" i="2" s="1"/>
  <c r="I487" i="2"/>
  <c r="G487" i="2"/>
  <c r="K516" i="2"/>
  <c r="I531" i="2"/>
  <c r="K531" i="2"/>
  <c r="J531" i="2"/>
  <c r="H531" i="2" s="1"/>
  <c r="G560" i="2"/>
  <c r="F560" i="2"/>
  <c r="I560" i="2" s="1"/>
  <c r="F361" i="2"/>
  <c r="I361" i="2" s="1"/>
  <c r="G381" i="2"/>
  <c r="F381" i="2"/>
  <c r="I381" i="2" s="1"/>
  <c r="J395" i="2"/>
  <c r="H395" i="2" s="1"/>
  <c r="G397" i="2"/>
  <c r="F397" i="2"/>
  <c r="J413" i="2"/>
  <c r="H413" i="2" s="1"/>
  <c r="F415" i="2"/>
  <c r="I415" i="2" s="1"/>
  <c r="G432" i="2"/>
  <c r="G443" i="2"/>
  <c r="G448" i="2"/>
  <c r="F450" i="2"/>
  <c r="G456" i="2"/>
  <c r="F456" i="2"/>
  <c r="K456" i="2" s="1"/>
  <c r="G469" i="2"/>
  <c r="F528" i="2"/>
  <c r="K528" i="2" s="1"/>
  <c r="G528" i="2"/>
  <c r="F536" i="2"/>
  <c r="I536" i="2" s="1"/>
  <c r="G536" i="2"/>
  <c r="G555" i="2"/>
  <c r="F555" i="2"/>
  <c r="J555" i="2" s="1"/>
  <c r="H555" i="2" s="1"/>
  <c r="K348" i="2"/>
  <c r="K366" i="2"/>
  <c r="F375" i="2"/>
  <c r="I375" i="2" s="1"/>
  <c r="K386" i="2"/>
  <c r="F393" i="2"/>
  <c r="I393" i="2" s="1"/>
  <c r="K402" i="2"/>
  <c r="F409" i="2"/>
  <c r="I409" i="2" s="1"/>
  <c r="K420" i="2"/>
  <c r="F424" i="2"/>
  <c r="F426" i="2"/>
  <c r="I426" i="2" s="1"/>
  <c r="K428" i="2"/>
  <c r="F432" i="2"/>
  <c r="K432" i="2" s="1"/>
  <c r="F434" i="2"/>
  <c r="J434" i="2" s="1"/>
  <c r="H434" i="2" s="1"/>
  <c r="K436" i="2"/>
  <c r="J441" i="2"/>
  <c r="H441" i="2" s="1"/>
  <c r="F443" i="2"/>
  <c r="I443" i="2" s="1"/>
  <c r="F448" i="2"/>
  <c r="K448" i="2" s="1"/>
  <c r="K459" i="2"/>
  <c r="J459" i="2"/>
  <c r="H459" i="2" s="1"/>
  <c r="I459" i="2"/>
  <c r="G459" i="2"/>
  <c r="F469" i="2"/>
  <c r="I469" i="2" s="1"/>
  <c r="J475" i="2"/>
  <c r="H475" i="2" s="1"/>
  <c r="K488" i="2"/>
  <c r="F514" i="2"/>
  <c r="I514" i="2" s="1"/>
  <c r="G526" i="2"/>
  <c r="F526" i="2"/>
  <c r="K526" i="2" s="1"/>
  <c r="F550" i="2"/>
  <c r="K550" i="2" s="1"/>
  <c r="G564" i="2"/>
  <c r="F564" i="2"/>
  <c r="K564" i="2" s="1"/>
  <c r="F590" i="2"/>
  <c r="K590" i="2" s="1"/>
  <c r="G614" i="2"/>
  <c r="F614" i="2"/>
  <c r="I614" i="2" s="1"/>
  <c r="I363" i="2"/>
  <c r="G375" i="2"/>
  <c r="I383" i="2"/>
  <c r="G393" i="2"/>
  <c r="I399" i="2"/>
  <c r="G409" i="2"/>
  <c r="I417" i="2"/>
  <c r="G426" i="2"/>
  <c r="G434" i="2"/>
  <c r="G439" i="2"/>
  <c r="F439" i="2"/>
  <c r="K439" i="2" s="1"/>
  <c r="K451" i="2"/>
  <c r="J451" i="2"/>
  <c r="H451" i="2" s="1"/>
  <c r="I451" i="2"/>
  <c r="G451" i="2"/>
  <c r="J467" i="2"/>
  <c r="H467" i="2" s="1"/>
  <c r="K478" i="2"/>
  <c r="F504" i="2"/>
  <c r="K504" i="2" s="1"/>
  <c r="G512" i="2"/>
  <c r="F512" i="2"/>
  <c r="I512" i="2" s="1"/>
  <c r="K521" i="2"/>
  <c r="J521" i="2"/>
  <c r="H521" i="2" s="1"/>
  <c r="K534" i="2"/>
  <c r="G545" i="2"/>
  <c r="F545" i="2"/>
  <c r="I545" i="2" s="1"/>
  <c r="I551" i="2"/>
  <c r="I565" i="2"/>
  <c r="G590" i="2"/>
  <c r="G615" i="2"/>
  <c r="F615" i="2"/>
  <c r="K615" i="2" s="1"/>
  <c r="F494" i="2"/>
  <c r="I494" i="2" s="1"/>
  <c r="G502" i="2"/>
  <c r="F502" i="2"/>
  <c r="J502" i="2" s="1"/>
  <c r="H502" i="2" s="1"/>
  <c r="G504" i="2"/>
  <c r="G515" i="2"/>
  <c r="G519" i="2"/>
  <c r="F519" i="2"/>
  <c r="I519" i="2" s="1"/>
  <c r="K565" i="2"/>
  <c r="J565" i="2"/>
  <c r="H565" i="2" s="1"/>
  <c r="G567" i="2"/>
  <c r="F567" i="2"/>
  <c r="K567" i="2" s="1"/>
  <c r="K576" i="2"/>
  <c r="I576" i="2"/>
  <c r="G389" i="2"/>
  <c r="F389" i="2"/>
  <c r="F392" i="2"/>
  <c r="K392" i="2" s="1"/>
  <c r="G405" i="2"/>
  <c r="F405" i="2"/>
  <c r="K405" i="2" s="1"/>
  <c r="F408" i="2"/>
  <c r="K408" i="2" s="1"/>
  <c r="G423" i="2"/>
  <c r="F423" i="2"/>
  <c r="I423" i="2" s="1"/>
  <c r="G431" i="2"/>
  <c r="F431" i="2"/>
  <c r="I431" i="2" s="1"/>
  <c r="F486" i="2"/>
  <c r="I486" i="2" s="1"/>
  <c r="I488" i="2"/>
  <c r="K492" i="2"/>
  <c r="G494" i="2"/>
  <c r="G505" i="2"/>
  <c r="F515" i="2"/>
  <c r="J515" i="2" s="1"/>
  <c r="H515" i="2" s="1"/>
  <c r="G530" i="2"/>
  <c r="F530" i="2"/>
  <c r="K530" i="2" s="1"/>
  <c r="F538" i="2"/>
  <c r="K538" i="2" s="1"/>
  <c r="J576" i="2"/>
  <c r="H576" i="2" s="1"/>
  <c r="K636" i="2"/>
  <c r="J636" i="2"/>
  <c r="H636" i="2" s="1"/>
  <c r="I636" i="2"/>
  <c r="K340" i="2"/>
  <c r="I348" i="2"/>
  <c r="K352" i="2"/>
  <c r="K356" i="2"/>
  <c r="J363" i="2"/>
  <c r="H363" i="2" s="1"/>
  <c r="I366" i="2"/>
  <c r="K370" i="2"/>
  <c r="K376" i="2"/>
  <c r="J383" i="2"/>
  <c r="I386" i="2"/>
  <c r="K390" i="2"/>
  <c r="G392" i="2"/>
  <c r="K394" i="2"/>
  <c r="J399" i="2"/>
  <c r="H399" i="2" s="1"/>
  <c r="F401" i="2"/>
  <c r="I401" i="2" s="1"/>
  <c r="I402" i="2"/>
  <c r="K406" i="2"/>
  <c r="G408" i="2"/>
  <c r="K411" i="2"/>
  <c r="J417" i="2"/>
  <c r="K437" i="2" s="1"/>
  <c r="F419" i="2"/>
  <c r="I419" i="2" s="1"/>
  <c r="I420" i="2"/>
  <c r="F425" i="2"/>
  <c r="K425" i="2" s="1"/>
  <c r="F427" i="2"/>
  <c r="J427" i="2" s="1"/>
  <c r="H427" i="2" s="1"/>
  <c r="F433" i="2"/>
  <c r="K433" i="2" s="1"/>
  <c r="F435" i="2"/>
  <c r="J435" i="2" s="1"/>
  <c r="H435" i="2" s="1"/>
  <c r="I440" i="2"/>
  <c r="G440" i="2"/>
  <c r="F442" i="2"/>
  <c r="K442" i="2" s="1"/>
  <c r="G447" i="2"/>
  <c r="F447" i="2"/>
  <c r="K447" i="2" s="1"/>
  <c r="K452" i="2"/>
  <c r="F476" i="2"/>
  <c r="K476" i="2" s="1"/>
  <c r="I478" i="2"/>
  <c r="F482" i="2"/>
  <c r="I482" i="2" s="1"/>
  <c r="K495" i="2"/>
  <c r="J495" i="2"/>
  <c r="H495" i="2" s="1"/>
  <c r="I495" i="2"/>
  <c r="G495" i="2"/>
  <c r="F505" i="2"/>
  <c r="K505" i="2" s="1"/>
  <c r="I510" i="2"/>
  <c r="J513" i="2"/>
  <c r="G538" i="2"/>
  <c r="J543" i="2"/>
  <c r="J551" i="2"/>
  <c r="H551" i="2" s="1"/>
  <c r="F562" i="2"/>
  <c r="G570" i="2"/>
  <c r="F570" i="2"/>
  <c r="K570" i="2" s="1"/>
  <c r="F588" i="2"/>
  <c r="J588" i="2" s="1"/>
  <c r="H588" i="2" s="1"/>
  <c r="I521" i="2"/>
  <c r="I543" i="2"/>
  <c r="I557" i="2"/>
  <c r="G580" i="2"/>
  <c r="F580" i="2"/>
  <c r="K580" i="2" s="1"/>
  <c r="G622" i="2"/>
  <c r="F622" i="2"/>
  <c r="K622" i="2" s="1"/>
  <c r="G575" i="2"/>
  <c r="F575" i="2"/>
  <c r="K575" i="2" s="1"/>
  <c r="G596" i="2"/>
  <c r="F596" i="2"/>
  <c r="K596" i="2" s="1"/>
  <c r="G623" i="2"/>
  <c r="F455" i="2"/>
  <c r="K455" i="2" s="1"/>
  <c r="F463" i="2"/>
  <c r="K463" i="2" s="1"/>
  <c r="F473" i="2"/>
  <c r="K473" i="2" s="1"/>
  <c r="F481" i="2"/>
  <c r="F491" i="2"/>
  <c r="F501" i="2"/>
  <c r="F511" i="2"/>
  <c r="F518" i="2"/>
  <c r="K518" i="2" s="1"/>
  <c r="G525" i="2"/>
  <c r="F525" i="2"/>
  <c r="K525" i="2" s="1"/>
  <c r="G537" i="2"/>
  <c r="I548" i="2"/>
  <c r="F552" i="2"/>
  <c r="K552" i="2" s="1"/>
  <c r="G559" i="2"/>
  <c r="F571" i="2"/>
  <c r="J571" i="2" s="1"/>
  <c r="H571" i="2" s="1"/>
  <c r="K581" i="2"/>
  <c r="J581" i="2"/>
  <c r="H581" i="2" s="1"/>
  <c r="G581" i="2"/>
  <c r="G585" i="2"/>
  <c r="F585" i="2"/>
  <c r="K585" i="2" s="1"/>
  <c r="I591" i="2"/>
  <c r="I592" i="2"/>
  <c r="G597" i="2"/>
  <c r="F623" i="2"/>
  <c r="K623" i="2" s="1"/>
  <c r="I441" i="2"/>
  <c r="I449" i="2"/>
  <c r="I457" i="2"/>
  <c r="I467" i="2"/>
  <c r="I475" i="2"/>
  <c r="I483" i="2"/>
  <c r="I493" i="2"/>
  <c r="I503" i="2"/>
  <c r="I513" i="2"/>
  <c r="G518" i="2"/>
  <c r="I527" i="2"/>
  <c r="I537" i="2"/>
  <c r="I539" i="2"/>
  <c r="F542" i="2"/>
  <c r="G552" i="2"/>
  <c r="F556" i="2"/>
  <c r="I561" i="2"/>
  <c r="K589" i="2"/>
  <c r="J589" i="2"/>
  <c r="H589" i="2" s="1"/>
  <c r="G589" i="2"/>
  <c r="G593" i="2"/>
  <c r="F593" i="2"/>
  <c r="F597" i="2"/>
  <c r="I597" i="2" s="1"/>
  <c r="G604" i="2"/>
  <c r="F604" i="2"/>
  <c r="K604" i="2" s="1"/>
  <c r="I618" i="2"/>
  <c r="K628" i="2"/>
  <c r="J628" i="2"/>
  <c r="H628" i="2" s="1"/>
  <c r="G632" i="2"/>
  <c r="F632" i="2"/>
  <c r="K632" i="2" s="1"/>
  <c r="K529" i="2"/>
  <c r="J529" i="2"/>
  <c r="H529" i="2" s="1"/>
  <c r="F544" i="2"/>
  <c r="K544" i="2" s="1"/>
  <c r="K546" i="2"/>
  <c r="F549" i="2"/>
  <c r="J563" i="2"/>
  <c r="K572" i="2"/>
  <c r="I572" i="2"/>
  <c r="K573" i="2"/>
  <c r="K598" i="2"/>
  <c r="K605" i="2"/>
  <c r="J605" i="2"/>
  <c r="H605" i="2" s="1"/>
  <c r="I605" i="2"/>
  <c r="G605" i="2"/>
  <c r="K633" i="2"/>
  <c r="J633" i="2"/>
  <c r="H633" i="2" s="1"/>
  <c r="I633" i="2"/>
  <c r="G633" i="2"/>
  <c r="G640" i="2"/>
  <c r="F640" i="2"/>
  <c r="J640" i="2" s="1"/>
  <c r="H640" i="2" s="1"/>
  <c r="J522" i="2"/>
  <c r="H522" i="2" s="1"/>
  <c r="J532" i="2"/>
  <c r="J540" i="2"/>
  <c r="H540" i="2" s="1"/>
  <c r="J548" i="2"/>
  <c r="H548" i="2" s="1"/>
  <c r="J558" i="2"/>
  <c r="H558" i="2" s="1"/>
  <c r="J566" i="2"/>
  <c r="H566" i="2" s="1"/>
  <c r="J574" i="2"/>
  <c r="H574" i="2" s="1"/>
  <c r="J584" i="2"/>
  <c r="J592" i="2"/>
  <c r="H592" i="2" s="1"/>
  <c r="I599" i="2"/>
  <c r="J600" i="2"/>
  <c r="H600" i="2" s="1"/>
  <c r="I609" i="2"/>
  <c r="J610" i="2"/>
  <c r="I617" i="2"/>
  <c r="J618" i="2"/>
  <c r="K626" i="2" s="1"/>
  <c r="I627" i="2"/>
  <c r="I635" i="2"/>
  <c r="I598" i="2"/>
  <c r="J599" i="2"/>
  <c r="K618" i="2" s="1"/>
  <c r="I608" i="2"/>
  <c r="J609" i="2"/>
  <c r="H609" i="2" s="1"/>
  <c r="I616" i="2"/>
  <c r="I626" i="2"/>
  <c r="I634" i="2"/>
  <c r="F639" i="2"/>
  <c r="I639" i="2" s="1"/>
  <c r="J598" i="2"/>
  <c r="J608" i="2"/>
  <c r="H608" i="2" s="1"/>
  <c r="F601" i="2"/>
  <c r="F611" i="2"/>
  <c r="K611" i="2" s="1"/>
  <c r="F619" i="2"/>
  <c r="K619" i="2" s="1"/>
  <c r="F629" i="2"/>
  <c r="F637" i="2"/>
  <c r="K637" i="2" s="1"/>
  <c r="H383" i="2" l="1"/>
  <c r="H199" i="2"/>
  <c r="H205" i="2"/>
  <c r="H79" i="2"/>
  <c r="G79" i="2"/>
  <c r="H638" i="2"/>
  <c r="G638" i="2"/>
  <c r="H631" i="2"/>
  <c r="H621" i="2"/>
  <c r="H610" i="2"/>
  <c r="H602" i="2"/>
  <c r="H598" i="2"/>
  <c r="H599" i="2"/>
  <c r="K586" i="2"/>
  <c r="H584" i="2"/>
  <c r="K584" i="2"/>
  <c r="K549" i="2"/>
  <c r="H543" i="2"/>
  <c r="H535" i="2"/>
  <c r="K520" i="2"/>
  <c r="H532" i="2"/>
  <c r="H516" i="2"/>
  <c r="H513" i="2"/>
  <c r="H489" i="2"/>
  <c r="K424" i="2"/>
  <c r="H422" i="2"/>
  <c r="K422" i="2"/>
  <c r="H417" i="2"/>
  <c r="H387" i="2"/>
  <c r="H357" i="2"/>
  <c r="K297" i="2"/>
  <c r="H240" i="2"/>
  <c r="H283" i="2"/>
  <c r="H269" i="2"/>
  <c r="H263" i="2"/>
  <c r="K235" i="2"/>
  <c r="H236" i="2"/>
  <c r="G236" i="2"/>
  <c r="K186" i="2"/>
  <c r="H182" i="2"/>
  <c r="H155" i="2"/>
  <c r="H145" i="2"/>
  <c r="H128" i="2"/>
  <c r="H122" i="2"/>
  <c r="H101" i="2"/>
  <c r="K76" i="2"/>
  <c r="H89" i="2"/>
  <c r="K42" i="2"/>
  <c r="J90" i="2"/>
  <c r="H90" i="2" s="1"/>
  <c r="J208" i="2"/>
  <c r="H208" i="2" s="1"/>
  <c r="I518" i="2"/>
  <c r="J152" i="2"/>
  <c r="H152" i="2" s="1"/>
  <c r="J212" i="2"/>
  <c r="H212" i="2" s="1"/>
  <c r="K212" i="2"/>
  <c r="J518" i="2"/>
  <c r="H518" i="2" s="1"/>
  <c r="J77" i="2"/>
  <c r="I67" i="2"/>
  <c r="J80" i="2"/>
  <c r="H80" i="2" s="1"/>
  <c r="J179" i="2"/>
  <c r="H179" i="2" s="1"/>
  <c r="J279" i="2"/>
  <c r="H279" i="2" s="1"/>
  <c r="K537" i="2"/>
  <c r="J160" i="2"/>
  <c r="H160" i="2" s="1"/>
  <c r="K281" i="2"/>
  <c r="I567" i="2"/>
  <c r="J324" i="2"/>
  <c r="H324" i="2" s="1"/>
  <c r="I275" i="2"/>
  <c r="I147" i="2"/>
  <c r="K275" i="2"/>
  <c r="J537" i="2"/>
  <c r="H537" i="2" s="1"/>
  <c r="K486" i="2"/>
  <c r="J426" i="2"/>
  <c r="H426" i="2" s="1"/>
  <c r="K307" i="2"/>
  <c r="I160" i="2"/>
  <c r="I137" i="2"/>
  <c r="J230" i="2"/>
  <c r="K179" i="2"/>
  <c r="J494" i="2"/>
  <c r="H494" i="2" s="1"/>
  <c r="J347" i="2"/>
  <c r="H347" i="2" s="1"/>
  <c r="J229" i="2"/>
  <c r="H229" i="2" s="1"/>
  <c r="I204" i="2"/>
  <c r="K43" i="2"/>
  <c r="J98" i="2"/>
  <c r="H98" i="2" s="1"/>
  <c r="J127" i="2"/>
  <c r="K164" i="2" s="1"/>
  <c r="K90" i="2"/>
  <c r="K494" i="2"/>
  <c r="J408" i="2"/>
  <c r="H408" i="2" s="1"/>
  <c r="J424" i="2"/>
  <c r="J233" i="2"/>
  <c r="H233" i="2" s="1"/>
  <c r="I108" i="2"/>
  <c r="K273" i="2"/>
  <c r="K384" i="2"/>
  <c r="I187" i="2"/>
  <c r="I12" i="2"/>
  <c r="I229" i="2"/>
  <c r="K319" i="2"/>
  <c r="I144" i="2"/>
  <c r="J468" i="2"/>
  <c r="H468" i="2" s="1"/>
  <c r="I533" i="2"/>
  <c r="K287" i="2"/>
  <c r="K77" i="2"/>
  <c r="K67" i="2"/>
  <c r="K208" i="2"/>
  <c r="J580" i="2"/>
  <c r="H580" i="2" s="1"/>
  <c r="J533" i="2"/>
  <c r="H533" i="2" s="1"/>
  <c r="I466" i="2"/>
  <c r="I541" i="2"/>
  <c r="I319" i="2"/>
  <c r="K12" i="2"/>
  <c r="J544" i="2"/>
  <c r="H544" i="2" s="1"/>
  <c r="I580" i="2"/>
  <c r="I456" i="2"/>
  <c r="K468" i="2"/>
  <c r="J355" i="2"/>
  <c r="H355" i="2" s="1"/>
  <c r="I303" i="2"/>
  <c r="I273" i="2"/>
  <c r="K103" i="2"/>
  <c r="K474" i="2"/>
  <c r="K144" i="2"/>
  <c r="H4" i="2"/>
  <c r="J536" i="2"/>
  <c r="H536" i="2" s="1"/>
  <c r="J93" i="2"/>
  <c r="H93" i="2" s="1"/>
  <c r="I575" i="2"/>
  <c r="I552" i="2"/>
  <c r="I562" i="2"/>
  <c r="I408" i="2"/>
  <c r="J614" i="2"/>
  <c r="H614" i="2" s="1"/>
  <c r="J241" i="2"/>
  <c r="H241" i="2" s="1"/>
  <c r="K92" i="2"/>
  <c r="I277" i="2"/>
  <c r="J562" i="2"/>
  <c r="K571" i="2" s="1"/>
  <c r="K502" i="2"/>
  <c r="K515" i="2"/>
  <c r="J432" i="2"/>
  <c r="H432" i="2" s="1"/>
  <c r="K614" i="2"/>
  <c r="K434" i="2"/>
  <c r="I243" i="2"/>
  <c r="K183" i="2"/>
  <c r="I235" i="2"/>
  <c r="K98" i="2"/>
  <c r="K277" i="2"/>
  <c r="K61" i="2"/>
  <c r="J245" i="2"/>
  <c r="H245" i="2" s="1"/>
  <c r="J243" i="2"/>
  <c r="H243" i="2" s="1"/>
  <c r="I279" i="2"/>
  <c r="J235" i="2"/>
  <c r="K157" i="2"/>
  <c r="J401" i="2"/>
  <c r="I329" i="2"/>
  <c r="J271" i="2"/>
  <c r="H271" i="2" s="1"/>
  <c r="K8" i="2"/>
  <c r="K339" i="2"/>
  <c r="J575" i="2"/>
  <c r="H575" i="2" s="1"/>
  <c r="I476" i="2"/>
  <c r="I442" i="2"/>
  <c r="J530" i="2"/>
  <c r="H530" i="2" s="1"/>
  <c r="I425" i="2"/>
  <c r="I590" i="2"/>
  <c r="K555" i="2"/>
  <c r="J528" i="2"/>
  <c r="H528" i="2" s="1"/>
  <c r="J393" i="2"/>
  <c r="H393" i="2" s="1"/>
  <c r="J320" i="2"/>
  <c r="H320" i="2" s="1"/>
  <c r="J297" i="2"/>
  <c r="K327" i="2" s="1"/>
  <c r="J303" i="2"/>
  <c r="K591" i="2" s="1"/>
  <c r="J354" i="2"/>
  <c r="H354" i="2" s="1"/>
  <c r="J309" i="2"/>
  <c r="H309" i="2" s="1"/>
  <c r="K165" i="2"/>
  <c r="K315" i="2"/>
  <c r="I128" i="2"/>
  <c r="I193" i="2"/>
  <c r="J187" i="2"/>
  <c r="I8" i="2"/>
  <c r="I530" i="2"/>
  <c r="K427" i="2"/>
  <c r="I528" i="2"/>
  <c r="K385" i="2"/>
  <c r="I354" i="2"/>
  <c r="I596" i="2"/>
  <c r="J476" i="2"/>
  <c r="H476" i="2" s="1"/>
  <c r="J442" i="2"/>
  <c r="H442" i="2" s="1"/>
  <c r="J425" i="2"/>
  <c r="H425" i="2" s="1"/>
  <c r="I502" i="2"/>
  <c r="I615" i="2"/>
  <c r="J545" i="2"/>
  <c r="H545" i="2" s="1"/>
  <c r="J514" i="2"/>
  <c r="H514" i="2" s="1"/>
  <c r="K393" i="2"/>
  <c r="K309" i="2"/>
  <c r="I178" i="2"/>
  <c r="I183" i="2"/>
  <c r="I571" i="2"/>
  <c r="K168" i="2"/>
  <c r="K40" i="2"/>
  <c r="J552" i="2"/>
  <c r="H552" i="2" s="1"/>
  <c r="J596" i="2"/>
  <c r="H596" i="2" s="1"/>
  <c r="J486" i="2"/>
  <c r="K500" i="2" s="1"/>
  <c r="J615" i="2"/>
  <c r="H615" i="2" s="1"/>
  <c r="K545" i="2"/>
  <c r="K514" i="2"/>
  <c r="J456" i="2"/>
  <c r="H456" i="2" s="1"/>
  <c r="K536" i="2"/>
  <c r="J469" i="2"/>
  <c r="H469" i="2" s="1"/>
  <c r="J443" i="2"/>
  <c r="H443" i="2" s="1"/>
  <c r="K418" i="2"/>
  <c r="K347" i="2"/>
  <c r="K317" i="2"/>
  <c r="J299" i="2"/>
  <c r="H299" i="2" s="1"/>
  <c r="I196" i="2"/>
  <c r="J178" i="2"/>
  <c r="J315" i="2"/>
  <c r="H315" i="2" s="1"/>
  <c r="I230" i="2"/>
  <c r="K85" i="2"/>
  <c r="K108" i="2"/>
  <c r="I555" i="2"/>
  <c r="K320" i="2"/>
  <c r="I297" i="2"/>
  <c r="K289" i="2"/>
  <c r="J597" i="2"/>
  <c r="H597" i="2" s="1"/>
  <c r="I564" i="2"/>
  <c r="K469" i="2"/>
  <c r="K443" i="2"/>
  <c r="I418" i="2"/>
  <c r="I364" i="2"/>
  <c r="K299" i="2"/>
  <c r="I245" i="2"/>
  <c r="J374" i="2"/>
  <c r="H374" i="2" s="1"/>
  <c r="I233" i="2"/>
  <c r="K196" i="2"/>
  <c r="I80" i="2"/>
  <c r="J92" i="2"/>
  <c r="H92" i="2" s="1"/>
  <c r="J385" i="2"/>
  <c r="H385" i="2" s="1"/>
  <c r="J289" i="2"/>
  <c r="H289" i="2" s="1"/>
  <c r="J590" i="2"/>
  <c r="H590" i="2" s="1"/>
  <c r="K597" i="2"/>
  <c r="I505" i="2"/>
  <c r="J433" i="2"/>
  <c r="H433" i="2" s="1"/>
  <c r="I434" i="2"/>
  <c r="K409" i="2"/>
  <c r="I365" i="2"/>
  <c r="J364" i="2"/>
  <c r="H364" i="2" s="1"/>
  <c r="I215" i="2"/>
  <c r="K174" i="2"/>
  <c r="J61" i="2"/>
  <c r="K155" i="2" s="1"/>
  <c r="J16" i="2"/>
  <c r="H16" i="2" s="1"/>
  <c r="J51" i="2"/>
  <c r="H51" i="2" s="1"/>
  <c r="I51" i="2"/>
  <c r="I269" i="2"/>
  <c r="K206" i="2"/>
  <c r="J206" i="2"/>
  <c r="H206" i="2" s="1"/>
  <c r="K46" i="2"/>
  <c r="J46" i="2"/>
  <c r="K450" i="2" s="1"/>
  <c r="I542" i="2"/>
  <c r="K542" i="2"/>
  <c r="J542" i="2"/>
  <c r="H542" i="2" s="1"/>
  <c r="I622" i="2"/>
  <c r="I570" i="2"/>
  <c r="K435" i="2"/>
  <c r="J564" i="2"/>
  <c r="H564" i="2" s="1"/>
  <c r="J526" i="2"/>
  <c r="H526" i="2" s="1"/>
  <c r="I450" i="2"/>
  <c r="K361" i="2"/>
  <c r="J361" i="2"/>
  <c r="K373" i="2" s="1"/>
  <c r="I477" i="2"/>
  <c r="I427" i="2"/>
  <c r="K400" i="2"/>
  <c r="J365" i="2"/>
  <c r="K324" i="2"/>
  <c r="K255" i="2"/>
  <c r="J582" i="2"/>
  <c r="H582" i="2" s="1"/>
  <c r="J373" i="2"/>
  <c r="I287" i="2"/>
  <c r="I186" i="2"/>
  <c r="I161" i="2"/>
  <c r="K161" i="2"/>
  <c r="I72" i="2"/>
  <c r="I36" i="2"/>
  <c r="I163" i="2"/>
  <c r="J126" i="2"/>
  <c r="K127" i="2" s="1"/>
  <c r="K126" i="2"/>
  <c r="K109" i="2"/>
  <c r="I109" i="2"/>
  <c r="I5" i="2"/>
  <c r="J5" i="2"/>
  <c r="H5" i="2" s="1"/>
  <c r="K5" i="2"/>
  <c r="I174" i="2"/>
  <c r="J139" i="2"/>
  <c r="H139" i="2" s="1"/>
  <c r="I139" i="2"/>
  <c r="I46" i="2"/>
  <c r="I43" i="2"/>
  <c r="J147" i="2"/>
  <c r="J103" i="2"/>
  <c r="I157" i="2"/>
  <c r="K129" i="2"/>
  <c r="J193" i="2"/>
  <c r="H193" i="2" s="1"/>
  <c r="J49" i="2"/>
  <c r="H49" i="2" s="1"/>
  <c r="J593" i="2"/>
  <c r="H593" i="2" s="1"/>
  <c r="I593" i="2"/>
  <c r="J375" i="2"/>
  <c r="H375" i="2" s="1"/>
  <c r="I239" i="2"/>
  <c r="K239" i="2"/>
  <c r="I632" i="2"/>
  <c r="J501" i="2"/>
  <c r="H501" i="2" s="1"/>
  <c r="I501" i="2"/>
  <c r="I623" i="2"/>
  <c r="I538" i="2"/>
  <c r="J567" i="2"/>
  <c r="H567" i="2" s="1"/>
  <c r="I504" i="2"/>
  <c r="J639" i="2"/>
  <c r="H639" i="2" s="1"/>
  <c r="K639" i="2"/>
  <c r="I640" i="2"/>
  <c r="I544" i="2"/>
  <c r="J632" i="2"/>
  <c r="H632" i="2" s="1"/>
  <c r="I604" i="2"/>
  <c r="I525" i="2"/>
  <c r="J525" i="2"/>
  <c r="H525" i="2" s="1"/>
  <c r="J491" i="2"/>
  <c r="H491" i="2" s="1"/>
  <c r="I491" i="2"/>
  <c r="J623" i="2"/>
  <c r="H623" i="2" s="1"/>
  <c r="J622" i="2"/>
  <c r="H622" i="2" s="1"/>
  <c r="K588" i="2"/>
  <c r="J570" i="2"/>
  <c r="H570" i="2" s="1"/>
  <c r="J538" i="2"/>
  <c r="H538" i="2" s="1"/>
  <c r="I492" i="2"/>
  <c r="I433" i="2"/>
  <c r="K423" i="2"/>
  <c r="J423" i="2"/>
  <c r="H423" i="2" s="1"/>
  <c r="K401" i="2"/>
  <c r="J519" i="2"/>
  <c r="H519" i="2" s="1"/>
  <c r="I392" i="2"/>
  <c r="I526" i="2"/>
  <c r="J504" i="2"/>
  <c r="H504" i="2" s="1"/>
  <c r="J448" i="2"/>
  <c r="H448" i="2" s="1"/>
  <c r="J450" i="2"/>
  <c r="I424" i="2"/>
  <c r="J477" i="2"/>
  <c r="H477" i="2" s="1"/>
  <c r="J339" i="2"/>
  <c r="H339" i="2" s="1"/>
  <c r="K325" i="2"/>
  <c r="J325" i="2"/>
  <c r="H325" i="2" s="1"/>
  <c r="I400" i="2"/>
  <c r="I435" i="2"/>
  <c r="K343" i="2"/>
  <c r="J343" i="2"/>
  <c r="H343" i="2" s="1"/>
  <c r="I343" i="2"/>
  <c r="I317" i="2"/>
  <c r="K295" i="2"/>
  <c r="I295" i="2"/>
  <c r="I211" i="2"/>
  <c r="K265" i="2"/>
  <c r="I265" i="2"/>
  <c r="J225" i="2"/>
  <c r="H225" i="2" s="1"/>
  <c r="K249" i="2"/>
  <c r="I249" i="2"/>
  <c r="I201" i="2"/>
  <c r="J201" i="2"/>
  <c r="J211" i="2"/>
  <c r="H211" i="2" s="1"/>
  <c r="K285" i="2"/>
  <c r="I285" i="2"/>
  <c r="J255" i="2"/>
  <c r="H255" i="2" s="1"/>
  <c r="J186" i="2"/>
  <c r="K91" i="2"/>
  <c r="I91" i="2"/>
  <c r="J474" i="2"/>
  <c r="H474" i="2" s="1"/>
  <c r="I384" i="2"/>
  <c r="J163" i="2"/>
  <c r="H163" i="2" s="1"/>
  <c r="I75" i="2"/>
  <c r="I73" i="2"/>
  <c r="K73" i="2"/>
  <c r="K137" i="2"/>
  <c r="K16" i="2"/>
  <c r="I169" i="2"/>
  <c r="I129" i="2"/>
  <c r="K49" i="2"/>
  <c r="J20" i="2"/>
  <c r="K26" i="2" s="1"/>
  <c r="K75" i="2"/>
  <c r="I559" i="2"/>
  <c r="J559" i="2"/>
  <c r="H559" i="2" s="1"/>
  <c r="I585" i="2"/>
  <c r="J585" i="2"/>
  <c r="H585" i="2" s="1"/>
  <c r="K375" i="2"/>
  <c r="K134" i="2"/>
  <c r="J134" i="2"/>
  <c r="J392" i="2"/>
  <c r="H392" i="2" s="1"/>
  <c r="I261" i="2"/>
  <c r="K261" i="2"/>
  <c r="I582" i="2"/>
  <c r="J118" i="2"/>
  <c r="H118" i="2" s="1"/>
  <c r="K118" i="2"/>
  <c r="K225" i="2"/>
  <c r="J165" i="2"/>
  <c r="H165" i="2" s="1"/>
  <c r="K241" i="2"/>
  <c r="K20" i="2"/>
  <c r="K72" i="2"/>
  <c r="J511" i="2"/>
  <c r="H511" i="2" s="1"/>
  <c r="I511" i="2"/>
  <c r="K142" i="2"/>
  <c r="J142" i="2"/>
  <c r="H142" i="2" s="1"/>
  <c r="K511" i="2"/>
  <c r="K519" i="2"/>
  <c r="J629" i="2"/>
  <c r="H629" i="2" s="1"/>
  <c r="I629" i="2"/>
  <c r="J492" i="2"/>
  <c r="J505" i="2"/>
  <c r="H505" i="2" s="1"/>
  <c r="K431" i="2"/>
  <c r="J431" i="2"/>
  <c r="H431" i="2" s="1"/>
  <c r="J419" i="2"/>
  <c r="H419" i="2" s="1"/>
  <c r="J389" i="2"/>
  <c r="H389" i="2" s="1"/>
  <c r="I389" i="2"/>
  <c r="J439" i="2"/>
  <c r="H439" i="2" s="1"/>
  <c r="I439" i="2"/>
  <c r="I550" i="2"/>
  <c r="J560" i="2"/>
  <c r="H560" i="2" s="1"/>
  <c r="K351" i="2"/>
  <c r="I351" i="2"/>
  <c r="K355" i="2"/>
  <c r="K389" i="2"/>
  <c r="J466" i="2"/>
  <c r="H466" i="2" s="1"/>
  <c r="I458" i="2"/>
  <c r="J541" i="2"/>
  <c r="H541" i="2" s="1"/>
  <c r="K374" i="2"/>
  <c r="J261" i="2"/>
  <c r="I206" i="2"/>
  <c r="I219" i="2"/>
  <c r="J161" i="2"/>
  <c r="H161" i="2" s="1"/>
  <c r="I69" i="2"/>
  <c r="J69" i="2"/>
  <c r="H69" i="2" s="1"/>
  <c r="I57" i="2"/>
  <c r="K57" i="2"/>
  <c r="J131" i="2"/>
  <c r="H131" i="2" s="1"/>
  <c r="I131" i="2"/>
  <c r="I29" i="2"/>
  <c r="K29" i="2"/>
  <c r="J204" i="2"/>
  <c r="K215" i="2" s="1"/>
  <c r="I313" i="2"/>
  <c r="I7" i="2"/>
  <c r="J238" i="2"/>
  <c r="H238" i="2" s="1"/>
  <c r="I95" i="2"/>
  <c r="K6" i="2"/>
  <c r="I6" i="2"/>
  <c r="I58" i="2"/>
  <c r="J601" i="2"/>
  <c r="H601" i="2" s="1"/>
  <c r="I601" i="2"/>
  <c r="J556" i="2"/>
  <c r="K562" i="2" s="1"/>
  <c r="I556" i="2"/>
  <c r="K237" i="2"/>
  <c r="I237" i="2"/>
  <c r="J447" i="2"/>
  <c r="H447" i="2" s="1"/>
  <c r="I447" i="2"/>
  <c r="K397" i="2"/>
  <c r="J397" i="2"/>
  <c r="H397" i="2" s="1"/>
  <c r="J604" i="2"/>
  <c r="H604" i="2" s="1"/>
  <c r="K415" i="2"/>
  <c r="J415" i="2"/>
  <c r="K629" i="2"/>
  <c r="K601" i="2"/>
  <c r="K640" i="2"/>
  <c r="J473" i="2"/>
  <c r="H473" i="2" s="1"/>
  <c r="I473" i="2"/>
  <c r="K501" i="2"/>
  <c r="I619" i="2"/>
  <c r="J619" i="2"/>
  <c r="H619" i="2" s="1"/>
  <c r="J520" i="2"/>
  <c r="K543" i="2" s="1"/>
  <c r="I520" i="2"/>
  <c r="I463" i="2"/>
  <c r="J463" i="2"/>
  <c r="H463" i="2" s="1"/>
  <c r="K491" i="2"/>
  <c r="I588" i="2"/>
  <c r="K419" i="2"/>
  <c r="I515" i="2"/>
  <c r="K512" i="2"/>
  <c r="J512" i="2"/>
  <c r="H512" i="2" s="1"/>
  <c r="J550" i="2"/>
  <c r="K610" i="2" s="1"/>
  <c r="I448" i="2"/>
  <c r="I432" i="2"/>
  <c r="J381" i="2"/>
  <c r="H381" i="2" s="1"/>
  <c r="K381" i="2"/>
  <c r="K560" i="2"/>
  <c r="I330" i="2"/>
  <c r="J369" i="2"/>
  <c r="H369" i="2" s="1"/>
  <c r="I369" i="2"/>
  <c r="J458" i="2"/>
  <c r="H458" i="2" s="1"/>
  <c r="J329" i="2"/>
  <c r="H329" i="2" s="1"/>
  <c r="I263" i="2"/>
  <c r="K263" i="2"/>
  <c r="K217" i="2"/>
  <c r="J217" i="2"/>
  <c r="H217" i="2" s="1"/>
  <c r="J239" i="2"/>
  <c r="K269" i="2" s="1"/>
  <c r="I307" i="2"/>
  <c r="J281" i="2"/>
  <c r="H281" i="2" s="1"/>
  <c r="J215" i="2"/>
  <c r="K271" i="2"/>
  <c r="I168" i="2"/>
  <c r="I118" i="2"/>
  <c r="I55" i="2"/>
  <c r="K219" i="2"/>
  <c r="J113" i="2"/>
  <c r="H113" i="2" s="1"/>
  <c r="I113" i="2"/>
  <c r="I59" i="2"/>
  <c r="I123" i="2"/>
  <c r="J123" i="2"/>
  <c r="H123" i="2" s="1"/>
  <c r="I111" i="2"/>
  <c r="K64" i="2"/>
  <c r="J64" i="2"/>
  <c r="H64" i="2" s="1"/>
  <c r="J29" i="2"/>
  <c r="H29" i="2" s="1"/>
  <c r="K313" i="2"/>
  <c r="I85" i="2"/>
  <c r="K7" i="2"/>
  <c r="I238" i="2"/>
  <c r="J169" i="2"/>
  <c r="H169" i="2" s="1"/>
  <c r="I127" i="2"/>
  <c r="J95" i="2"/>
  <c r="K101" i="2" s="1"/>
  <c r="K41" i="2"/>
  <c r="K59" i="2"/>
  <c r="I40" i="2"/>
  <c r="J58" i="2"/>
  <c r="H58" i="2" s="1"/>
  <c r="J405" i="2"/>
  <c r="H405" i="2" s="1"/>
  <c r="I405" i="2"/>
  <c r="I15" i="2"/>
  <c r="K15" i="2"/>
  <c r="J15" i="2"/>
  <c r="H15" i="2" s="1"/>
  <c r="K426" i="2"/>
  <c r="K128" i="2"/>
  <c r="I41" i="2"/>
  <c r="J637" i="2"/>
  <c r="H637" i="2" s="1"/>
  <c r="I637" i="2"/>
  <c r="J481" i="2"/>
  <c r="H481" i="2" s="1"/>
  <c r="I481" i="2"/>
  <c r="J611" i="2"/>
  <c r="H611" i="2" s="1"/>
  <c r="I611" i="2"/>
  <c r="J549" i="2"/>
  <c r="K556" i="2" s="1"/>
  <c r="I549" i="2"/>
  <c r="K593" i="2"/>
  <c r="K559" i="2"/>
  <c r="J455" i="2"/>
  <c r="H455" i="2" s="1"/>
  <c r="I455" i="2"/>
  <c r="K481" i="2"/>
  <c r="K482" i="2"/>
  <c r="J482" i="2"/>
  <c r="I397" i="2"/>
  <c r="J409" i="2"/>
  <c r="H409" i="2" s="1"/>
  <c r="K335" i="2"/>
  <c r="I335" i="2"/>
  <c r="K330" i="2"/>
  <c r="J237" i="2"/>
  <c r="H237" i="2" s="1"/>
  <c r="I93" i="2"/>
  <c r="K51" i="2"/>
  <c r="I39" i="2"/>
  <c r="K39" i="2"/>
  <c r="J111" i="2"/>
  <c r="H111" i="2" s="1"/>
  <c r="I152" i="2"/>
  <c r="K36" i="2"/>
  <c r="J6" i="2"/>
  <c r="H6" i="2" s="1"/>
  <c r="K55" i="2"/>
  <c r="H450" i="2" l="1"/>
  <c r="H361" i="2"/>
  <c r="H365" i="2"/>
  <c r="H261" i="2"/>
  <c r="H215" i="2"/>
  <c r="K234" i="2"/>
  <c r="H46" i="2"/>
  <c r="H562" i="2"/>
  <c r="H556" i="2"/>
  <c r="H550" i="2"/>
  <c r="H549" i="2"/>
  <c r="H520" i="2"/>
  <c r="H492" i="2"/>
  <c r="H482" i="2"/>
  <c r="H424" i="2"/>
  <c r="H415" i="2"/>
  <c r="H401" i="2"/>
  <c r="H303" i="2"/>
  <c r="G73" i="2"/>
  <c r="H235" i="2"/>
  <c r="K242" i="2"/>
  <c r="G242" i="2" s="1"/>
  <c r="H239" i="2"/>
  <c r="H230" i="2"/>
  <c r="K204" i="2"/>
  <c r="K222" i="2"/>
  <c r="H204" i="2"/>
  <c r="H201" i="2"/>
  <c r="H187" i="2"/>
  <c r="H186" i="2"/>
  <c r="H103" i="2"/>
  <c r="K178" i="2"/>
  <c r="H178" i="2"/>
  <c r="H147" i="2"/>
  <c r="H134" i="2"/>
  <c r="H127" i="2"/>
  <c r="H77" i="2"/>
  <c r="H61" i="2"/>
  <c r="H20" i="2"/>
</calcChain>
</file>

<file path=xl/sharedStrings.xml><?xml version="1.0" encoding="utf-8"?>
<sst xmlns="http://schemas.openxmlformats.org/spreadsheetml/2006/main" count="1660" uniqueCount="571">
  <si>
    <t>ID</t>
  </si>
  <si>
    <t>PRED_ID</t>
  </si>
  <si>
    <t>MARKER_AUTO</t>
  </si>
  <si>
    <t>PREDICATE</t>
  </si>
  <si>
    <t>TEXT</t>
  </si>
  <si>
    <t>SENTENCE</t>
  </si>
  <si>
    <t>MARKER</t>
  </si>
  <si>
    <t>TARGET</t>
  </si>
  <si>
    <t>RELATION</t>
  </si>
  <si>
    <t>COMMENT</t>
  </si>
  <si>
    <t>1</t>
  </si>
  <si>
    <t>4</t>
  </si>
  <si>
    <t>_</t>
  </si>
  <si>
    <t>Stabschef</t>
  </si>
  <si>
    <t>Russlands Putin feuert Stabschef Sergei Ivanov</t>
  </si>
  <si>
    <t>file://conllu/de/bbc.242436.conllu#s1_0</t>
  </si>
  <si>
    <t>2</t>
  </si>
  <si>
    <t>6</t>
  </si>
  <si>
    <t>haben</t>
  </si>
  <si>
    <t>Der russische Präsident Vladimir Putin hat unerwarteterweise seinen Stabschef Sergei Ivanov entlassen .</t>
  </si>
  <si>
    <t>file://conllu/de/bbc.242436.conllu#s2_0</t>
  </si>
  <si>
    <t>3</t>
  </si>
  <si>
    <t>sein (sein Teil)</t>
  </si>
  <si>
    <t>Ivanov war viele Jahre Teil des engsten Vertrauenskreises von Putin .</t>
  </si>
  <si>
    <t>file://conllu/de/bbc.242436.conllu#s3_0</t>
  </si>
  <si>
    <t>14</t>
  </si>
  <si>
    <t>ernennen</t>
  </si>
  <si>
    <t>Der 63 Jährige wurde zum zu dem Sonderbeauftragten für Umwelt und Transportangelegenheiten ernannt .</t>
  </si>
  <si>
    <t>file://conllu/de/bbc.242436.conllu#s4_0</t>
  </si>
  <si>
    <t>5</t>
  </si>
  <si>
    <t>lauten</t>
  </si>
  <si>
    <t>In einer Stellungnahme des Kreml lautet es , dass Putin ohne Angabe von Gründen &amp;quot; die Entlassung Ivanovs von seinen Pflichten als Vorsitzender der russischen Präsidialverwaltung angeordnet habe &amp;quot; .</t>
  </si>
  <si>
    <t>file://conllu/de/bbc.242436.conllu#s5_0</t>
  </si>
  <si>
    <t>15</t>
  </si>
  <si>
    <t>Anton Vaino , der seit 2012 Ivanovs Stellvertreter war , wurde zu seinem Nachfolger ernannt .</t>
  </si>
  <si>
    <t>file://conllu/de/bbc.242436.conllu#s6_0</t>
  </si>
  <si>
    <t>7</t>
  </si>
  <si>
    <t>sein (sein Diplomat)</t>
  </si>
  <si>
    <t>Vaino , 44 , ist ehemaliger Diplomat .</t>
  </si>
  <si>
    <t>file://conllu/de/bbc.242436.conllu#s7_0</t>
  </si>
  <si>
    <t>8</t>
  </si>
  <si>
    <t>9</t>
  </si>
  <si>
    <t>machen</t>
  </si>
  <si>
    <t>1972 in der estnischen Hauptstadt Tallinn geboren , machte er seinen Abschluss am an dem renommierten Staatlichen Moskauer Institut für Internationale Beziehungen ( MGIMO ) und arbeitete in der Botschaft in Tokyo .</t>
  </si>
  <si>
    <t>file://conllu/de/bbc.242436.conllu#s8_0</t>
  </si>
  <si>
    <t>heißen</t>
  </si>
  <si>
    <t>Auf der Website des Kreml heißt es ( auf Russisch ) , dass er später Protokollchef und Stabsleiter des Regierungspersonals war .</t>
  </si>
  <si>
    <t>file://conllu/de/bbc.242436.conllu#s9_0</t>
  </si>
  <si>
    <t>10</t>
  </si>
  <si>
    <t>sagen</t>
  </si>
  <si>
    <t>Über seine Ernennung sagte er zu Putin :&amp;quot; Danke für Ihr Vertrauen . &amp;quot;</t>
  </si>
  <si>
    <t>file://conllu/de/bbc.242436.conllu#s10_0</t>
  </si>
  <si>
    <t>11</t>
  </si>
  <si>
    <t>denken</t>
  </si>
  <si>
    <t>Ich denke , dass es die wichtigste Aufgabe der Regierung ist , Ihre Tätigkeit als Staatschef bezüglich Gesetzesentwürfen und Kontrollen zur zu der Umsetzung Ihrer Anweisungen zu unterstützen .</t>
  </si>
  <si>
    <t>file://conllu/de/bbc.242436.conllu#s11_0</t>
  </si>
  <si>
    <t>12</t>
  </si>
  <si>
    <t>teilen</t>
  </si>
  <si>
    <t>Putin teilte dem russischen TV Sender am an dem Freitag mit , dass Ivanov darum gebeten habe , seinen Posten zu verlassen und Vaino als seinen Nachfolger empfohlen habe .</t>
  </si>
  <si>
    <t>file://conllu/de/bbc.242436.conllu#s12_0</t>
  </si>
  <si>
    <t>13</t>
  </si>
  <si>
    <t>überzeugen</t>
  </si>
  <si>
    <t>Überzeugen die lächelnden Gesichter ?</t>
  </si>
  <si>
    <t>file://conllu/de/bbc.242436.conllu#s13_0</t>
  </si>
  <si>
    <t>Dieser Schritt hat Moskau geheimnisumwoben gemacht .</t>
  </si>
  <si>
    <t>file://conllu/de/bbc.242436.conllu#s14_0</t>
  </si>
  <si>
    <t>sein (sein Zeit)</t>
  </si>
  <si>
    <t>Sergei Ivanov war lange Zeit einer der engsten Vertrauten Vladimir Putins und arbeitet wie er für den sowjetischen Geheimdienst , dem KGB .</t>
  </si>
  <si>
    <t>file://conllu/de/bbc.242436.conllu#s15_0</t>
  </si>
  <si>
    <t>16</t>
  </si>
  <si>
    <t>sein (sein ein)</t>
  </si>
  <si>
    <t>Als Stabschef war er einer der mächtigsten Männer der Landes .</t>
  </si>
  <si>
    <t>file://conllu/de/bbc.242436.conllu#s16_0</t>
  </si>
  <si>
    <t>17</t>
  </si>
  <si>
    <t>behaupten</t>
  </si>
  <si>
    <t>Bei einem Treffen mit Präsident Putin , das im in dem Fernsehen ausgestrahlt wurde , behaupteten beide Männer , dass der Stabschef auf eigenen Wunsch zurücktritt .</t>
  </si>
  <si>
    <t>file://conllu/de/bbc.242436.conllu#s17_0</t>
  </si>
  <si>
    <t>18</t>
  </si>
  <si>
    <t>sein (sein Parlamentswahl)</t>
  </si>
  <si>
    <t>Aber trotz des Lächelns für die Kameras , sind hier nur wenige davon überzeugt vor allem jetzt , kurz vor den Parlamentswahlen .</t>
  </si>
  <si>
    <t>file://conllu/de/bbc.242436.conllu#s18_0</t>
  </si>
  <si>
    <t>19</t>
  </si>
  <si>
    <t>liegen</t>
  </si>
  <si>
    <t>Liegt hier also die Folge einer Art Machtkampf vor ?</t>
  </si>
  <si>
    <t>file://conllu/de/bbc.242436.conllu#s19_0</t>
  </si>
  <si>
    <t>20</t>
  </si>
  <si>
    <t>niemehen</t>
  </si>
  <si>
    <t>Das weiß derzeit niemand .</t>
  </si>
  <si>
    <t>file://conllu/de/bbc.242436.conllu#s20_0</t>
  </si>
  <si>
    <t>21</t>
  </si>
  <si>
    <t>Behauptung</t>
  </si>
  <si>
    <t>Aber die offizielle Behauptung dass ein Mann , der einst als potenzieller Präsident angepriesen wurde , auf einmal die russische Umweltpolitik leiten möchte stieß auf große Skepsis .</t>
  </si>
  <si>
    <t>file://conllu/de/bbc.242436.conllu#s21_0</t>
  </si>
  <si>
    <t>22</t>
  </si>
  <si>
    <t>In seinen Bemerkungen an Putin , die auf der Website des Kreml zitiert werden , sagte Ivanov &amp;quot; es ist wahr , dass ich Sie Anfang 2012 in einem Gespräch gebeten habe , mir diesen sehr komplizierten Posten man könnte beinahe sagen beschwerlichen Posten vier Jahre lang anzuvertrauen .</t>
  </si>
  <si>
    <t>file://conllu/de/bbc.242436.conllu#s22_0</t>
  </si>
  <si>
    <t>23</t>
  </si>
  <si>
    <t>sein (sein Vorsitzende)</t>
  </si>
  <si>
    <t>Wie es sich herausstellt , bin ich seit vier Jahren und acht Monaten Vorsitzender der russischen Präsidialverwaltung .</t>
  </si>
  <si>
    <t>file://conllu/de/bbc.242436.conllu#s23_0</t>
  </si>
  <si>
    <t>24</t>
  </si>
  <si>
    <t>nehmen</t>
  </si>
  <si>
    <t>Ivanov nahm den Posten im in dem Dezember 2011 an .</t>
  </si>
  <si>
    <t>file://conllu/de/bbc.242436.conllu#s24_0</t>
  </si>
  <si>
    <t>25</t>
  </si>
  <si>
    <t>sein (sein Ministerpräsident)</t>
  </si>
  <si>
    <t>Zuvor war er stellvertretender Ministerpräsident und Verteidigungsminister .</t>
  </si>
  <si>
    <t>file://conllu/de/bbc.242436.conllu#s25_0</t>
  </si>
  <si>
    <t>26</t>
  </si>
  <si>
    <t>sein (sein Mitglied)</t>
  </si>
  <si>
    <t>Er ist Mitglied des russischen Sicherheitsrates und wie Putin ehemaliges Mitglied des Staatssicherheitsdienstes KGB .</t>
  </si>
  <si>
    <t>file://conllu/de/bbc.242436.conllu#s26_0</t>
  </si>
  <si>
    <t>27</t>
  </si>
  <si>
    <t>In den späten 1990er Jahren , als Putin Vorsitzender des Bundessicherheitsdienstes ( FSB ) war , der den KGB ersetzte , wurde Ivanov zu seinem Stellvertreter ernannt .</t>
  </si>
  <si>
    <t>file://conllu/de/bbc.242436.conllu#s27_0</t>
  </si>
  <si>
    <t>28</t>
  </si>
  <si>
    <t>nennen</t>
  </si>
  <si>
    <t>Als Putin an die Macht gelangte nannte er Ivanov als einen von fünf Leuten , denen er am an dem meisten vertraute .</t>
  </si>
  <si>
    <t>file://conllu/de/bbc.242436.conllu#s28_0</t>
  </si>
  <si>
    <t>29</t>
  </si>
  <si>
    <t>annehmen</t>
  </si>
  <si>
    <t>Einst wurde angenommen , dass Ivanov nach Putins zweiter Amtszeit Präsident von Russland werden könnte , da eine dritte Amtszeit Putins gegen die Verfassung verstoßen hätte .</t>
  </si>
  <si>
    <t>file://conllu/de/bbc.242436.conllu#s29_0</t>
  </si>
  <si>
    <t>30</t>
  </si>
  <si>
    <t>einnehmen</t>
  </si>
  <si>
    <t>Aber dieser Posten wurde von einem weiteren , nahestehenden Verbündeten Putins eingenommen , Dmitry Medvedev .</t>
  </si>
  <si>
    <t>file://conllu/de/bbc.242436.conllu#s30_0</t>
  </si>
  <si>
    <t>31</t>
  </si>
  <si>
    <t>werden</t>
  </si>
  <si>
    <t>Putin wurde Ministerpräsident , bevor er dreieinhalb Jahre später wieder zum zu dem Präsidenten wurde .</t>
  </si>
  <si>
    <t>file://conllu/de/bbc.242436.conllu#s31_0</t>
  </si>
  <si>
    <t>WORD</t>
  </si>
  <si>
    <t>GR</t>
  </si>
  <si>
    <t>NP_TYPE</t>
  </si>
  <si>
    <t>REF_AUTO</t>
  </si>
  <si>
    <t>COREF</t>
  </si>
  <si>
    <t>REF</t>
  </si>
  <si>
    <t>IS</t>
  </si>
  <si>
    <t>CB</t>
  </si>
  <si>
    <t>GR_ANTE</t>
  </si>
  <si>
    <t>REF_DIST</t>
  </si>
  <si>
    <t>REF_DIST_ANTE</t>
  </si>
  <si>
    <t># text = Russlands Putin feuert Stabschef Sergei Ivanov</t>
  </si>
  <si>
    <t>Russlands</t>
  </si>
  <si>
    <t>other_2</t>
  </si>
  <si>
    <t>ne</t>
  </si>
  <si>
    <t>?OLD</t>
  </si>
  <si>
    <t>Putin</t>
  </si>
  <si>
    <t>feuert</t>
  </si>
  <si>
    <t>other</t>
  </si>
  <si>
    <t>indef-np.bare</t>
  </si>
  <si>
    <t>Sergei</t>
  </si>
  <si>
    <t>Ivanov</t>
  </si>
  <si>
    <t># text = Der russische Präsident Vladimir Putin hat unerwarteterweise seinen Stabschef Sergei Ivanov entlassen.</t>
  </si>
  <si>
    <t>Der</t>
  </si>
  <si>
    <t>russische</t>
  </si>
  <si>
    <t>Präsident</t>
  </si>
  <si>
    <t>SBJ</t>
  </si>
  <si>
    <t>def-np.the</t>
  </si>
  <si>
    <t>Vladimir</t>
  </si>
  <si>
    <t>hat</t>
  </si>
  <si>
    <t>unerwarteterweise</t>
  </si>
  <si>
    <t>seinen</t>
  </si>
  <si>
    <t>SBJ_2</t>
  </si>
  <si>
    <t>indef-np</t>
  </si>
  <si>
    <t>other_3</t>
  </si>
  <si>
    <t>entlassen</t>
  </si>
  <si>
    <t>.</t>
  </si>
  <si>
    <t># text = Ivanov war viele Jahre Teil des engsten Vertrauenskreises von Putin.</t>
  </si>
  <si>
    <t>war</t>
  </si>
  <si>
    <t>viele</t>
  </si>
  <si>
    <t>Jahre</t>
  </si>
  <si>
    <t>indef-np.quant</t>
  </si>
  <si>
    <t>Teil</t>
  </si>
  <si>
    <t>des</t>
  </si>
  <si>
    <t>engsten</t>
  </si>
  <si>
    <t>Vertrauenskreises</t>
  </si>
  <si>
    <t>von</t>
  </si>
  <si>
    <t># text = Der 63-Jährige wurde zum Sonderbeauftragten für Umwelt- und Transportangelegenheiten ernannt.</t>
  </si>
  <si>
    <t>63</t>
  </si>
  <si>
    <t>Jährige</t>
  </si>
  <si>
    <t>def-np.quant</t>
  </si>
  <si>
    <t>wurde</t>
  </si>
  <si>
    <t>zu</t>
  </si>
  <si>
    <t>pron.pind</t>
  </si>
  <si>
    <t>dem</t>
  </si>
  <si>
    <t>Sonderbeauftragten</t>
  </si>
  <si>
    <t>für</t>
  </si>
  <si>
    <t>Umwelt</t>
  </si>
  <si>
    <t>und</t>
  </si>
  <si>
    <t>Transportangelegenheiten</t>
  </si>
  <si>
    <t>ernannt</t>
  </si>
  <si>
    <t>--</t>
  </si>
  <si>
    <t># text = In einer Stellungnahme des Kreml lautet es, dass Putin ohne Angabe von Gründen \"die Entlassung Ivanovs von seinen Pflichten als Vorsitzender der russischen Präsidialverwaltung angeordnet habe\".</t>
  </si>
  <si>
    <t>In</t>
  </si>
  <si>
    <t>einer</t>
  </si>
  <si>
    <t>Stellungnahme</t>
  </si>
  <si>
    <t>indef-np.a</t>
  </si>
  <si>
    <t>Kreml</t>
  </si>
  <si>
    <t>lautet</t>
  </si>
  <si>
    <t>es</t>
  </si>
  <si>
    <t>pron.pper</t>
  </si>
  <si>
    <t>,</t>
  </si>
  <si>
    <t>dass</t>
  </si>
  <si>
    <t>ohne</t>
  </si>
  <si>
    <t>Angabe</t>
  </si>
  <si>
    <t>Gründen</t>
  </si>
  <si>
    <t>&amp;quot;</t>
  </si>
  <si>
    <t>die</t>
  </si>
  <si>
    <t>Entlassung</t>
  </si>
  <si>
    <t>Ivanovs</t>
  </si>
  <si>
    <t>Pflichten</t>
  </si>
  <si>
    <t>als</t>
  </si>
  <si>
    <t>Vorsitzender</t>
  </si>
  <si>
    <t>der</t>
  </si>
  <si>
    <t>russischen</t>
  </si>
  <si>
    <t>Präsidialverwaltung</t>
  </si>
  <si>
    <t>angeordnet</t>
  </si>
  <si>
    <t>habe</t>
  </si>
  <si>
    <t># text = Anton Vaino, der seit 2012 Ivanovs Stellvertreter war, wurde zu seinem Nachfolger ernannt.</t>
  </si>
  <si>
    <t>Anton</t>
  </si>
  <si>
    <t>Vaino</t>
  </si>
  <si>
    <t>SBJ_3</t>
  </si>
  <si>
    <t>pron</t>
  </si>
  <si>
    <t>seit</t>
  </si>
  <si>
    <t>2012</t>
  </si>
  <si>
    <t>Stellvertreter</t>
  </si>
  <si>
    <t>seinem</t>
  </si>
  <si>
    <t>Nachfolger</t>
  </si>
  <si>
    <t># text = Vaino, 44, ist ehemaliger Diplomat.</t>
  </si>
  <si>
    <t>44</t>
  </si>
  <si>
    <t>ist</t>
  </si>
  <si>
    <t>ehemaliger</t>
  </si>
  <si>
    <t>Diplomat</t>
  </si>
  <si>
    <t># text = 1972 in der estnischen Hauptstadt Tallinn geboren, machte er seinen Abschluss am renommierten Staatlichen Moskauer Institut für Internationale Beziehungen (MGIMO) und arbeitete in der Botschaft in Tokyo.</t>
  </si>
  <si>
    <t>1972</t>
  </si>
  <si>
    <t>in</t>
  </si>
  <si>
    <t>estnischen</t>
  </si>
  <si>
    <t>Hauptstadt</t>
  </si>
  <si>
    <t>Tallinn</t>
  </si>
  <si>
    <t>geboren</t>
  </si>
  <si>
    <t>machte</t>
  </si>
  <si>
    <t>er</t>
  </si>
  <si>
    <t>Abschluss</t>
  </si>
  <si>
    <t>OBJ</t>
  </si>
  <si>
    <t>an</t>
  </si>
  <si>
    <t>renommierten</t>
  </si>
  <si>
    <t>Staatlichen</t>
  </si>
  <si>
    <t>Moskauer</t>
  </si>
  <si>
    <t>Institut</t>
  </si>
  <si>
    <t>Internationale</t>
  </si>
  <si>
    <t>Beziehungen</t>
  </si>
  <si>
    <t>(</t>
  </si>
  <si>
    <t>MGIMO</t>
  </si>
  <si>
    <t>)</t>
  </si>
  <si>
    <t>arbeitete</t>
  </si>
  <si>
    <t>Botschaft</t>
  </si>
  <si>
    <t>Tokyo</t>
  </si>
  <si>
    <t># text = Auf der Website des Kreml heißt es (auf Russisch), dass er später Protokollchef und Stabsleiter des Regierungspersonals war.</t>
  </si>
  <si>
    <t>Auf</t>
  </si>
  <si>
    <t>Website</t>
  </si>
  <si>
    <t>heißt</t>
  </si>
  <si>
    <t>auf</t>
  </si>
  <si>
    <t>Russisch</t>
  </si>
  <si>
    <t>später</t>
  </si>
  <si>
    <t>Protokollchef</t>
  </si>
  <si>
    <t>Stabsleiter</t>
  </si>
  <si>
    <t>Regierungspersonals</t>
  </si>
  <si>
    <t># text = Über seine Ernennung sagte er zu Putin:"Danke für Ihr Vertrauen."</t>
  </si>
  <si>
    <t>Über</t>
  </si>
  <si>
    <t>seine</t>
  </si>
  <si>
    <t>Ernennung</t>
  </si>
  <si>
    <t>sagte</t>
  </si>
  <si>
    <t>:&amp;quot;</t>
  </si>
  <si>
    <t>Danke</t>
  </si>
  <si>
    <t>Ihr</t>
  </si>
  <si>
    <t>pron.ppos</t>
  </si>
  <si>
    <t>Vertrauen</t>
  </si>
  <si>
    <t># text = Ich denke, dass es die wichtigste Aufgabe der Regierung ist, Ihre Tätigkeit als Staatschef bezüglich Gesetzesentwürfen und Kontrollen zur Umsetzung Ihrer Anweisungen zu unterstützen.</t>
  </si>
  <si>
    <t>Ich</t>
  </si>
  <si>
    <t>denke</t>
  </si>
  <si>
    <t>wichtigste</t>
  </si>
  <si>
    <t>Aufgabe</t>
  </si>
  <si>
    <t>Regierung</t>
  </si>
  <si>
    <t>Ihre</t>
  </si>
  <si>
    <t>other_4</t>
  </si>
  <si>
    <t>Tätigkeit</t>
  </si>
  <si>
    <t>OBJ_3</t>
  </si>
  <si>
    <t>Staatschef</t>
  </si>
  <si>
    <t>other_5</t>
  </si>
  <si>
    <t>bezüglich</t>
  </si>
  <si>
    <t>Gesetzesentwürfen</t>
  </si>
  <si>
    <t>Kontrollen</t>
  </si>
  <si>
    <t>Umsetzung</t>
  </si>
  <si>
    <t>Ihrer</t>
  </si>
  <si>
    <t>other_6</t>
  </si>
  <si>
    <t>Anweisungen</t>
  </si>
  <si>
    <t>unterstützen</t>
  </si>
  <si>
    <t># text = Putin teilte dem russischen TV Sender am Freitag mit, dass Ivanov darum gebeten habe, seinen Posten zu verlassen und Vaino als seinen Nachfolger empfohlen habe.</t>
  </si>
  <si>
    <t>teilte</t>
  </si>
  <si>
    <t>TV</t>
  </si>
  <si>
    <t>OBJ_2</t>
  </si>
  <si>
    <t>Sender</t>
  </si>
  <si>
    <t>Freitag</t>
  </si>
  <si>
    <t>mit</t>
  </si>
  <si>
    <t>darum</t>
  </si>
  <si>
    <t>gebeten</t>
  </si>
  <si>
    <t>Posten</t>
  </si>
  <si>
    <t>verlassen</t>
  </si>
  <si>
    <t>empfohlen</t>
  </si>
  <si>
    <t># text = Überzeugen die lächelnden Gesichter?</t>
  </si>
  <si>
    <t>Überzeugen</t>
  </si>
  <si>
    <t>lächelnden</t>
  </si>
  <si>
    <t>Gesichter</t>
  </si>
  <si>
    <t>?</t>
  </si>
  <si>
    <t># text = Dieser Schritt hat Moskau geheimnisumwoben gemacht.</t>
  </si>
  <si>
    <t>Dieser</t>
  </si>
  <si>
    <t>pron.pds</t>
  </si>
  <si>
    <t>Schritt</t>
  </si>
  <si>
    <t>def-np.dem</t>
  </si>
  <si>
    <t>Moskau</t>
  </si>
  <si>
    <t>geheimnisumwoben</t>
  </si>
  <si>
    <t>gemacht</t>
  </si>
  <si>
    <t># text = Sergei Ivanov war lange Zeit einer der engsten Vertrauten Vladimir Putins und arbeitet wie er für den sowjetischen Geheimdienst, dem KGB.</t>
  </si>
  <si>
    <t>lange</t>
  </si>
  <si>
    <t>Zeit</t>
  </si>
  <si>
    <t>Vertrauten</t>
  </si>
  <si>
    <t>Putins</t>
  </si>
  <si>
    <t>arbeitet</t>
  </si>
  <si>
    <t>wie</t>
  </si>
  <si>
    <t>den</t>
  </si>
  <si>
    <t>sowjetischen</t>
  </si>
  <si>
    <t>Geheimdienst</t>
  </si>
  <si>
    <t>KGB</t>
  </si>
  <si>
    <t># text = Als Stabschef war er einer der mächtigsten Männer der Landes.</t>
  </si>
  <si>
    <t>Als</t>
  </si>
  <si>
    <t>mächtigsten</t>
  </si>
  <si>
    <t>Männer</t>
  </si>
  <si>
    <t>Landes</t>
  </si>
  <si>
    <t># text = Bei einem Treffen mit Präsident Putin, das im Fernsehen ausgestrahlt wurde, behaupteten beide Männer, dass der Stabschef auf eigenen Wunsch zurücktritt.</t>
  </si>
  <si>
    <t>Bei</t>
  </si>
  <si>
    <t>einem</t>
  </si>
  <si>
    <t>Treffen</t>
  </si>
  <si>
    <t>das</t>
  </si>
  <si>
    <t>Fernsehen</t>
  </si>
  <si>
    <t>ausgestrahlt</t>
  </si>
  <si>
    <t>behaupteten</t>
  </si>
  <si>
    <t>beide</t>
  </si>
  <si>
    <t>eigenen</t>
  </si>
  <si>
    <t>Wunsch</t>
  </si>
  <si>
    <t>zurücktritt</t>
  </si>
  <si>
    <t># text = Aber trotz des Lächelns für die Kameras, sind hier nur wenige davon überzeugt - vor allem jetzt, kurz vor den Parlamentswahlen.</t>
  </si>
  <si>
    <t>Aber</t>
  </si>
  <si>
    <t>trotz</t>
  </si>
  <si>
    <t>Lächelns</t>
  </si>
  <si>
    <t>Kameras</t>
  </si>
  <si>
    <t>sind</t>
  </si>
  <si>
    <t>hier</t>
  </si>
  <si>
    <t>nur</t>
  </si>
  <si>
    <t>wenige</t>
  </si>
  <si>
    <t>davon</t>
  </si>
  <si>
    <t>überzeugt</t>
  </si>
  <si>
    <t>vor</t>
  </si>
  <si>
    <t>allem</t>
  </si>
  <si>
    <t>jetzt</t>
  </si>
  <si>
    <t>kurz</t>
  </si>
  <si>
    <t>Parlamentswahlen</t>
  </si>
  <si>
    <t># text = Liegt hier also die Folge einer Art Machtkampf vor?</t>
  </si>
  <si>
    <t>Liegt</t>
  </si>
  <si>
    <t>also</t>
  </si>
  <si>
    <t>Folge</t>
  </si>
  <si>
    <t>Art</t>
  </si>
  <si>
    <t>Machtkampf</t>
  </si>
  <si>
    <t># text = Das weiß derzeit niemand.</t>
  </si>
  <si>
    <t>Das</t>
  </si>
  <si>
    <t>weiß</t>
  </si>
  <si>
    <t>derzeit</t>
  </si>
  <si>
    <t>niemand</t>
  </si>
  <si>
    <t># text = Aber die offizielle Behauptung - dass ein Mann, der einst als potenzieller Präsident angepriesen wurde, auf einmal die russische Umweltpolitik leiten möchte - stieß auf große Skepsis.</t>
  </si>
  <si>
    <t>offizielle</t>
  </si>
  <si>
    <t>ein</t>
  </si>
  <si>
    <t>Mann</t>
  </si>
  <si>
    <t>SBJ_4</t>
  </si>
  <si>
    <t>einst</t>
  </si>
  <si>
    <t>potenzieller</t>
  </si>
  <si>
    <t>angepriesen</t>
  </si>
  <si>
    <t>einmal</t>
  </si>
  <si>
    <t>Umweltpolitik</t>
  </si>
  <si>
    <t>leiten</t>
  </si>
  <si>
    <t>möchte</t>
  </si>
  <si>
    <t>stieß</t>
  </si>
  <si>
    <t>große</t>
  </si>
  <si>
    <t>Skepsis</t>
  </si>
  <si>
    <t># text = In seinen Bemerkungen an Putin, die auf der Website des Kreml zitiert werden, sagte Ivanov "es ist wahr, dass ich Sie Anfang 2012 in einem Gespräch gebeten habe, mir diesen sehr komplizierten Posten - man könnte beinahe sagen - beschwerlichen Posten vier Jahre lang anzuvertrauen.</t>
  </si>
  <si>
    <t>Bemerkungen</t>
  </si>
  <si>
    <t>zitiert</t>
  </si>
  <si>
    <t>wahr</t>
  </si>
  <si>
    <t>ich</t>
  </si>
  <si>
    <t>Sie</t>
  </si>
  <si>
    <t>Anfang</t>
  </si>
  <si>
    <t>Gespräch</t>
  </si>
  <si>
    <t>mir</t>
  </si>
  <si>
    <t>OBJ_4</t>
  </si>
  <si>
    <t>diesen</t>
  </si>
  <si>
    <t>sehr</t>
  </si>
  <si>
    <t>komplizierten</t>
  </si>
  <si>
    <t>man</t>
  </si>
  <si>
    <t>könnte</t>
  </si>
  <si>
    <t>beinahe</t>
  </si>
  <si>
    <t>beschwerlichen</t>
  </si>
  <si>
    <t>vier</t>
  </si>
  <si>
    <t>lang</t>
  </si>
  <si>
    <t>anzuvertrauen</t>
  </si>
  <si>
    <t># text = Wie es sich herausstellt, bin ich seit vier Jahren und acht Monaten Vorsitzender der russischen Präsidialverwaltung.</t>
  </si>
  <si>
    <t>Wie</t>
  </si>
  <si>
    <t>sich</t>
  </si>
  <si>
    <t>herausstellt</t>
  </si>
  <si>
    <t>bin</t>
  </si>
  <si>
    <t>Jahren</t>
  </si>
  <si>
    <t>acht</t>
  </si>
  <si>
    <t>Monaten</t>
  </si>
  <si>
    <t># text = Ivanov nahm den Posten im Dezember 2011 an.</t>
  </si>
  <si>
    <t>nahm</t>
  </si>
  <si>
    <t>Dezember</t>
  </si>
  <si>
    <t>2011</t>
  </si>
  <si>
    <t># text = Zuvor war er stellvertretender Ministerpräsident und Verteidigungsminister.</t>
  </si>
  <si>
    <t>Zuvor</t>
  </si>
  <si>
    <t>stellvertretender</t>
  </si>
  <si>
    <t>Ministerpräsident</t>
  </si>
  <si>
    <t>Verteidigungsminister</t>
  </si>
  <si>
    <t># text = Er ist Mitglied des russischen Sicherheitsrates und wie Putin ehemaliges Mitglied des Staatssicherheitsdienstes KGB.</t>
  </si>
  <si>
    <t>Er</t>
  </si>
  <si>
    <t>Mitglied</t>
  </si>
  <si>
    <t>Sicherheitsrates</t>
  </si>
  <si>
    <t>ehemaliges</t>
  </si>
  <si>
    <t>Staatssicherheitsdienstes</t>
  </si>
  <si>
    <t># text = In den späten 1990er Jahren, als Putin Vorsitzender des Bundessicherheitsdienstes (FSB) war, der den KGB ersetzte, wurde Ivanov zu seinem Stellvertreter ernannt.</t>
  </si>
  <si>
    <t>späten</t>
  </si>
  <si>
    <t>1990er</t>
  </si>
  <si>
    <t>Bundessicherheitsdienstes</t>
  </si>
  <si>
    <t>FSB</t>
  </si>
  <si>
    <t>ersetzte</t>
  </si>
  <si>
    <t># text = Als Putin an die Macht gelangte nannte er Ivanov als einen von fünf Leuten, denen er am meisten vertraute.</t>
  </si>
  <si>
    <t>Macht</t>
  </si>
  <si>
    <t>gelangte</t>
  </si>
  <si>
    <t>nannte</t>
  </si>
  <si>
    <t>einen</t>
  </si>
  <si>
    <t>fünf</t>
  </si>
  <si>
    <t>Leuten</t>
  </si>
  <si>
    <t>denen</t>
  </si>
  <si>
    <t>meisten</t>
  </si>
  <si>
    <t>vertraute</t>
  </si>
  <si>
    <t># text = Einst wurde angenommen, dass Ivanov nach Putins zweiter Amtszeit Präsident von Russland werden könnte, da eine dritte Amtszeit Putins gegen die Verfassung verstoßen hätte.</t>
  </si>
  <si>
    <t>Einst</t>
  </si>
  <si>
    <t>angenommen</t>
  </si>
  <si>
    <t>nach</t>
  </si>
  <si>
    <t>zweiter</t>
  </si>
  <si>
    <t>Amtszeit</t>
  </si>
  <si>
    <t>Russland</t>
  </si>
  <si>
    <t>da</t>
  </si>
  <si>
    <t>eine</t>
  </si>
  <si>
    <t>dritte</t>
  </si>
  <si>
    <t>gegen</t>
  </si>
  <si>
    <t>Verfassung</t>
  </si>
  <si>
    <t>verstoßen</t>
  </si>
  <si>
    <t>hätte</t>
  </si>
  <si>
    <t># text = Aber dieser Posten wurde von einem weiteren, nahestehenden Verbündeten Putins eingenommen, Dmitry Medvedev.</t>
  </si>
  <si>
    <t>dieser</t>
  </si>
  <si>
    <t>weiteren</t>
  </si>
  <si>
    <t>nahestehenden</t>
  </si>
  <si>
    <t>Verbündeten</t>
  </si>
  <si>
    <t>eingenommen</t>
  </si>
  <si>
    <t>Dmitry</t>
  </si>
  <si>
    <t>Medvedev</t>
  </si>
  <si>
    <t># text = Putin wurde Ministerpräsident, bevor er dreieinhalb Jahre später wieder zum Präsidenten wurde.</t>
  </si>
  <si>
    <t>bevor</t>
  </si>
  <si>
    <t>dreieinhalb</t>
  </si>
  <si>
    <t>wieder</t>
  </si>
  <si>
    <t>Präsidenten</t>
  </si>
  <si>
    <t>russland</t>
  </si>
  <si>
    <t>putin</t>
  </si>
  <si>
    <t>ivanov</t>
  </si>
  <si>
    <t>FAMILIAR</t>
  </si>
  <si>
    <t>UNIQUE</t>
  </si>
  <si>
    <t>PRED</t>
  </si>
  <si>
    <t>kreis_putin</t>
  </si>
  <si>
    <t>kreml</t>
  </si>
  <si>
    <t>praesidialverwaltung</t>
  </si>
  <si>
    <t>entlassung_ivanov</t>
  </si>
  <si>
    <t>kein auto ref</t>
  </si>
  <si>
    <t>anton_vaino</t>
  </si>
  <si>
    <t>BOUND</t>
  </si>
  <si>
    <t>tallinn</t>
  </si>
  <si>
    <t>abschluss_vaino</t>
  </si>
  <si>
    <t>botschaft</t>
  </si>
  <si>
    <t>tokyo</t>
  </si>
  <si>
    <t>website_kreml</t>
  </si>
  <si>
    <t>GEN</t>
  </si>
  <si>
    <t>regierungspersonal</t>
  </si>
  <si>
    <t>ernennung_vaino</t>
  </si>
  <si>
    <t>vertrauen_putin</t>
  </si>
  <si>
    <t>EXPL</t>
  </si>
  <si>
    <t>regierung</t>
  </si>
  <si>
    <t>tv_sender</t>
  </si>
  <si>
    <t>SIT</t>
  </si>
  <si>
    <t>freitag</t>
  </si>
  <si>
    <t>OLD</t>
  </si>
  <si>
    <t>moskau</t>
  </si>
  <si>
    <t>kgb</t>
  </si>
  <si>
    <t>mgimo</t>
  </si>
  <si>
    <t>artikel</t>
  </si>
  <si>
    <t>GROUP</t>
  </si>
  <si>
    <t>beide&gt;putin,ivanov</t>
  </si>
  <si>
    <t>IDIOM</t>
  </si>
  <si>
    <t>wahlen</t>
  </si>
  <si>
    <t>parser error</t>
  </si>
  <si>
    <t>umweltpolitik</t>
  </si>
  <si>
    <t>worte_ivanov</t>
  </si>
  <si>
    <t>dezember_2011</t>
  </si>
  <si>
    <t>sicherheitsrat</t>
  </si>
  <si>
    <t>spaete_90er</t>
  </si>
  <si>
    <t>fsb</t>
  </si>
  <si>
    <t>stellvertreter_putin</t>
  </si>
  <si>
    <t>zweite_amtszeit_putin</t>
  </si>
  <si>
    <t>dritte_amtszeit_putin</t>
  </si>
  <si>
    <t>verfassung</t>
  </si>
  <si>
    <t>medvedev</t>
  </si>
  <si>
    <t>FOCUS</t>
  </si>
  <si>
    <t>ACTIVATED</t>
  </si>
  <si>
    <t>beauftragter_umwelt</t>
  </si>
  <si>
    <t>pflichten_vorsitzender</t>
  </si>
  <si>
    <t>vorsitzender_praes</t>
  </si>
  <si>
    <t>Antezedens</t>
  </si>
  <si>
    <t>anweisungen_putin</t>
  </si>
  <si>
    <t>tun_putin</t>
  </si>
  <si>
    <t>aufgabe_unterstuetzung</t>
  </si>
  <si>
    <t>laecheln_putin_ivanov</t>
  </si>
  <si>
    <t>auch REF=ID entlassung_ivanov denkbar</t>
  </si>
  <si>
    <t>ACTIVATED, weil eines der lächelnden Gesichter</t>
  </si>
  <si>
    <t>folge_machtkampf</t>
  </si>
  <si>
    <t>vorliegen_folge</t>
  </si>
  <si>
    <t>off_behauptung</t>
  </si>
  <si>
    <t>NoRel</t>
  </si>
  <si>
    <t>(anders gesagt)</t>
  </si>
  <si>
    <t>restatement</t>
  </si>
  <si>
    <t>broad</t>
  </si>
  <si>
    <t>(insgesamt)</t>
  </si>
  <si>
    <t>after</t>
  </si>
  <si>
    <t>(anschließend)</t>
  </si>
  <si>
    <t>specific</t>
  </si>
  <si>
    <t>(konkret)</t>
  </si>
  <si>
    <t>synchrony</t>
  </si>
  <si>
    <t>(gleichzeitig)</t>
  </si>
  <si>
    <t>before</t>
  </si>
  <si>
    <t>(zuvor)</t>
  </si>
  <si>
    <t>result</t>
  </si>
  <si>
    <t>eigentlich ein Kommentar - specific oder EntRel Koreferenz der "Ernennung" denkbar</t>
  </si>
  <si>
    <t>(außerdem)</t>
  </si>
  <si>
    <t>conjunction</t>
  </si>
  <si>
    <t>hypophora</t>
  </si>
  <si>
    <t>(also)</t>
  </si>
  <si>
    <t>aber</t>
  </si>
  <si>
    <t>contrast</t>
  </si>
  <si>
    <t>answer</t>
  </si>
  <si>
    <t>oder: contrast (aber)</t>
  </si>
  <si>
    <t>Dezember 2011 (vorher)</t>
  </si>
  <si>
    <t>zuvor</t>
  </si>
  <si>
    <t>in den späten 1990er Jahren (zuvor)</t>
  </si>
  <si>
    <t>als Putin an die Macht gelangte (danach)</t>
  </si>
  <si>
    <t>contra-expectation</t>
  </si>
  <si>
    <t>(später)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</si>
</sst>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workbookViewId="0">
      <pane xSplit="5" ySplit="1" topLeftCell="G22" activePane="bottomRight" state="frozen"/>
      <selection pane="topRight" activeCell="F1" sqref="F1"/>
      <selection pane="bottomLeft" activeCell="A2" sqref="A2"/>
      <selection pane="bottomRight" activeCell="J23" sqref="J23"/>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542</v>
      </c>
      <c r="J2" s="12"/>
    </row>
    <row r="3" spans="1:10" ht="60" customHeight="1" x14ac:dyDescent="0.3">
      <c r="A3" s="6" t="s">
        <v>16</v>
      </c>
      <c r="B3" s="6" t="s">
        <v>17</v>
      </c>
      <c r="C3" s="6" t="s">
        <v>12</v>
      </c>
      <c r="D3" s="7" t="s">
        <v>18</v>
      </c>
      <c r="E3" s="8" t="s">
        <v>19</v>
      </c>
      <c r="F3" s="6" t="s">
        <v>20</v>
      </c>
      <c r="G3" s="9" t="s">
        <v>543</v>
      </c>
      <c r="H3" s="10">
        <v>1</v>
      </c>
      <c r="I3" s="11" t="s">
        <v>544</v>
      </c>
      <c r="J3" s="12"/>
    </row>
    <row r="4" spans="1:10" ht="60" customHeight="1" x14ac:dyDescent="0.3">
      <c r="A4" s="6" t="s">
        <v>21</v>
      </c>
      <c r="B4" s="6" t="s">
        <v>16</v>
      </c>
      <c r="C4" s="6" t="s">
        <v>12</v>
      </c>
      <c r="D4" s="7" t="s">
        <v>22</v>
      </c>
      <c r="E4" s="8" t="s">
        <v>23</v>
      </c>
      <c r="F4" s="6" t="s">
        <v>24</v>
      </c>
      <c r="G4" s="9" t="s">
        <v>546</v>
      </c>
      <c r="H4" s="10">
        <v>1</v>
      </c>
      <c r="I4" s="11" t="s">
        <v>545</v>
      </c>
      <c r="J4" s="12"/>
    </row>
    <row r="5" spans="1:10" ht="60" customHeight="1" x14ac:dyDescent="0.3">
      <c r="A5" s="6" t="s">
        <v>11</v>
      </c>
      <c r="B5" s="6" t="s">
        <v>25</v>
      </c>
      <c r="C5" s="6" t="s">
        <v>12</v>
      </c>
      <c r="D5" s="7" t="s">
        <v>26</v>
      </c>
      <c r="E5" s="8" t="s">
        <v>27</v>
      </c>
      <c r="F5" s="6" t="s">
        <v>28</v>
      </c>
      <c r="G5" s="9" t="s">
        <v>548</v>
      </c>
      <c r="H5" s="10">
        <v>2</v>
      </c>
      <c r="I5" s="11" t="s">
        <v>547</v>
      </c>
      <c r="J5" s="12"/>
    </row>
    <row r="6" spans="1:10" ht="60" customHeight="1" x14ac:dyDescent="0.3">
      <c r="A6" s="6" t="s">
        <v>29</v>
      </c>
      <c r="B6" s="6" t="s">
        <v>17</v>
      </c>
      <c r="C6" s="6" t="s">
        <v>12</v>
      </c>
      <c r="D6" s="7" t="s">
        <v>30</v>
      </c>
      <c r="E6" s="8" t="s">
        <v>31</v>
      </c>
      <c r="F6" s="6" t="s">
        <v>32</v>
      </c>
      <c r="G6" s="9" t="s">
        <v>550</v>
      </c>
      <c r="H6" s="10">
        <v>2</v>
      </c>
      <c r="I6" s="11" t="s">
        <v>549</v>
      </c>
      <c r="J6" s="12"/>
    </row>
    <row r="7" spans="1:10" ht="60" customHeight="1" x14ac:dyDescent="0.3">
      <c r="A7" s="6" t="s">
        <v>17</v>
      </c>
      <c r="B7" s="6" t="s">
        <v>33</v>
      </c>
      <c r="C7" s="6" t="s">
        <v>12</v>
      </c>
      <c r="D7" s="7" t="s">
        <v>26</v>
      </c>
      <c r="E7" s="8" t="s">
        <v>34</v>
      </c>
      <c r="F7" s="6" t="s">
        <v>35</v>
      </c>
      <c r="G7" s="9" t="s">
        <v>552</v>
      </c>
      <c r="H7" s="10">
        <v>4</v>
      </c>
      <c r="I7" s="11" t="s">
        <v>551</v>
      </c>
      <c r="J7" s="12"/>
    </row>
    <row r="8" spans="1:10" ht="60" customHeight="1" x14ac:dyDescent="0.3">
      <c r="A8" s="6" t="s">
        <v>36</v>
      </c>
      <c r="B8" s="6" t="s">
        <v>29</v>
      </c>
      <c r="C8" s="6" t="s">
        <v>12</v>
      </c>
      <c r="D8" s="7" t="s">
        <v>37</v>
      </c>
      <c r="E8" s="8" t="s">
        <v>38</v>
      </c>
      <c r="F8" s="6" t="s">
        <v>39</v>
      </c>
      <c r="G8" s="9" t="s">
        <v>546</v>
      </c>
      <c r="H8" s="10">
        <v>6</v>
      </c>
      <c r="I8" s="11" t="s">
        <v>545</v>
      </c>
      <c r="J8" s="12"/>
    </row>
    <row r="9" spans="1:10" ht="60" customHeight="1" x14ac:dyDescent="0.3">
      <c r="A9" s="6" t="s">
        <v>40</v>
      </c>
      <c r="B9" s="6" t="s">
        <v>41</v>
      </c>
      <c r="C9" s="6" t="s">
        <v>12</v>
      </c>
      <c r="D9" s="7" t="s">
        <v>42</v>
      </c>
      <c r="E9" s="8" t="s">
        <v>43</v>
      </c>
      <c r="F9" s="6" t="s">
        <v>44</v>
      </c>
      <c r="G9" s="9" t="s">
        <v>554</v>
      </c>
      <c r="H9" s="10">
        <v>7</v>
      </c>
      <c r="I9" s="11" t="s">
        <v>553</v>
      </c>
      <c r="J9" s="12"/>
    </row>
    <row r="10" spans="1:10" ht="60" customHeight="1" x14ac:dyDescent="0.3">
      <c r="A10" s="6" t="s">
        <v>41</v>
      </c>
      <c r="B10" s="6" t="s">
        <v>17</v>
      </c>
      <c r="C10" s="6" t="s">
        <v>12</v>
      </c>
      <c r="D10" s="7" t="s">
        <v>45</v>
      </c>
      <c r="E10" s="8" t="s">
        <v>46</v>
      </c>
      <c r="F10" s="6" t="s">
        <v>47</v>
      </c>
      <c r="G10" s="9" t="s">
        <v>264</v>
      </c>
      <c r="H10" s="10">
        <v>8</v>
      </c>
      <c r="I10" s="11" t="s">
        <v>547</v>
      </c>
      <c r="J10" s="12"/>
    </row>
    <row r="11" spans="1:10" ht="60" customHeight="1" x14ac:dyDescent="0.3">
      <c r="A11" s="6" t="s">
        <v>48</v>
      </c>
      <c r="B11" s="6" t="s">
        <v>11</v>
      </c>
      <c r="C11" s="6" t="s">
        <v>12</v>
      </c>
      <c r="D11" s="7" t="s">
        <v>49</v>
      </c>
      <c r="E11" s="8" t="s">
        <v>50</v>
      </c>
      <c r="F11" s="6" t="s">
        <v>51</v>
      </c>
      <c r="G11" s="9" t="s">
        <v>552</v>
      </c>
      <c r="H11" s="10">
        <v>6</v>
      </c>
      <c r="I11" s="11" t="s">
        <v>551</v>
      </c>
      <c r="J11" s="12" t="s">
        <v>556</v>
      </c>
    </row>
    <row r="12" spans="1:10" ht="60" customHeight="1" x14ac:dyDescent="0.3">
      <c r="A12" s="6" t="s">
        <v>52</v>
      </c>
      <c r="B12" s="6" t="s">
        <v>16</v>
      </c>
      <c r="C12" s="6" t="s">
        <v>12</v>
      </c>
      <c r="D12" s="7" t="s">
        <v>53</v>
      </c>
      <c r="E12" s="8" t="s">
        <v>54</v>
      </c>
      <c r="F12" s="6" t="s">
        <v>55</v>
      </c>
      <c r="G12" s="9" t="s">
        <v>557</v>
      </c>
      <c r="H12" s="10">
        <v>10</v>
      </c>
      <c r="I12" s="11" t="s">
        <v>558</v>
      </c>
      <c r="J12" s="12"/>
    </row>
    <row r="13" spans="1:10" ht="60" customHeight="1" x14ac:dyDescent="0.3">
      <c r="A13" s="6" t="s">
        <v>56</v>
      </c>
      <c r="B13" s="6" t="s">
        <v>16</v>
      </c>
      <c r="C13" s="6" t="s">
        <v>12</v>
      </c>
      <c r="D13" s="7" t="s">
        <v>57</v>
      </c>
      <c r="E13" s="8" t="s">
        <v>58</v>
      </c>
      <c r="F13" s="6" t="s">
        <v>59</v>
      </c>
      <c r="G13" s="9" t="s">
        <v>557</v>
      </c>
      <c r="H13" s="10">
        <v>5</v>
      </c>
      <c r="I13" s="11" t="s">
        <v>558</v>
      </c>
      <c r="J13" s="12"/>
    </row>
    <row r="14" spans="1:10" ht="60" customHeight="1" x14ac:dyDescent="0.3">
      <c r="A14" s="6" t="s">
        <v>60</v>
      </c>
      <c r="B14" s="6" t="s">
        <v>10</v>
      </c>
      <c r="C14" s="6" t="s">
        <v>12</v>
      </c>
      <c r="D14" s="7" t="s">
        <v>61</v>
      </c>
      <c r="E14" s="8" t="s">
        <v>62</v>
      </c>
      <c r="F14" s="6" t="s">
        <v>63</v>
      </c>
      <c r="G14" s="9" t="s">
        <v>12</v>
      </c>
      <c r="H14" s="10">
        <v>12</v>
      </c>
      <c r="I14" s="11" t="s">
        <v>559</v>
      </c>
      <c r="J14" s="12"/>
    </row>
    <row r="15" spans="1:10" ht="60" customHeight="1" x14ac:dyDescent="0.3">
      <c r="A15" s="6" t="s">
        <v>25</v>
      </c>
      <c r="B15" s="6" t="s">
        <v>17</v>
      </c>
      <c r="C15" s="6" t="s">
        <v>12</v>
      </c>
      <c r="D15" s="7" t="s">
        <v>42</v>
      </c>
      <c r="E15" s="8" t="s">
        <v>64</v>
      </c>
      <c r="F15" s="6" t="s">
        <v>65</v>
      </c>
      <c r="G15" s="9" t="s">
        <v>560</v>
      </c>
      <c r="H15" s="10">
        <v>12</v>
      </c>
      <c r="I15" s="11" t="s">
        <v>555</v>
      </c>
      <c r="J15" s="12"/>
    </row>
    <row r="16" spans="1:10" ht="60" customHeight="1" x14ac:dyDescent="0.3">
      <c r="A16" s="6" t="s">
        <v>33</v>
      </c>
      <c r="B16" s="6" t="s">
        <v>21</v>
      </c>
      <c r="C16" s="6" t="s">
        <v>12</v>
      </c>
      <c r="D16" s="7" t="s">
        <v>66</v>
      </c>
      <c r="E16" s="8" t="s">
        <v>67</v>
      </c>
      <c r="F16" s="6" t="s">
        <v>68</v>
      </c>
      <c r="G16" s="9" t="s">
        <v>546</v>
      </c>
      <c r="H16" s="10">
        <v>12</v>
      </c>
      <c r="I16" s="11" t="s">
        <v>545</v>
      </c>
      <c r="J16" s="12"/>
    </row>
    <row r="17" spans="1:10" ht="60" customHeight="1" x14ac:dyDescent="0.3">
      <c r="A17" s="6" t="s">
        <v>69</v>
      </c>
      <c r="B17" s="6" t="s">
        <v>21</v>
      </c>
      <c r="C17" s="6" t="s">
        <v>12</v>
      </c>
      <c r="D17" s="7" t="s">
        <v>70</v>
      </c>
      <c r="E17" s="8" t="s">
        <v>71</v>
      </c>
      <c r="F17" s="6" t="s">
        <v>72</v>
      </c>
      <c r="G17" s="9" t="s">
        <v>557</v>
      </c>
      <c r="H17" s="10">
        <v>15</v>
      </c>
      <c r="I17" s="11" t="s">
        <v>558</v>
      </c>
      <c r="J17" s="12"/>
    </row>
    <row r="18" spans="1:10" ht="60" customHeight="1" x14ac:dyDescent="0.3">
      <c r="A18" s="6" t="s">
        <v>73</v>
      </c>
      <c r="B18" s="6" t="s">
        <v>33</v>
      </c>
      <c r="C18" s="6" t="s">
        <v>12</v>
      </c>
      <c r="D18" s="7" t="s">
        <v>74</v>
      </c>
      <c r="E18" s="8" t="s">
        <v>75</v>
      </c>
      <c r="F18" s="6" t="s">
        <v>76</v>
      </c>
      <c r="G18" s="9" t="s">
        <v>550</v>
      </c>
      <c r="H18" s="10">
        <v>12</v>
      </c>
      <c r="I18" s="11" t="s">
        <v>549</v>
      </c>
      <c r="J18" s="12"/>
    </row>
    <row r="19" spans="1:10" ht="60" customHeight="1" x14ac:dyDescent="0.3">
      <c r="A19" s="6" t="s">
        <v>77</v>
      </c>
      <c r="B19" s="6" t="s">
        <v>41</v>
      </c>
      <c r="C19" s="6" t="s">
        <v>12</v>
      </c>
      <c r="D19" s="7" t="s">
        <v>78</v>
      </c>
      <c r="E19" s="8" t="s">
        <v>79</v>
      </c>
      <c r="F19" s="6" t="s">
        <v>80</v>
      </c>
      <c r="G19" s="9" t="s">
        <v>561</v>
      </c>
      <c r="H19" s="10">
        <v>17</v>
      </c>
      <c r="I19" s="11" t="s">
        <v>562</v>
      </c>
      <c r="J19" s="12"/>
    </row>
    <row r="20" spans="1:10" ht="60" customHeight="1" x14ac:dyDescent="0.3">
      <c r="A20" s="6" t="s">
        <v>81</v>
      </c>
      <c r="B20" s="6" t="s">
        <v>10</v>
      </c>
      <c r="C20" s="6" t="s">
        <v>12</v>
      </c>
      <c r="D20" s="7" t="s">
        <v>82</v>
      </c>
      <c r="E20" s="8" t="s">
        <v>83</v>
      </c>
      <c r="F20" s="6" t="s">
        <v>84</v>
      </c>
      <c r="G20" s="9" t="s">
        <v>369</v>
      </c>
      <c r="H20" s="10">
        <v>18</v>
      </c>
      <c r="I20" s="11" t="s">
        <v>555</v>
      </c>
      <c r="J20" s="12"/>
    </row>
    <row r="21" spans="1:10" ht="60" customHeight="1" x14ac:dyDescent="0.3">
      <c r="A21" s="6" t="s">
        <v>85</v>
      </c>
      <c r="B21" s="6" t="s">
        <v>11</v>
      </c>
      <c r="C21" s="6" t="s">
        <v>12</v>
      </c>
      <c r="D21" s="7" t="s">
        <v>86</v>
      </c>
      <c r="E21" s="8" t="s">
        <v>87</v>
      </c>
      <c r="F21" s="6" t="s">
        <v>88</v>
      </c>
      <c r="G21" s="9" t="s">
        <v>12</v>
      </c>
      <c r="H21" s="10">
        <v>19</v>
      </c>
      <c r="I21" s="11" t="s">
        <v>563</v>
      </c>
      <c r="J21" s="12" t="s">
        <v>564</v>
      </c>
    </row>
    <row r="22" spans="1:10" ht="60" customHeight="1" x14ac:dyDescent="0.3">
      <c r="A22" s="6" t="s">
        <v>89</v>
      </c>
      <c r="B22" s="6" t="s">
        <v>11</v>
      </c>
      <c r="C22" s="6" t="s">
        <v>12</v>
      </c>
      <c r="D22" s="7" t="s">
        <v>90</v>
      </c>
      <c r="E22" s="8" t="s">
        <v>91</v>
      </c>
      <c r="F22" s="6" t="s">
        <v>92</v>
      </c>
      <c r="G22" s="9" t="s">
        <v>561</v>
      </c>
      <c r="H22" s="10">
        <v>17</v>
      </c>
      <c r="I22" s="11" t="s">
        <v>562</v>
      </c>
      <c r="J22" s="12"/>
    </row>
    <row r="23" spans="1:10" ht="60" customHeight="1" x14ac:dyDescent="0.3">
      <c r="A23" s="6" t="s">
        <v>93</v>
      </c>
      <c r="B23" s="6" t="s">
        <v>69</v>
      </c>
      <c r="C23" s="6" t="s">
        <v>12</v>
      </c>
      <c r="D23" s="7" t="s">
        <v>49</v>
      </c>
      <c r="E23" s="8" t="s">
        <v>94</v>
      </c>
      <c r="F23" s="6" t="s">
        <v>95</v>
      </c>
      <c r="G23" s="9" t="s">
        <v>554</v>
      </c>
      <c r="H23" s="10">
        <v>21</v>
      </c>
      <c r="I23" s="11" t="s">
        <v>553</v>
      </c>
      <c r="J23" s="12"/>
    </row>
    <row r="24" spans="1:10" ht="60" customHeight="1" x14ac:dyDescent="0.3">
      <c r="A24" s="6" t="s">
        <v>96</v>
      </c>
      <c r="B24" s="6" t="s">
        <v>17</v>
      </c>
      <c r="C24" s="6" t="s">
        <v>12</v>
      </c>
      <c r="D24" s="7" t="s">
        <v>97</v>
      </c>
      <c r="E24" s="8" t="s">
        <v>98</v>
      </c>
      <c r="F24" s="6" t="s">
        <v>99</v>
      </c>
      <c r="G24" s="9" t="s">
        <v>570</v>
      </c>
      <c r="H24" s="10">
        <v>22</v>
      </c>
      <c r="I24" s="11" t="s">
        <v>547</v>
      </c>
      <c r="J24" s="12"/>
    </row>
    <row r="25" spans="1:10" ht="60" customHeight="1" x14ac:dyDescent="0.3">
      <c r="A25" s="6" t="s">
        <v>100</v>
      </c>
      <c r="B25" s="6" t="s">
        <v>16</v>
      </c>
      <c r="C25" s="6" t="s">
        <v>12</v>
      </c>
      <c r="D25" s="7" t="s">
        <v>101</v>
      </c>
      <c r="E25" s="8" t="s">
        <v>102</v>
      </c>
      <c r="F25" s="6" t="s">
        <v>103</v>
      </c>
      <c r="G25" s="9" t="s">
        <v>565</v>
      </c>
      <c r="H25" s="10">
        <v>23</v>
      </c>
      <c r="I25" s="11" t="s">
        <v>553</v>
      </c>
      <c r="J25" s="12"/>
    </row>
    <row r="26" spans="1:10" ht="60" customHeight="1" x14ac:dyDescent="0.3">
      <c r="A26" s="6" t="s">
        <v>104</v>
      </c>
      <c r="B26" s="6" t="s">
        <v>16</v>
      </c>
      <c r="C26" s="6" t="s">
        <v>12</v>
      </c>
      <c r="D26" s="7" t="s">
        <v>105</v>
      </c>
      <c r="E26" s="8" t="s">
        <v>106</v>
      </c>
      <c r="F26" s="6" t="s">
        <v>107</v>
      </c>
      <c r="G26" s="9" t="s">
        <v>566</v>
      </c>
      <c r="H26" s="10">
        <v>24</v>
      </c>
      <c r="I26" s="11" t="s">
        <v>553</v>
      </c>
      <c r="J26" s="12"/>
    </row>
    <row r="27" spans="1:10" ht="60" customHeight="1" x14ac:dyDescent="0.3">
      <c r="A27" s="6" t="s">
        <v>108</v>
      </c>
      <c r="B27" s="6" t="s">
        <v>16</v>
      </c>
      <c r="C27" s="6" t="s">
        <v>12</v>
      </c>
      <c r="D27" s="7" t="s">
        <v>109</v>
      </c>
      <c r="E27" s="8" t="s">
        <v>110</v>
      </c>
      <c r="F27" s="6" t="s">
        <v>111</v>
      </c>
      <c r="G27" s="9" t="s">
        <v>557</v>
      </c>
      <c r="H27" s="10">
        <v>25</v>
      </c>
      <c r="I27" s="11" t="s">
        <v>558</v>
      </c>
      <c r="J27" s="12"/>
    </row>
    <row r="28" spans="1:10" ht="60" customHeight="1" x14ac:dyDescent="0.3">
      <c r="A28" s="6" t="s">
        <v>112</v>
      </c>
      <c r="B28" s="6" t="s">
        <v>112</v>
      </c>
      <c r="C28" s="6" t="s">
        <v>12</v>
      </c>
      <c r="D28" s="7" t="s">
        <v>26</v>
      </c>
      <c r="E28" s="8" t="s">
        <v>113</v>
      </c>
      <c r="F28" s="6" t="s">
        <v>114</v>
      </c>
      <c r="G28" s="9" t="s">
        <v>567</v>
      </c>
      <c r="H28" s="10">
        <v>25</v>
      </c>
      <c r="I28" s="11" t="s">
        <v>553</v>
      </c>
      <c r="J28" s="12"/>
    </row>
    <row r="29" spans="1:10" ht="60" customHeight="1" x14ac:dyDescent="0.3">
      <c r="A29" s="6" t="s">
        <v>115</v>
      </c>
      <c r="B29" s="6" t="s">
        <v>36</v>
      </c>
      <c r="C29" s="6" t="s">
        <v>12</v>
      </c>
      <c r="D29" s="7" t="s">
        <v>116</v>
      </c>
      <c r="E29" s="8" t="s">
        <v>117</v>
      </c>
      <c r="F29" s="6" t="s">
        <v>118</v>
      </c>
      <c r="G29" s="9" t="s">
        <v>568</v>
      </c>
      <c r="H29" s="10">
        <v>27</v>
      </c>
      <c r="I29" s="11" t="s">
        <v>547</v>
      </c>
      <c r="J29" s="12"/>
    </row>
    <row r="30" spans="1:10" ht="60" customHeight="1" x14ac:dyDescent="0.3">
      <c r="A30" s="6" t="s">
        <v>119</v>
      </c>
      <c r="B30" s="6" t="s">
        <v>21</v>
      </c>
      <c r="C30" s="6" t="s">
        <v>12</v>
      </c>
      <c r="D30" s="7" t="s">
        <v>120</v>
      </c>
      <c r="E30" s="8" t="s">
        <v>121</v>
      </c>
      <c r="F30" s="6" t="s">
        <v>122</v>
      </c>
      <c r="G30" s="9" t="s">
        <v>383</v>
      </c>
      <c r="H30" s="10">
        <v>28</v>
      </c>
      <c r="I30" s="11" t="s">
        <v>553</v>
      </c>
      <c r="J30" s="12"/>
    </row>
    <row r="31" spans="1:10" ht="60" customHeight="1" x14ac:dyDescent="0.3">
      <c r="A31" s="6" t="s">
        <v>123</v>
      </c>
      <c r="B31" s="6" t="s">
        <v>56</v>
      </c>
      <c r="C31" s="6" t="s">
        <v>12</v>
      </c>
      <c r="D31" s="7" t="s">
        <v>124</v>
      </c>
      <c r="E31" s="8" t="s">
        <v>125</v>
      </c>
      <c r="F31" s="6" t="s">
        <v>126</v>
      </c>
      <c r="G31" s="9" t="s">
        <v>561</v>
      </c>
      <c r="H31" s="10">
        <v>29</v>
      </c>
      <c r="I31" s="11" t="s">
        <v>569</v>
      </c>
      <c r="J31" s="12"/>
    </row>
    <row r="32" spans="1:10" ht="60" customHeight="1" x14ac:dyDescent="0.3">
      <c r="A32" s="6" t="s">
        <v>127</v>
      </c>
      <c r="B32" s="6" t="s">
        <v>16</v>
      </c>
      <c r="C32" s="6" t="s">
        <v>12</v>
      </c>
      <c r="D32" s="7" t="s">
        <v>128</v>
      </c>
      <c r="E32" s="8" t="s">
        <v>129</v>
      </c>
      <c r="F32" s="6" t="s">
        <v>130</v>
      </c>
      <c r="G32" s="9" t="s">
        <v>570</v>
      </c>
      <c r="H32" s="10">
        <v>30</v>
      </c>
      <c r="I32" s="11" t="s">
        <v>547</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40"/>
  <sheetViews>
    <sheetView workbookViewId="0">
      <pane xSplit="1" ySplit="1" topLeftCell="C2" activePane="bottomRight" state="frozen"/>
      <selection pane="topRight" activeCell="B1" sqref="B1"/>
      <selection pane="bottomLeft" activeCell="A2" sqref="A2"/>
      <selection pane="bottomRight" activeCell="L4" sqref="L4"/>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131</v>
      </c>
      <c r="B1" s="13" t="s">
        <v>132</v>
      </c>
      <c r="C1" s="13" t="s">
        <v>133</v>
      </c>
      <c r="D1" s="13" t="s">
        <v>134</v>
      </c>
      <c r="E1" s="14" t="s">
        <v>135</v>
      </c>
      <c r="F1" s="15" t="s">
        <v>136</v>
      </c>
      <c r="G1" s="16" t="s">
        <v>137</v>
      </c>
      <c r="H1" s="17" t="s">
        <v>138</v>
      </c>
      <c r="I1" s="18" t="s">
        <v>139</v>
      </c>
      <c r="J1" s="18" t="s">
        <v>140</v>
      </c>
      <c r="K1" s="18" t="s">
        <v>141</v>
      </c>
      <c r="L1" s="19" t="s">
        <v>9</v>
      </c>
    </row>
    <row r="2" spans="1:12" x14ac:dyDescent="0.3">
      <c r="A2" t="s">
        <v>142</v>
      </c>
    </row>
    <row r="3" spans="1:12" x14ac:dyDescent="0.3">
      <c r="A3" t="s">
        <v>143</v>
      </c>
      <c r="B3" s="20" t="s">
        <v>144</v>
      </c>
      <c r="C3" s="20" t="s">
        <v>145</v>
      </c>
      <c r="D3" s="20" t="s">
        <v>146</v>
      </c>
      <c r="E3" s="21" t="s">
        <v>479</v>
      </c>
      <c r="F3" s="22" t="str">
        <f>IF(OR(E3="",E3="!!!"),"",IF(NOT(ISNA(VLOOKUP(E3,E$1:E2,1,FALSE()))),"OLD",IF(AND(E3&lt;&gt;"",E3&lt;&gt;"!!!"),"NEW","")))</f>
        <v>NEW</v>
      </c>
      <c r="G3" s="23" t="s">
        <v>482</v>
      </c>
      <c r="H3" s="24" t="str">
        <f t="shared" ref="H3:H8"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147</v>
      </c>
      <c r="E4" s="21" t="s">
        <v>480</v>
      </c>
      <c r="F4" s="22" t="str">
        <f>IF(OR(E4="",E4="!!!"),"",IF(NOT(ISNA(VLOOKUP(E4,E$1:E3,1,FALSE()))),"OLD",IF(AND(E4&lt;&gt;"",E4&lt;&gt;"!!!"),"NEW","")))</f>
        <v>NEW</v>
      </c>
      <c r="G4" s="23" t="s">
        <v>482</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148</v>
      </c>
      <c r="E5" s="21" t="str">
        <f t="shared" ref="E5:E8" si="1">IF(D5="?OLD","!!!","")</f>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13</v>
      </c>
      <c r="B6" s="20" t="s">
        <v>149</v>
      </c>
      <c r="C6" s="20" t="s">
        <v>150</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151</v>
      </c>
      <c r="B7" s="20" t="s">
        <v>149</v>
      </c>
      <c r="C7" s="20" t="s">
        <v>145</v>
      </c>
      <c r="D7" s="20" t="s">
        <v>146</v>
      </c>
      <c r="E7" s="21" t="s">
        <v>481</v>
      </c>
      <c r="F7" s="22" t="str">
        <f>IF(OR(E7="",E7="!!!"),"",IF(NOT(ISNA(VLOOKUP(E7,E$1:E6,1,FALSE()))),"OLD",IF(AND(E7&lt;&gt;"",E7&lt;&gt;"!!!"),"NEW","")))</f>
        <v>NEW</v>
      </c>
      <c r="G7" s="23" t="s">
        <v>483</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152</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10" spans="1:12" x14ac:dyDescent="0.3">
      <c r="A10" t="s">
        <v>153</v>
      </c>
    </row>
    <row r="11" spans="1:12" x14ac:dyDescent="0.3">
      <c r="A11" t="s">
        <v>154</v>
      </c>
      <c r="E11" s="21" t="str">
        <f t="shared" ref="E11:E23" si="2">IF(D11="?OLD","!!!","")</f>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ref="H11:H23" ca="1" si="3">IF(J11&lt;&gt;1,"",IF(I11="SBJ","CB","?"))</f>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155</v>
      </c>
      <c r="E12" s="21" t="str">
        <f t="shared" si="2"/>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3"/>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156</v>
      </c>
      <c r="B13" s="20" t="s">
        <v>157</v>
      </c>
      <c r="C13" s="20" t="s">
        <v>158</v>
      </c>
      <c r="D13" s="20" t="s">
        <v>146</v>
      </c>
      <c r="E13" s="21"/>
      <c r="F13" s="22" t="s">
        <v>484</v>
      </c>
      <c r="G13" s="23" t="str">
        <f>IF(OR(E13="",E13="!!!"),"",IF(OR(J13=0,AND(J13=1,K13=1),AND(J13=1,I13="SBJ"),AND(J13=1,I13=0)),"?IN_FOCUS",IF(J13&lt;=2,"?ACTIVATED",IF(J13&lt;&gt;"","?FAMILIAR",IF(F13="NEW",IF(ISNA(VLOOKUP(E13,#REF!,1,FALSE())),"?TYPE_IDENTIFIABLE","?REFERENTIAL"),"_")))))</f>
        <v/>
      </c>
      <c r="H13" s="24" t="str">
        <f t="shared" ca="1" si="3"/>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159</v>
      </c>
      <c r="B14" s="20" t="s">
        <v>144</v>
      </c>
      <c r="C14" s="20" t="s">
        <v>145</v>
      </c>
      <c r="D14" s="20" t="s">
        <v>146</v>
      </c>
      <c r="E14" s="21" t="s">
        <v>480</v>
      </c>
      <c r="F14" s="22" t="str">
        <f>IF(OR(E14="",E14="!!!"),"",IF(NOT(ISNA(VLOOKUP(E14,E$1:E13,1,FALSE()))),"OLD",IF(AND(E14&lt;&gt;"",E14&lt;&gt;"!!!"),"NEW","")))</f>
        <v>OLD</v>
      </c>
      <c r="G14" s="23" t="s">
        <v>527</v>
      </c>
      <c r="H14" s="24" t="s">
        <v>138</v>
      </c>
      <c r="I14" s="25">
        <f>IF(OR(E14="",E14="!!!",F14="NEW"),"",INDEX(B$2:B13,-1+SUMPRODUCT(MAX(ROW(E$2:E13)*(E14=E$2:E13)))))</f>
        <v>0</v>
      </c>
      <c r="J14" s="25">
        <f ca="1">IF(OR(E14="",E14="!!!",F14="NEW"),"",COUNTBLANK(OFFSET(A$1,,,SUMPRODUCT(MAX(ROW(E$2:E14)*(E14=E$2:E14)))))-COUNTBLANK(OFFSET(A$1,,,SUMPRODUCT(MAX(ROW(E$1:E13)*(E2=E$1:E13))))))</f>
        <v>0</v>
      </c>
      <c r="K14" s="25" t="str">
        <f ca="1">IF(OR(E14="",E14="!!!",F14="NEW"),"",INDEX(J$1:J13,SUMPRODUCT(MAX(ROW(E$1:E13)*(E14=E$1:E13)))))</f>
        <v/>
      </c>
      <c r="L14" s="26"/>
    </row>
    <row r="15" spans="1:12" x14ac:dyDescent="0.3">
      <c r="A15" t="s">
        <v>147</v>
      </c>
      <c r="E15" s="21" t="str">
        <f t="shared" si="2"/>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3"/>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160</v>
      </c>
      <c r="E16" s="21" t="str">
        <f t="shared" si="2"/>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ca="1" si="3"/>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161</v>
      </c>
      <c r="E17" s="21" t="str">
        <f t="shared" si="2"/>
        <v/>
      </c>
      <c r="F17" s="22" t="str">
        <f>IF(OR(E17="",E17="!!!"),"",IF(NOT(ISNA(VLOOKUP(E17,E$1:E16,1,FALSE()))),"OLD",IF(AND(E17&lt;&gt;"",E17&lt;&gt;"!!!"),"NEW","")))</f>
        <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162</v>
      </c>
      <c r="E18" s="21" t="str">
        <f t="shared" si="2"/>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13</v>
      </c>
      <c r="B19" s="20" t="s">
        <v>163</v>
      </c>
      <c r="C19" s="20" t="s">
        <v>164</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151</v>
      </c>
      <c r="B20" s="20" t="s">
        <v>165</v>
      </c>
      <c r="C20" s="20" t="s">
        <v>145</v>
      </c>
      <c r="D20" s="20" t="s">
        <v>146</v>
      </c>
      <c r="E20" s="21" t="s">
        <v>481</v>
      </c>
      <c r="F20" s="22" t="str">
        <f>IF(OR(E20="",E20="!!!"),"",IF(NOT(ISNA(VLOOKUP(E20,E$1:E19,1,FALSE()))),"OLD",IF(AND(E20&lt;&gt;"",E20&lt;&gt;"!!!"),"NEW","")))</f>
        <v>OLD</v>
      </c>
      <c r="G20" s="23" t="s">
        <v>528</v>
      </c>
      <c r="H20" s="24" t="str">
        <f t="shared" ca="1" si="3"/>
        <v/>
      </c>
      <c r="I20" s="25" t="str">
        <f>IF(OR(E20="",E20="!!!",F20="NEW"),"",INDEX(B$2:B19,-1+SUMPRODUCT(MAX(ROW(E$2:E19)*(E20=E$2:E19)))))</f>
        <v>other</v>
      </c>
      <c r="J20" s="25">
        <f ca="1">IF(OR(E20="",E20="!!!",F20="NEW"),"",COUNTBLANK(OFFSET(A$1,,,SUMPRODUCT(MAX(ROW(E$2:E20)*(E20=E$2:E20)))))-COUNTBLANK(OFFSET(A$1,,,SUMPRODUCT(MAX(ROW(E$1:E19)*(E2=E$1:E19))))))</f>
        <v>0</v>
      </c>
      <c r="K20" s="25" t="str">
        <f ca="1">IF(OR(E20="",E20="!!!",F20="NEW"),"",INDEX(J$1:J19,SUMPRODUCT(MAX(ROW(E$1:E19)*(E20=E$1:E19)))))</f>
        <v/>
      </c>
      <c r="L20" s="26"/>
    </row>
    <row r="21" spans="1:12" x14ac:dyDescent="0.3">
      <c r="A21" t="s">
        <v>152</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166</v>
      </c>
      <c r="E22" s="21" t="str">
        <f t="shared" si="2"/>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167</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5" spans="1:12" x14ac:dyDescent="0.3">
      <c r="A25" t="s">
        <v>168</v>
      </c>
    </row>
    <row r="26" spans="1:12" x14ac:dyDescent="0.3">
      <c r="A26" t="s">
        <v>152</v>
      </c>
      <c r="B26" s="20" t="s">
        <v>157</v>
      </c>
      <c r="C26" s="20" t="s">
        <v>145</v>
      </c>
      <c r="D26" s="20" t="s">
        <v>146</v>
      </c>
      <c r="E26" s="21" t="s">
        <v>481</v>
      </c>
      <c r="F26" s="22" t="str">
        <f>IF(OR(E26="",E26="!!!"),"",IF(NOT(ISNA(VLOOKUP(E26,E$1:E25,1,FALSE()))),"OLD",IF(AND(E26&lt;&gt;"",E26&lt;&gt;"!!!"),"NEW","")))</f>
        <v>OLD</v>
      </c>
      <c r="G26" s="23" t="s">
        <v>527</v>
      </c>
      <c r="H26" s="24"/>
      <c r="I26" s="25" t="str">
        <f>IF(OR(E26="",E26="!!!",F26="NEW"),"",INDEX(B$2:B25,-1+SUMPRODUCT(MAX(ROW(E$2:E25)*(E26=E$2:E25)))))</f>
        <v>other_3</v>
      </c>
      <c r="J26" s="25">
        <f ca="1">IF(OR(E26="",E26="!!!",F26="NEW"),"",COUNTBLANK(OFFSET(A$1,,,SUMPRODUCT(MAX(ROW(E$2:E26)*(E26=E$2:E26)))))-COUNTBLANK(OFFSET(A$1,,,SUMPRODUCT(MAX(ROW(E$1:E25)*(E2=E$1:E25))))))</f>
        <v>0</v>
      </c>
      <c r="K26" s="25">
        <f ca="1">IF(OR(E26="",E26="!!!",F26="NEW"),"",INDEX(J$1:J25,SUMPRODUCT(MAX(ROW(E$1:E25)*(E26=E$1:E25)))))</f>
        <v>0</v>
      </c>
      <c r="L26" s="26"/>
    </row>
    <row r="27" spans="1:12" x14ac:dyDescent="0.3">
      <c r="A27" t="s">
        <v>169</v>
      </c>
      <c r="E27" s="21" t="str">
        <f t="shared" ref="E27:E36" si="4">IF(D27="?OLD","!!!","")</f>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ref="H27:H36" ca="1" si="5">IF(J27&lt;&gt;1,"",IF(I27="SBJ","CB","?"))</f>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170</v>
      </c>
      <c r="E28" s="21" t="str">
        <f t="shared" si="4"/>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5"/>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171</v>
      </c>
      <c r="B29" s="20" t="s">
        <v>149</v>
      </c>
      <c r="C29" s="20" t="s">
        <v>172</v>
      </c>
      <c r="E29" s="21" t="str">
        <f t="shared" si="4"/>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5"/>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173</v>
      </c>
      <c r="B30" s="20" t="s">
        <v>149</v>
      </c>
      <c r="C30" s="20" t="s">
        <v>150</v>
      </c>
      <c r="E30" s="21" t="str">
        <f t="shared" si="4"/>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5"/>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174</v>
      </c>
      <c r="E31" s="21" t="str">
        <f t="shared" si="4"/>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5"/>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175</v>
      </c>
      <c r="E32" s="21" t="str">
        <f t="shared" si="4"/>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176</v>
      </c>
      <c r="B33" s="20" t="s">
        <v>149</v>
      </c>
      <c r="C33" s="20" t="s">
        <v>158</v>
      </c>
      <c r="D33" s="20" t="s">
        <v>146</v>
      </c>
      <c r="E33" s="21" t="s">
        <v>485</v>
      </c>
      <c r="F33" s="22" t="str">
        <f>IF(OR(E33="",E33="!!!"),"",IF(NOT(ISNA(VLOOKUP(E33,E$1:E32,1,FALSE()))),"OLD",IF(AND(E33&lt;&gt;"",E33&lt;&gt;"!!!"),"NEW","")))</f>
        <v>NEW</v>
      </c>
      <c r="G33" s="23" t="s">
        <v>136</v>
      </c>
      <c r="H33" s="24" t="str">
        <f t="shared" ca="1" si="5"/>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4" spans="1:12" x14ac:dyDescent="0.3">
      <c r="A34" t="s">
        <v>177</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147</v>
      </c>
      <c r="B35" s="20" t="s">
        <v>144</v>
      </c>
      <c r="C35" s="20" t="s">
        <v>150</v>
      </c>
      <c r="E35" s="21" t="s">
        <v>480</v>
      </c>
      <c r="F35" s="22" t="str">
        <f>IF(OR(E35="",E35="!!!"),"",IF(NOT(ISNA(VLOOKUP(E35,E$1:E34,1,FALSE()))),"OLD",IF(AND(E35&lt;&gt;"",E35&lt;&gt;"!!!"),"NEW","")))</f>
        <v>OLD</v>
      </c>
      <c r="G35" s="23" t="s">
        <v>527</v>
      </c>
      <c r="H35" s="24" t="s">
        <v>138</v>
      </c>
      <c r="I35" s="25" t="str">
        <f>IF(OR(E35="",E35="!!!",F35="NEW"),"",INDEX(B$2:B34,-1+SUMPRODUCT(MAX(ROW(E$2:E34)*(E35=E$2:E34)))))</f>
        <v>other_2</v>
      </c>
      <c r="J35" s="25">
        <f ca="1">IF(OR(E35="",E35="!!!",F35="NEW"),"",COUNTBLANK(OFFSET(A$1,,,SUMPRODUCT(MAX(ROW(E$2:E35)*(E35=E$2:E35)))))-COUNTBLANK(OFFSET(A$1,,,SUMPRODUCT(MAX(ROW(E$1:E34)*(E2=E$1:E34))))))</f>
        <v>0</v>
      </c>
      <c r="K35" s="25">
        <f ca="1">IF(OR(E35="",E35="!!!",F35="NEW"),"",INDEX(J$1:J34,SUMPRODUCT(MAX(ROW(E$1:E34)*(E35=E$1:E34)))))</f>
        <v>0</v>
      </c>
      <c r="L35" s="26"/>
    </row>
    <row r="36" spans="1:12" x14ac:dyDescent="0.3">
      <c r="A36" t="s">
        <v>167</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8" spans="1:12" x14ac:dyDescent="0.3">
      <c r="A38" t="s">
        <v>178</v>
      </c>
    </row>
    <row r="39" spans="1:12" x14ac:dyDescent="0.3">
      <c r="A39" t="s">
        <v>154</v>
      </c>
      <c r="E39" s="21" t="str">
        <f t="shared" ref="E39:E53" si="6">IF(D39="?OLD","!!!","")</f>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ref="H39:H53" ca="1" si="7">IF(J39&lt;&gt;1,"",IF(I39="SBJ","CB","?"))</f>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179</v>
      </c>
      <c r="E40" s="21" t="str">
        <f t="shared" si="6"/>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7"/>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12</v>
      </c>
      <c r="E41" s="21" t="str">
        <f t="shared" si="6"/>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7"/>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180</v>
      </c>
      <c r="B42" s="20" t="s">
        <v>157</v>
      </c>
      <c r="C42" s="20" t="s">
        <v>181</v>
      </c>
      <c r="D42" s="20" t="s">
        <v>146</v>
      </c>
      <c r="E42" s="21" t="s">
        <v>481</v>
      </c>
      <c r="F42" s="22" t="str">
        <f>IF(OR(E42="",E42="!!!"),"",IF(NOT(ISNA(VLOOKUP(E42,E$1:E41,1,FALSE()))),"OLD",IF(AND(E42&lt;&gt;"",E42&lt;&gt;"!!!"),"NEW","")))</f>
        <v>OLD</v>
      </c>
      <c r="G42" s="23" t="s">
        <v>527</v>
      </c>
      <c r="H42" s="24" t="s">
        <v>138</v>
      </c>
      <c r="I42" s="25" t="str">
        <f>IF(OR(E42="",E42="!!!",F42="NEW"),"",INDEX(B$2:B41,-1+SUMPRODUCT(MAX(ROW(E$2:E41)*(E42=E$2:E41)))))</f>
        <v>SBJ</v>
      </c>
      <c r="J42" s="25">
        <f ca="1">IF(OR(E42="",E42="!!!",F42="NEW"),"",COUNTBLANK(OFFSET(A$1,,,SUMPRODUCT(MAX(ROW(E$2:E42)*(E42=E$2:E42)))))-COUNTBLANK(OFFSET(A$1,,,SUMPRODUCT(MAX(ROW(E$1:E41)*(E2=E$1:E41))))))</f>
        <v>0</v>
      </c>
      <c r="K42" s="25">
        <f ca="1">IF(OR(E42="",E42="!!!",F42="NEW"),"",INDEX(J$1:J41,SUMPRODUCT(MAX(ROW(E$1:E41)*(E42=E$1:E41)))))</f>
        <v>0</v>
      </c>
      <c r="L42" s="26"/>
    </row>
    <row r="43" spans="1:12" x14ac:dyDescent="0.3">
      <c r="A43" t="s">
        <v>182</v>
      </c>
      <c r="E43" s="21" t="str">
        <f t="shared" si="6"/>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7"/>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183</v>
      </c>
      <c r="B44" s="20" t="s">
        <v>144</v>
      </c>
      <c r="C44" s="20" t="s">
        <v>184</v>
      </c>
      <c r="E44" s="21" t="str">
        <f t="shared" si="6"/>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7"/>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185</v>
      </c>
      <c r="E45" s="21" t="str">
        <f t="shared" si="6"/>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7"/>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186</v>
      </c>
      <c r="B46" s="20" t="s">
        <v>149</v>
      </c>
      <c r="C46" s="20" t="s">
        <v>158</v>
      </c>
      <c r="D46" s="20" t="s">
        <v>146</v>
      </c>
      <c r="E46" s="21" t="s">
        <v>529</v>
      </c>
      <c r="F46" s="22" t="str">
        <f>IF(OR(E46="",E46="!!!"),"",IF(NOT(ISNA(VLOOKUP(E46,E$1:E45,1,FALSE()))),"OLD",IF(AND(E46&lt;&gt;"",E46&lt;&gt;"!!!"),"NEW","")))</f>
        <v>NEW</v>
      </c>
      <c r="G46" s="23" t="s">
        <v>482</v>
      </c>
      <c r="H46" s="24" t="str">
        <f t="shared" ca="1" si="7"/>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187</v>
      </c>
      <c r="E47" s="21" t="str">
        <f t="shared" si="6"/>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7"/>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188</v>
      </c>
      <c r="B48" s="20" t="s">
        <v>144</v>
      </c>
      <c r="C48" s="20" t="s">
        <v>150</v>
      </c>
      <c r="E48" s="21" t="str">
        <f t="shared" si="6"/>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7"/>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12</v>
      </c>
      <c r="E49" s="21" t="str">
        <f t="shared" si="6"/>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7"/>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189</v>
      </c>
      <c r="E50" s="21" t="str">
        <f t="shared" si="6"/>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7"/>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190</v>
      </c>
      <c r="B51" s="20" t="s">
        <v>165</v>
      </c>
      <c r="C51" s="20" t="s">
        <v>150</v>
      </c>
      <c r="E51" s="21" t="str">
        <f t="shared" si="6"/>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7"/>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191</v>
      </c>
      <c r="E52" s="21" t="str">
        <f t="shared" si="6"/>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7"/>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167</v>
      </c>
      <c r="E53" s="21" t="str">
        <f t="shared" si="6"/>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7"/>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5" spans="1:12" x14ac:dyDescent="0.3">
      <c r="A55" t="s">
        <v>192</v>
      </c>
      <c r="E55" s="21" t="str">
        <f>IF(D55="?OLD","!!!","")</f>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ca="1">IF(J55&lt;&gt;1,"",IF(I55="SBJ","CB","?"))</f>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193</v>
      </c>
    </row>
    <row r="57" spans="1:12" x14ac:dyDescent="0.3">
      <c r="A57" t="s">
        <v>194</v>
      </c>
      <c r="E57" s="21" t="str">
        <f t="shared" ref="E57:E86" si="8">IF(D57="?OLD","!!!","")</f>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ref="H57:H86" ca="1" si="9">IF(J57&lt;&gt;1,"",IF(I57="SBJ","CB","?"))</f>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195</v>
      </c>
      <c r="E58" s="21" t="str">
        <f t="shared" si="8"/>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9"/>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196</v>
      </c>
      <c r="B59" s="20" t="s">
        <v>149</v>
      </c>
      <c r="C59" s="20" t="s">
        <v>197</v>
      </c>
      <c r="E59" s="21" t="str">
        <f t="shared" si="8"/>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9"/>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174</v>
      </c>
      <c r="E60" s="21" t="str">
        <f t="shared" si="8"/>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9"/>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198</v>
      </c>
      <c r="B61" s="20" t="s">
        <v>144</v>
      </c>
      <c r="C61" s="20" t="s">
        <v>158</v>
      </c>
      <c r="D61" s="20" t="s">
        <v>146</v>
      </c>
      <c r="E61" s="21" t="s">
        <v>486</v>
      </c>
      <c r="F61" s="22" t="str">
        <f>IF(OR(E61="",E61="!!!"),"",IF(NOT(ISNA(VLOOKUP(E61,E$1:E60,1,FALSE()))),"OLD",IF(AND(E61&lt;&gt;"",E61&lt;&gt;"!!!"),"NEW","")))</f>
        <v>NEW</v>
      </c>
      <c r="G61" s="23" t="s">
        <v>482</v>
      </c>
      <c r="H61" s="24" t="str">
        <f t="shared" ca="1" si="9"/>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199</v>
      </c>
      <c r="E62" s="21" t="str">
        <f t="shared" si="8"/>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9"/>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200</v>
      </c>
      <c r="B63" s="20" t="s">
        <v>157</v>
      </c>
      <c r="C63" s="20" t="s">
        <v>201</v>
      </c>
      <c r="D63" s="20" t="s">
        <v>146</v>
      </c>
      <c r="E63" s="21"/>
      <c r="F63" s="22" t="s">
        <v>501</v>
      </c>
      <c r="G63" s="23" t="str">
        <f>IF(OR(E63="",E63="!!!"),"",IF(OR(J63=0,AND(J63=1,K63=1),AND(J63=1,I63="SBJ"),AND(J63=1,I63=0)),"?IN_FOCUS",IF(J63&lt;=2,"?ACTIVATED",IF(J63&lt;&gt;"","?FAMILIAR",IF(F63="NEW",IF(ISNA(VLOOKUP(E63,#REF!,1,FALSE())),"?TYPE_IDENTIFIABLE","?REFERENTIAL"),"_")))))</f>
        <v/>
      </c>
      <c r="H63" s="24" t="str">
        <f t="shared" ca="1" si="9"/>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202</v>
      </c>
      <c r="E64" s="21" t="str">
        <f t="shared" si="8"/>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9"/>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203</v>
      </c>
      <c r="E65" s="21" t="str">
        <f t="shared" si="8"/>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9"/>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147</v>
      </c>
      <c r="B66" s="20" t="s">
        <v>163</v>
      </c>
      <c r="C66" s="20" t="s">
        <v>145</v>
      </c>
      <c r="D66" s="20" t="s">
        <v>146</v>
      </c>
      <c r="E66" s="21" t="s">
        <v>480</v>
      </c>
      <c r="F66" s="22" t="str">
        <f>IF(OR(E66="",E66="!!!"),"",IF(NOT(ISNA(VLOOKUP(E66,E$1:E65,1,FALSE()))),"OLD",IF(AND(E66&lt;&gt;"",E66&lt;&gt;"!!!"),"NEW","")))</f>
        <v>OLD</v>
      </c>
      <c r="G66" s="23" t="s">
        <v>528</v>
      </c>
      <c r="H66" s="24" t="str">
        <f t="shared" ca="1" si="9"/>
        <v/>
      </c>
      <c r="I66" s="25" t="str">
        <f>IF(OR(E66="",E66="!!!",F66="NEW"),"",INDEX(B$2:B65,-1+SUMPRODUCT(MAX(ROW(E$2:E65)*(E66=E$2:E65)))))</f>
        <v>other_2</v>
      </c>
      <c r="J66" s="25">
        <f ca="1">IF(OR(E66="",E66="!!!",F66="NEW"),"",COUNTBLANK(OFFSET(A$1,,,SUMPRODUCT(MAX(ROW(E$2:E66)*(E66=E$2:E66)))))-COUNTBLANK(OFFSET(A$1,,,SUMPRODUCT(MAX(ROW(E$1:E65)*(E2=E$1:E65))))))</f>
        <v>0</v>
      </c>
      <c r="K66" s="25">
        <f ca="1">IF(OR(E66="",E66="!!!",F66="NEW"),"",INDEX(J$1:J65,SUMPRODUCT(MAX(ROW(E$1:E65)*(E66=E$1:E65)))))</f>
        <v>0</v>
      </c>
      <c r="L66" s="26"/>
    </row>
    <row r="67" spans="1:12" x14ac:dyDescent="0.3">
      <c r="A67" t="s">
        <v>204</v>
      </c>
      <c r="E67" s="21" t="str">
        <f t="shared" si="8"/>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9"/>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205</v>
      </c>
      <c r="B68" s="20" t="s">
        <v>144</v>
      </c>
      <c r="C68" s="20" t="s">
        <v>150</v>
      </c>
      <c r="E68" s="21" t="str">
        <f t="shared" si="8"/>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9"/>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177</v>
      </c>
      <c r="E69" s="21" t="str">
        <f t="shared" si="8"/>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9"/>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206</v>
      </c>
      <c r="B70" s="20" t="s">
        <v>165</v>
      </c>
      <c r="C70" s="20" t="s">
        <v>150</v>
      </c>
      <c r="E70" s="21" t="str">
        <f t="shared" si="8"/>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9"/>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207</v>
      </c>
      <c r="E71" s="21" t="str">
        <f t="shared" si="8"/>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9"/>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208</v>
      </c>
      <c r="E72" s="21" t="str">
        <f t="shared" si="8"/>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9"/>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209</v>
      </c>
      <c r="B73" s="20" t="s">
        <v>163</v>
      </c>
      <c r="C73" s="20" t="s">
        <v>158</v>
      </c>
      <c r="D73" s="20" t="s">
        <v>146</v>
      </c>
      <c r="E73" s="21" t="s">
        <v>488</v>
      </c>
      <c r="F73" s="22" t="str">
        <f>IF(OR(E73="",E73="!!!"),"",IF(NOT(ISNA(VLOOKUP(E73,E$1:E72,1,FALSE()))),"OLD",IF(AND(E73&lt;&gt;"",E73&lt;&gt;"!!!"),"NEW","")))</f>
        <v>NEW</v>
      </c>
      <c r="G73" s="23" t="str">
        <f ca="1">IF(OR(E73="",E73="!!!"),"",IF(OR(J73=0,AND(J73=1,K73=1),AND(J73=1,I73="SBJ"),AND(J73=1,I73=0)),"?IN_FOCUS",IF(J73&lt;=2,"?ACTIVATED",IF(J73&lt;&gt;"","?FAMILIAR",IF(F73="NEW",IF(ISNA(VLOOKUP(E73,#REF!,1,FALSE())),"?TYPE_IDENTIFIABLE","?REFERENTIAL"),"_")))))</f>
        <v>?REFERENTIAL</v>
      </c>
      <c r="H73" s="24" t="str">
        <f t="shared" ca="1" si="9"/>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210</v>
      </c>
      <c r="B74" s="20" t="s">
        <v>165</v>
      </c>
      <c r="C74" s="20" t="s">
        <v>145</v>
      </c>
      <c r="D74" s="20" t="s">
        <v>146</v>
      </c>
      <c r="E74" s="21" t="s">
        <v>481</v>
      </c>
      <c r="F74" s="22" t="str">
        <f>IF(OR(E74="",E74="!!!"),"",IF(NOT(ISNA(VLOOKUP(E74,E$1:E73,1,FALSE()))),"OLD",IF(AND(E74&lt;&gt;"",E74&lt;&gt;"!!!"),"NEW","")))</f>
        <v>OLD</v>
      </c>
      <c r="G74" s="23" t="s">
        <v>527</v>
      </c>
      <c r="H74" s="24" t="s">
        <v>138</v>
      </c>
      <c r="I74" s="25" t="str">
        <f>IF(OR(E74="",E74="!!!",F74="NEW"),"",INDEX(B$2:B73,-1+SUMPRODUCT(MAX(ROW(E$2:E73)*(E74=E$2:E73)))))</f>
        <v>SBJ</v>
      </c>
      <c r="J74" s="25">
        <f ca="1">IF(OR(E74="",E74="!!!",F74="NEW"),"",COUNTBLANK(OFFSET(A$1,,,SUMPRODUCT(MAX(ROW(E$2:E74)*(E74=E$2:E74)))))-COUNTBLANK(OFFSET(A$1,,,SUMPRODUCT(MAX(ROW(E$1:E73)*(E2=E$1:E73))))))</f>
        <v>0</v>
      </c>
      <c r="K74" s="25">
        <f ca="1">IF(OR(E74="",E74="!!!",F74="NEW"),"",INDEX(J$1:J73,SUMPRODUCT(MAX(ROW(E$1:E73)*(E74=E$1:E73)))))</f>
        <v>0</v>
      </c>
      <c r="L74" s="26"/>
    </row>
    <row r="75" spans="1:12" x14ac:dyDescent="0.3">
      <c r="A75" t="s">
        <v>177</v>
      </c>
      <c r="E75" s="21" t="str">
        <f t="shared" si="8"/>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9"/>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162</v>
      </c>
      <c r="E76" s="21" t="s">
        <v>481</v>
      </c>
      <c r="F76" s="22" t="str">
        <f>IF(OR(E76="",E76="!!!"),"",IF(NOT(ISNA(VLOOKUP(E76,E$1:E75,1,FALSE()))),"OLD",IF(AND(E76&lt;&gt;"",E76&lt;&gt;"!!!"),"NEW","")))</f>
        <v>OLD</v>
      </c>
      <c r="G76" s="23" t="s">
        <v>527</v>
      </c>
      <c r="H76" s="24" t="str">
        <f t="shared" ca="1" si="9"/>
        <v/>
      </c>
      <c r="I76" s="25" t="str">
        <f>IF(OR(E76="",E76="!!!",F76="NEW"),"",INDEX(B$2:B75,-1+SUMPRODUCT(MAX(ROW(E$2:E75)*(E76=E$2:E75)))))</f>
        <v>other_3</v>
      </c>
      <c r="J76" s="25">
        <f ca="1">IF(OR(E76="",E76="!!!",F76="NEW"),"",COUNTBLANK(OFFSET(A$1,,,SUMPRODUCT(MAX(ROW(E$2:E76)*(E76=E$2:E76)))))-COUNTBLANK(OFFSET(A$1,,,SUMPRODUCT(MAX(ROW(E$1:E75)*(E2=E$1:E75))))))</f>
        <v>0</v>
      </c>
      <c r="K76" s="25">
        <f ca="1">IF(OR(E76="",E76="!!!",F76="NEW"),"",INDEX(J$1:J75,SUMPRODUCT(MAX(ROW(E$1:E75)*(E76=E$1:E75)))))</f>
        <v>0</v>
      </c>
      <c r="L76" s="26" t="s">
        <v>489</v>
      </c>
    </row>
    <row r="77" spans="1:12" x14ac:dyDescent="0.3">
      <c r="A77" t="s">
        <v>211</v>
      </c>
      <c r="B77" s="20" t="s">
        <v>144</v>
      </c>
      <c r="C77" s="20" t="s">
        <v>164</v>
      </c>
      <c r="E77" s="21" t="s">
        <v>530</v>
      </c>
      <c r="F77" s="22" t="str">
        <f>IF(OR(E77="",E77="!!!"),"",IF(NOT(ISNA(VLOOKUP(E77,E$1:E76,1,FALSE()))),"OLD",IF(AND(E77&lt;&gt;"",E77&lt;&gt;"!!!"),"NEW","")))</f>
        <v>NEW</v>
      </c>
      <c r="G77" s="23" t="s">
        <v>483</v>
      </c>
      <c r="H77" s="24" t="str">
        <f t="shared" ca="1" si="9"/>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212</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213</v>
      </c>
      <c r="B79" s="20" t="s">
        <v>144</v>
      </c>
      <c r="C79" s="20" t="s">
        <v>150</v>
      </c>
      <c r="E79" s="21" t="s">
        <v>531</v>
      </c>
      <c r="F79" s="22" t="str">
        <f>IF(OR(E79="",E79="!!!"),"",IF(NOT(ISNA(VLOOKUP(E79,E$1:E78,1,FALSE()))),"OLD",IF(AND(E79&lt;&gt;"",E79&lt;&gt;"!!!"),"NEW","")))</f>
        <v>NEW</v>
      </c>
      <c r="G79" s="23" t="str">
        <f ca="1">IF(OR(E79="",E79="!!!"),"",IF(OR(J79=0,AND(J79=1,K79=1),AND(J79=1,I79="SBJ"),AND(J79=1,I79=0)),"?IN_FOCUS",IF(J79&lt;=2,"?ACTIVATED",IF(J79&lt;&gt;"","?FAMILIAR",IF(F79="NEW",IF(ISNA(VLOOKUP(E79,#REF!,1,FALSE())),"?TYPE_IDENTIFIABLE","?REFERENTIAL"),"_")))))</f>
        <v>?REFERENTIAL</v>
      </c>
      <c r="H79" s="24" t="str">
        <f t="shared" ca="1" si="9"/>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t="s">
        <v>532</v>
      </c>
    </row>
    <row r="80" spans="1:12" x14ac:dyDescent="0.3">
      <c r="A80" t="s">
        <v>214</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215</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216</v>
      </c>
      <c r="B82" s="20" t="s">
        <v>165</v>
      </c>
      <c r="C82" s="20" t="s">
        <v>158</v>
      </c>
      <c r="D82" s="20" t="s">
        <v>146</v>
      </c>
      <c r="E82" s="21" t="s">
        <v>487</v>
      </c>
      <c r="F82" s="22" t="str">
        <f>IF(OR(E82="",E82="!!!"),"",IF(NOT(ISNA(VLOOKUP(E82,E$1:E81,1,FALSE()))),"OLD",IF(AND(E82&lt;&gt;"",E82&lt;&gt;"!!!"),"NEW","")))</f>
        <v>NEW</v>
      </c>
      <c r="G82" s="23" t="s">
        <v>482</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217</v>
      </c>
      <c r="E83" s="21" t="str">
        <f t="shared" si="8"/>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218</v>
      </c>
      <c r="E84" s="21" t="str">
        <f t="shared" si="8"/>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9"/>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207</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167</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8" spans="1:12" x14ac:dyDescent="0.3">
      <c r="A88" t="s">
        <v>219</v>
      </c>
    </row>
    <row r="89" spans="1:12" x14ac:dyDescent="0.3">
      <c r="A89" t="s">
        <v>220</v>
      </c>
      <c r="B89" s="20" t="s">
        <v>157</v>
      </c>
      <c r="C89" s="20" t="s">
        <v>145</v>
      </c>
      <c r="D89" s="20" t="s">
        <v>146</v>
      </c>
      <c r="E89" s="21" t="s">
        <v>490</v>
      </c>
      <c r="F89" s="22" t="str">
        <f>IF(OR(E89="",E89="!!!"),"",IF(NOT(ISNA(VLOOKUP(E89,E$1:E88,1,FALSE()))),"OLD",IF(AND(E89&lt;&gt;"",E89&lt;&gt;"!!!"),"NEW","")))</f>
        <v>NEW</v>
      </c>
      <c r="G89" s="23" t="s">
        <v>136</v>
      </c>
      <c r="H89" s="24" t="str">
        <f t="shared" ref="H89:H104" ca="1" si="10">IF(J89&lt;&gt;1,"",IF(I89="SBJ","CB","?"))</f>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221</v>
      </c>
      <c r="E90" s="21" t="str">
        <f t="shared" ref="E90:E104" si="11">IF(D90="?OLD","!!!","")</f>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10"/>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202</v>
      </c>
      <c r="E91" s="21" t="str">
        <f t="shared" si="11"/>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10"/>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214</v>
      </c>
      <c r="B92" s="20" t="s">
        <v>222</v>
      </c>
      <c r="C92" s="20" t="s">
        <v>223</v>
      </c>
      <c r="D92" s="20" t="s">
        <v>146</v>
      </c>
      <c r="E92" s="21"/>
      <c r="F92" s="22" t="s">
        <v>491</v>
      </c>
      <c r="G92" s="23" t="str">
        <f>IF(OR(E92="",E92="!!!"),"",IF(OR(J92=0,AND(J92=1,K92=1),AND(J92=1,I92="SBJ"),AND(J92=1,I92=0)),"?IN_FOCUS",IF(J92&lt;=2,"?ACTIVATED",IF(J92&lt;&gt;"","?FAMILIAR",IF(F92="NEW",IF(ISNA(VLOOKUP(E92,#REF!,1,FALSE())),"?TYPE_IDENTIFIABLE","?REFERENTIAL"),"_")))))</f>
        <v/>
      </c>
      <c r="H92" s="24" t="str">
        <f t="shared" ca="1" si="10"/>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224</v>
      </c>
      <c r="E93" s="21" t="str">
        <f t="shared" si="11"/>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10"/>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225</v>
      </c>
      <c r="E94" s="21" t="str">
        <f t="shared" si="11"/>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10"/>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210</v>
      </c>
      <c r="B95" s="20" t="s">
        <v>165</v>
      </c>
      <c r="C95" s="20" t="s">
        <v>172</v>
      </c>
      <c r="E95" s="21" t="s">
        <v>481</v>
      </c>
      <c r="F95" s="22" t="str">
        <f>IF(OR(E95="",E95="!!!"),"",IF(NOT(ISNA(VLOOKUP(E95,E$1:E94,1,FALSE()))),"OLD",IF(AND(E95&lt;&gt;"",E95&lt;&gt;"!!!"),"NEW","")))</f>
        <v>OLD</v>
      </c>
      <c r="G95" s="23" t="s">
        <v>527</v>
      </c>
      <c r="H95" s="24" t="s">
        <v>138</v>
      </c>
      <c r="I95" s="25">
        <f>IF(OR(E95="",E95="!!!",F95="NEW"),"",INDEX(B$2:B94,-1+SUMPRODUCT(MAX(ROW(E$2:E94)*(E95=E$2:E94)))))</f>
        <v>0</v>
      </c>
      <c r="J95" s="25">
        <f ca="1">IF(OR(E95="",E95="!!!",F95="NEW"),"",COUNTBLANK(OFFSET(A$1,,,SUMPRODUCT(MAX(ROW(E$2:E95)*(E95=E$2:E95)))))-COUNTBLANK(OFFSET(A$1,,,SUMPRODUCT(MAX(ROW(E$1:E94)*(E2=E$1:E94))))))</f>
        <v>0</v>
      </c>
      <c r="K95" s="25">
        <f ca="1">IF(OR(E95="",E95="!!!",F95="NEW"),"",INDEX(J$1:J94,SUMPRODUCT(MAX(ROW(E$1:E94)*(E95=E$1:E94)))))</f>
        <v>0</v>
      </c>
      <c r="L95" s="26"/>
    </row>
    <row r="96" spans="1:12" x14ac:dyDescent="0.3">
      <c r="A96" t="s">
        <v>226</v>
      </c>
      <c r="B96" s="20" t="s">
        <v>144</v>
      </c>
      <c r="C96" s="20" t="s">
        <v>150</v>
      </c>
      <c r="E96" s="21" t="str">
        <f t="shared" si="11"/>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10"/>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169</v>
      </c>
      <c r="E97" s="21" t="str">
        <f t="shared" si="11"/>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10"/>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202</v>
      </c>
      <c r="E98" s="21" t="str">
        <f t="shared" si="11"/>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10"/>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182</v>
      </c>
      <c r="E99" s="21" t="str">
        <f t="shared" si="11"/>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0"/>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183</v>
      </c>
      <c r="B100" s="20" t="s">
        <v>144</v>
      </c>
      <c r="C100" s="20" t="s">
        <v>184</v>
      </c>
      <c r="E100" s="21" t="str">
        <f t="shared" si="11"/>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10"/>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227</v>
      </c>
      <c r="E101" s="21"/>
      <c r="F101" s="22" t="str">
        <f>IF(OR(E101="",E101="!!!"),"",IF(NOT(ISNA(VLOOKUP(E101,E$1:E100,1,FALSE()))),"OLD",IF(AND(E101&lt;&gt;"",E101&lt;&gt;"!!!"),"NEW","")))</f>
        <v/>
      </c>
      <c r="G101" s="23"/>
      <c r="H101" s="24" t="str">
        <f t="shared" ca="1" si="10"/>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228</v>
      </c>
      <c r="B102" s="20" t="s">
        <v>149</v>
      </c>
      <c r="C102" s="20" t="s">
        <v>164</v>
      </c>
      <c r="E102" s="21"/>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10"/>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191</v>
      </c>
      <c r="E103" s="21" t="s">
        <v>499</v>
      </c>
      <c r="F103" s="22" t="str">
        <f>IF(OR(E103="",E103="!!!"),"",IF(NOT(ISNA(VLOOKUP(E103,E$1:E102,1,FALSE()))),"OLD",IF(AND(E103&lt;&gt;"",E103&lt;&gt;"!!!"),"NEW","")))</f>
        <v>NEW</v>
      </c>
      <c r="G103" s="23" t="s">
        <v>483</v>
      </c>
      <c r="H103" s="24" t="str">
        <f t="shared" ca="1" si="10"/>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t="s">
        <v>532</v>
      </c>
    </row>
    <row r="104" spans="1:12" x14ac:dyDescent="0.3">
      <c r="A104" t="s">
        <v>167</v>
      </c>
      <c r="E104" s="21" t="str">
        <f t="shared" si="11"/>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10"/>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6" spans="1:12" x14ac:dyDescent="0.3">
      <c r="A106" t="s">
        <v>229</v>
      </c>
    </row>
    <row r="107" spans="1:12" x14ac:dyDescent="0.3">
      <c r="A107" t="s">
        <v>221</v>
      </c>
      <c r="B107" s="20" t="s">
        <v>157</v>
      </c>
      <c r="C107" s="20" t="s">
        <v>145</v>
      </c>
      <c r="D107" s="20" t="s">
        <v>146</v>
      </c>
      <c r="E107" s="21" t="s">
        <v>490</v>
      </c>
      <c r="F107" s="22" t="str">
        <f>IF(OR(E107="",E107="!!!"),"",IF(NOT(ISNA(VLOOKUP(E107,E$1:E106,1,FALSE()))),"OLD",IF(AND(E107&lt;&gt;"",E107&lt;&gt;"!!!"),"NEW","")))</f>
        <v>OLD</v>
      </c>
      <c r="G107" s="23" t="s">
        <v>527</v>
      </c>
      <c r="H107" s="24" t="s">
        <v>138</v>
      </c>
      <c r="I107" s="25" t="str">
        <f>IF(OR(E107="",E107="!!!",F107="NEW"),"",INDEX(B$2:B106,-1+SUMPRODUCT(MAX(ROW(E$2:E106)*(E107=E$2:E106)))))</f>
        <v>SBJ</v>
      </c>
      <c r="J107" s="25">
        <f ca="1">IF(OR(E107="",E107="!!!",F107="NEW"),"",COUNTBLANK(OFFSET(A$1,,,SUMPRODUCT(MAX(ROW(E$2:E107)*(E107=E$2:E107)))))-COUNTBLANK(OFFSET(A$1,,,SUMPRODUCT(MAX(ROW(E$1:E106)*(E2=E$1:E106))))))</f>
        <v>0</v>
      </c>
      <c r="K107" s="25" t="str">
        <f ca="1">IF(OR(E107="",E107="!!!",F107="NEW"),"",INDEX(J$1:J106,SUMPRODUCT(MAX(ROW(E$1:E106)*(E107=E$1:E106)))))</f>
        <v/>
      </c>
      <c r="L107" s="26"/>
    </row>
    <row r="108" spans="1:12" x14ac:dyDescent="0.3">
      <c r="A108" t="s">
        <v>202</v>
      </c>
      <c r="E108" s="21" t="str">
        <f t="shared" ref="E108:E114" si="12">IF(D108="?OLD","!!!","")</f>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ref="H108:H114" ca="1" si="13">IF(J108&lt;&gt;1,"",IF(I108="SBJ","CB","?"))</f>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230</v>
      </c>
      <c r="E109" s="21" t="str">
        <f t="shared" si="12"/>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3"/>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202</v>
      </c>
      <c r="E110" s="21" t="str">
        <f t="shared" si="12"/>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13"/>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231</v>
      </c>
      <c r="E111" s="21" t="str">
        <f t="shared" si="12"/>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3"/>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232</v>
      </c>
      <c r="E112" s="21" t="str">
        <f t="shared" si="12"/>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13"/>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233</v>
      </c>
      <c r="B113" s="20" t="s">
        <v>149</v>
      </c>
      <c r="C113" s="20" t="s">
        <v>150</v>
      </c>
      <c r="E113" s="21" t="str">
        <f t="shared" si="12"/>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13"/>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167</v>
      </c>
      <c r="E114" s="21" t="str">
        <f t="shared" si="12"/>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13"/>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6" spans="1:12" x14ac:dyDescent="0.3">
      <c r="A116" t="s">
        <v>234</v>
      </c>
    </row>
    <row r="117" spans="1:12" x14ac:dyDescent="0.3">
      <c r="A117" t="s">
        <v>235</v>
      </c>
      <c r="E117" s="21" t="str">
        <f t="shared" ref="E117:E148" si="14">IF(D117="?OLD","!!!","")</f>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ref="H117:H148" ca="1" si="15">IF(J117&lt;&gt;1,"",IF(I117="SBJ","CB","?"))</f>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236</v>
      </c>
      <c r="E118" s="21" t="str">
        <f t="shared" si="14"/>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5"/>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214</v>
      </c>
      <c r="E119" s="21" t="str">
        <f t="shared" si="14"/>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15"/>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237</v>
      </c>
      <c r="E120" s="21" t="str">
        <f t="shared" si="14"/>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5"/>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238</v>
      </c>
      <c r="B121" s="20" t="s">
        <v>144</v>
      </c>
      <c r="C121" s="20" t="s">
        <v>158</v>
      </c>
      <c r="D121" s="20" t="s">
        <v>146</v>
      </c>
      <c r="E121" s="21"/>
      <c r="F121" s="22" t="s">
        <v>484</v>
      </c>
      <c r="G121" s="23" t="str">
        <f>IF(OR(E121="",E121="!!!"),"",IF(OR(J121=0,AND(J121=1,K121=1),AND(J121=1,I121="SBJ"),AND(J121=1,I121=0)),"?IN_FOCUS",IF(J121&lt;=2,"?ACTIVATED",IF(J121&lt;&gt;"","?FAMILIAR",IF(F121="NEW",IF(ISNA(VLOOKUP(E121,#REF!,1,FALSE())),"?TYPE_IDENTIFIABLE","?REFERENTIAL"),"_")))))</f>
        <v/>
      </c>
      <c r="H121" s="24" t="str">
        <f t="shared" ca="1" si="15"/>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239</v>
      </c>
      <c r="B122" s="20" t="s">
        <v>165</v>
      </c>
      <c r="C122" s="20" t="s">
        <v>145</v>
      </c>
      <c r="D122" s="20" t="s">
        <v>146</v>
      </c>
      <c r="E122" s="21" t="s">
        <v>492</v>
      </c>
      <c r="F122" s="22" t="str">
        <f>IF(OR(E122="",E122="!!!"),"",IF(NOT(ISNA(VLOOKUP(E122,E$1:E121,1,FALSE()))),"OLD",IF(AND(E122&lt;&gt;"",E122&lt;&gt;"!!!"),"NEW","")))</f>
        <v>NEW</v>
      </c>
      <c r="G122" s="23" t="s">
        <v>482</v>
      </c>
      <c r="H122" s="24" t="str">
        <f t="shared" ca="1" si="15"/>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240</v>
      </c>
      <c r="E123" s="21" t="str">
        <f t="shared" si="14"/>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5"/>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202</v>
      </c>
      <c r="E124" s="21" t="str">
        <f t="shared" si="14"/>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5"/>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241</v>
      </c>
      <c r="E125" s="21" t="str">
        <f t="shared" si="14"/>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5"/>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242</v>
      </c>
      <c r="B126" s="20" t="s">
        <v>157</v>
      </c>
      <c r="C126" s="20" t="s">
        <v>201</v>
      </c>
      <c r="D126" s="20" t="s">
        <v>146</v>
      </c>
      <c r="E126" s="21" t="s">
        <v>490</v>
      </c>
      <c r="F126" s="22" t="str">
        <f>IF(OR(E126="",E126="!!!"),"",IF(NOT(ISNA(VLOOKUP(E126,E$1:E125,1,FALSE()))),"OLD",IF(AND(E126&lt;&gt;"",E126&lt;&gt;"!!!"),"NEW","")))</f>
        <v>OLD</v>
      </c>
      <c r="G126" s="23" t="s">
        <v>527</v>
      </c>
      <c r="H126" s="24" t="s">
        <v>138</v>
      </c>
      <c r="I126" s="25" t="str">
        <f>IF(OR(E126="",E126="!!!",F126="NEW"),"",INDEX(B$2:B125,-1+SUMPRODUCT(MAX(ROW(E$2:E125)*(E126=E$2:E125)))))</f>
        <v>SBJ</v>
      </c>
      <c r="J126" s="25">
        <f ca="1">IF(OR(E126="",E126="!!!",F126="NEW"),"",COUNTBLANK(OFFSET(A$1,,,SUMPRODUCT(MAX(ROW(E$2:E126)*(E126=E$2:E126)))))-COUNTBLANK(OFFSET(A$1,,,SUMPRODUCT(MAX(ROW(E$1:E125)*(E2=E$1:E125))))))</f>
        <v>0</v>
      </c>
      <c r="K126" s="25">
        <f ca="1">IF(OR(E126="",E126="!!!",F126="NEW"),"",INDEX(J$1:J125,SUMPRODUCT(MAX(ROW(E$1:E125)*(E126=E$1:E125)))))</f>
        <v>0</v>
      </c>
      <c r="L126" s="26"/>
    </row>
    <row r="127" spans="1:12" x14ac:dyDescent="0.3">
      <c r="A127" t="s">
        <v>162</v>
      </c>
      <c r="E127" s="21" t="s">
        <v>490</v>
      </c>
      <c r="F127" s="22" t="str">
        <f>IF(OR(E127="",E127="!!!"),"",IF(NOT(ISNA(VLOOKUP(E127,E$1:E126,1,FALSE()))),"OLD",IF(AND(E127&lt;&gt;"",E127&lt;&gt;"!!!"),"NEW","")))</f>
        <v>OLD</v>
      </c>
      <c r="G127" s="23" t="s">
        <v>527</v>
      </c>
      <c r="H127" s="24" t="str">
        <f t="shared" ca="1" si="15"/>
        <v/>
      </c>
      <c r="I127" s="25" t="str">
        <f>IF(OR(E127="",E127="!!!",F127="NEW"),"",INDEX(B$2:B126,-1+SUMPRODUCT(MAX(ROW(E$2:E126)*(E127=E$2:E126)))))</f>
        <v>SBJ</v>
      </c>
      <c r="J127" s="25">
        <f ca="1">IF(OR(E127="",E127="!!!",F127="NEW"),"",COUNTBLANK(OFFSET(A$1,,,SUMPRODUCT(MAX(ROW(E$2:E127)*(E127=E$2:E127)))))-COUNTBLANK(OFFSET(A$1,,,SUMPRODUCT(MAX(ROW(E$1:E126)*(E2=E$1:E126))))))</f>
        <v>0</v>
      </c>
      <c r="K127" s="25">
        <f ca="1">IF(OR(E127="",E127="!!!",F127="NEW"),"",INDEX(J$1:J126,SUMPRODUCT(MAX(ROW(E$1:E126)*(E127=E$1:E126)))))</f>
        <v>0</v>
      </c>
      <c r="L127" s="26" t="s">
        <v>489</v>
      </c>
    </row>
    <row r="128" spans="1:12" x14ac:dyDescent="0.3">
      <c r="A128" t="s">
        <v>243</v>
      </c>
      <c r="B128" s="20" t="s">
        <v>244</v>
      </c>
      <c r="C128" s="20" t="s">
        <v>164</v>
      </c>
      <c r="E128" s="21" t="s">
        <v>493</v>
      </c>
      <c r="F128" s="22" t="str">
        <f>IF(OR(E128="",E128="!!!"),"",IF(NOT(ISNA(VLOOKUP(E128,E$1:E127,1,FALSE()))),"OLD",IF(AND(E128&lt;&gt;"",E128&lt;&gt;"!!!"),"NEW","")))</f>
        <v>NEW</v>
      </c>
      <c r="G128" s="23" t="s">
        <v>483</v>
      </c>
      <c r="H128" s="24" t="str">
        <f t="shared" ca="1" si="15"/>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245</v>
      </c>
      <c r="E129" s="21" t="str">
        <f t="shared" si="14"/>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5"/>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185</v>
      </c>
      <c r="E130" s="21" t="str">
        <f t="shared" si="14"/>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5"/>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246</v>
      </c>
      <c r="E131" s="21" t="str">
        <f t="shared" si="14"/>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5"/>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247</v>
      </c>
      <c r="E132" s="21" t="str">
        <f t="shared" si="14"/>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5"/>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248</v>
      </c>
      <c r="E133" s="21" t="str">
        <f t="shared" si="14"/>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5"/>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249</v>
      </c>
      <c r="B134" s="20" t="s">
        <v>149</v>
      </c>
      <c r="C134" s="20" t="s">
        <v>145</v>
      </c>
      <c r="D134" s="20" t="s">
        <v>146</v>
      </c>
      <c r="E134" s="21" t="s">
        <v>509</v>
      </c>
      <c r="F134" s="22" t="str">
        <f>IF(OR(E134="",E134="!!!"),"",IF(NOT(ISNA(VLOOKUP(E134,E$1:E133,1,FALSE()))),"OLD",IF(AND(E134&lt;&gt;"",E134&lt;&gt;"!!!"),"NEW","")))</f>
        <v>NEW</v>
      </c>
      <c r="G134" s="23" t="s">
        <v>483</v>
      </c>
      <c r="H134" s="24" t="str">
        <f t="shared" ca="1" si="15"/>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187</v>
      </c>
      <c r="E135" s="21" t="str">
        <f t="shared" si="14"/>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5"/>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250</v>
      </c>
      <c r="E136" s="21" t="str">
        <f t="shared" si="14"/>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15"/>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251</v>
      </c>
      <c r="B137" s="20" t="s">
        <v>144</v>
      </c>
      <c r="C137" s="20" t="s">
        <v>150</v>
      </c>
      <c r="E137" s="21" t="str">
        <f t="shared" si="14"/>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5"/>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252</v>
      </c>
      <c r="E138" s="21" t="str">
        <f t="shared" si="14"/>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5"/>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253</v>
      </c>
      <c r="B139" s="20" t="s">
        <v>165</v>
      </c>
      <c r="C139" s="20" t="s">
        <v>145</v>
      </c>
      <c r="D139" s="20" t="s">
        <v>146</v>
      </c>
      <c r="E139" s="21"/>
      <c r="F139" s="22" t="s">
        <v>484</v>
      </c>
      <c r="G139" s="23" t="str">
        <f>IF(OR(E139="",E139="!!!"),"",IF(OR(J139=0,AND(J139=1,K139=1),AND(J139=1,I139="SBJ"),AND(J139=1,I139=0)),"?IN_FOCUS",IF(J139&lt;=2,"?ACTIVATED",IF(J139&lt;&gt;"","?FAMILIAR",IF(F139="NEW",IF(ISNA(VLOOKUP(E139,#REF!,1,FALSE())),"?TYPE_IDENTIFIABLE","?REFERENTIAL"),"_")))))</f>
        <v/>
      </c>
      <c r="H139" s="24" t="str">
        <f t="shared" ca="1" si="15"/>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254</v>
      </c>
      <c r="E140" s="21" t="str">
        <f t="shared" si="14"/>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5"/>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189</v>
      </c>
      <c r="E141" s="21" t="str">
        <f t="shared" si="14"/>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5"/>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255</v>
      </c>
      <c r="E142" s="21" t="str">
        <f t="shared" si="14"/>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5"/>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236</v>
      </c>
      <c r="E143" s="21" t="str">
        <f t="shared" si="14"/>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5"/>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214</v>
      </c>
      <c r="E144" s="21" t="str">
        <f t="shared" si="14"/>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5"/>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256</v>
      </c>
      <c r="B145" s="20" t="s">
        <v>144</v>
      </c>
      <c r="C145" s="20" t="s">
        <v>158</v>
      </c>
      <c r="D145" s="20" t="s">
        <v>146</v>
      </c>
      <c r="E145" s="21" t="s">
        <v>494</v>
      </c>
      <c r="F145" s="22" t="str">
        <f>IF(OR(E145="",E145="!!!"),"",IF(NOT(ISNA(VLOOKUP(E145,E$1:E144,1,FALSE()))),"OLD",IF(AND(E145&lt;&gt;"",E145&lt;&gt;"!!!"),"NEW","")))</f>
        <v>NEW</v>
      </c>
      <c r="G145" s="23" t="s">
        <v>482</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236</v>
      </c>
      <c r="E146" s="21" t="str">
        <f t="shared" si="14"/>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5"/>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257</v>
      </c>
      <c r="B147" s="20" t="s">
        <v>144</v>
      </c>
      <c r="C147" s="20" t="s">
        <v>145</v>
      </c>
      <c r="D147" s="20" t="s">
        <v>146</v>
      </c>
      <c r="E147" s="21" t="s">
        <v>495</v>
      </c>
      <c r="F147" s="22" t="str">
        <f>IF(OR(E147="",E147="!!!"),"",IF(NOT(ISNA(VLOOKUP(E147,E$1:E146,1,FALSE()))),"OLD",IF(AND(E147&lt;&gt;"",E147&lt;&gt;"!!!"),"NEW","")))</f>
        <v>NEW</v>
      </c>
      <c r="G147" s="23" t="s">
        <v>482</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167</v>
      </c>
      <c r="E148" s="21" t="str">
        <f t="shared" si="14"/>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5"/>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50" spans="1:12" x14ac:dyDescent="0.3">
      <c r="A150" t="s">
        <v>258</v>
      </c>
    </row>
    <row r="151" spans="1:12" x14ac:dyDescent="0.3">
      <c r="A151" t="s">
        <v>259</v>
      </c>
      <c r="E151" s="21" t="str">
        <f t="shared" ref="E151:E172" si="16">IF(D151="?OLD","!!!","")</f>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ref="H151:H172" ca="1" si="17">IF(J151&lt;&gt;1,"",IF(I151="SBJ","CB","?"))</f>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214</v>
      </c>
      <c r="E152" s="21" t="str">
        <f t="shared" si="16"/>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7"/>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260</v>
      </c>
      <c r="B153" s="20" t="s">
        <v>149</v>
      </c>
      <c r="C153" s="20" t="s">
        <v>158</v>
      </c>
      <c r="D153" s="20" t="s">
        <v>146</v>
      </c>
      <c r="E153" s="21" t="s">
        <v>496</v>
      </c>
      <c r="F153" s="22" t="str">
        <f>IF(OR(E153="",E153="!!!"),"",IF(NOT(ISNA(VLOOKUP(E153,E$1:E152,1,FALSE()))),"OLD",IF(AND(E153&lt;&gt;"",E153&lt;&gt;"!!!"),"NEW","")))</f>
        <v>NEW</v>
      </c>
      <c r="G153" s="23" t="s">
        <v>483</v>
      </c>
      <c r="H153" s="24" t="str">
        <f t="shared" ca="1" si="17"/>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174</v>
      </c>
      <c r="E154" s="21" t="str">
        <f t="shared" si="16"/>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7"/>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198</v>
      </c>
      <c r="B155" s="20" t="s">
        <v>144</v>
      </c>
      <c r="C155" s="20" t="s">
        <v>145</v>
      </c>
      <c r="D155" s="20" t="s">
        <v>146</v>
      </c>
      <c r="E155" s="21" t="s">
        <v>486</v>
      </c>
      <c r="F155" s="22" t="str">
        <f>IF(OR(E155="",E155="!!!"),"",IF(NOT(ISNA(VLOOKUP(E155,E$1:E154,1,FALSE()))),"OLD",IF(AND(E155&lt;&gt;"",E155&lt;&gt;"!!!"),"NEW","")))</f>
        <v>OLD</v>
      </c>
      <c r="G155" s="23" t="s">
        <v>482</v>
      </c>
      <c r="H155" s="24" t="str">
        <f t="shared" ca="1" si="17"/>
        <v/>
      </c>
      <c r="I155" s="25" t="str">
        <f>IF(OR(E155="",E155="!!!",F155="NEW"),"",INDEX(B$2:B154,-1+SUMPRODUCT(MAX(ROW(E$2:E154)*(E155=E$2:E154)))))</f>
        <v>other_2</v>
      </c>
      <c r="J155" s="25">
        <f ca="1">IF(OR(E155="",E155="!!!",F155="NEW"),"",COUNTBLANK(OFFSET(A$1,,,SUMPRODUCT(MAX(ROW(E$2:E155)*(E155=E$2:E155)))))-COUNTBLANK(OFFSET(A$1,,,SUMPRODUCT(MAX(ROW(E$1:E154)*(E2=E$1:E154))))))</f>
        <v>0</v>
      </c>
      <c r="K155" s="25" t="str">
        <f ca="1">IF(OR(E155="",E155="!!!",F155="NEW"),"",INDEX(J$1:J154,SUMPRODUCT(MAX(ROW(E$1:E154)*(E155=E$1:E154)))))</f>
        <v/>
      </c>
      <c r="L155" s="26"/>
    </row>
    <row r="156" spans="1:12" x14ac:dyDescent="0.3">
      <c r="A156" t="s">
        <v>261</v>
      </c>
      <c r="E156" s="21" t="str">
        <f t="shared" si="16"/>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17"/>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200</v>
      </c>
      <c r="B157" s="20" t="s">
        <v>157</v>
      </c>
      <c r="C157" s="20" t="s">
        <v>201</v>
      </c>
      <c r="D157" s="20" t="s">
        <v>146</v>
      </c>
      <c r="E157" s="21"/>
      <c r="F157" s="22" t="s">
        <v>501</v>
      </c>
      <c r="G157" s="23" t="str">
        <f>IF(OR(E157="",E157="!!!"),"",IF(OR(J157=0,AND(J157=1,K157=1),AND(J157=1,I157="SBJ"),AND(J157=1,I157=0)),"?IN_FOCUS",IF(J157&lt;=2,"?ACTIVATED",IF(J157&lt;&gt;"","?FAMILIAR",IF(F157="NEW",IF(ISNA(VLOOKUP(E157,#REF!,1,FALSE())),"?TYPE_IDENTIFIABLE","?REFERENTIAL"),"_")))))</f>
        <v/>
      </c>
      <c r="H157" s="24" t="str">
        <f t="shared" ca="1" si="17"/>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252</v>
      </c>
      <c r="E158" s="21" t="str">
        <f t="shared" si="16"/>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7"/>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262</v>
      </c>
      <c r="E159" s="21" t="str">
        <f t="shared" si="16"/>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7"/>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263</v>
      </c>
      <c r="B160" s="20" t="s">
        <v>149</v>
      </c>
      <c r="C160" s="20" t="s">
        <v>145</v>
      </c>
      <c r="D160" s="20" t="s">
        <v>146</v>
      </c>
      <c r="E160" s="21"/>
      <c r="F160" s="22" t="s">
        <v>497</v>
      </c>
      <c r="G160" s="23" t="str">
        <f>IF(OR(E160="",E160="!!!"),"",IF(OR(J160=0,AND(J160=1,K160=1),AND(J160=1,I160="SBJ"),AND(J160=1,I160=0)),"?IN_FOCUS",IF(J160&lt;=2,"?ACTIVATED",IF(J160&lt;&gt;"","?FAMILIAR",IF(F160="NEW",IF(ISNA(VLOOKUP(E160,#REF!,1,FALSE())),"?TYPE_IDENTIFIABLE","?REFERENTIAL"),"_")))))</f>
        <v/>
      </c>
      <c r="H160" s="24" t="str">
        <f t="shared" ca="1" si="17"/>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254</v>
      </c>
      <c r="E161" s="21" t="str">
        <f t="shared" si="16"/>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7"/>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202</v>
      </c>
      <c r="E162" s="21" t="str">
        <f t="shared" si="16"/>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7"/>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203</v>
      </c>
      <c r="E163" s="21" t="str">
        <f t="shared" si="16"/>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7"/>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242</v>
      </c>
      <c r="B164" s="20" t="s">
        <v>163</v>
      </c>
      <c r="C164" s="20" t="s">
        <v>201</v>
      </c>
      <c r="D164" s="20" t="s">
        <v>146</v>
      </c>
      <c r="E164" s="21" t="s">
        <v>490</v>
      </c>
      <c r="F164" s="22" t="str">
        <f>IF(OR(E164="",E164="!!!"),"",IF(NOT(ISNA(VLOOKUP(E164,E$1:E163,1,FALSE()))),"OLD",IF(AND(E164&lt;&gt;"",E164&lt;&gt;"!!!"),"NEW","")))</f>
        <v>OLD</v>
      </c>
      <c r="G164" s="23" t="s">
        <v>527</v>
      </c>
      <c r="H164" s="24" t="s">
        <v>138</v>
      </c>
      <c r="I164" s="25">
        <f>IF(OR(E164="",E164="!!!",F164="NEW"),"",INDEX(B$2:B163,-1+SUMPRODUCT(MAX(ROW(E$2:E163)*(E164=E$2:E163)))))</f>
        <v>0</v>
      </c>
      <c r="J164" s="25">
        <f ca="1">IF(OR(E164="",E164="!!!",F164="NEW"),"",COUNTBLANK(OFFSET(A$1,,,SUMPRODUCT(MAX(ROW(E$2:E164)*(E164=E$2:E164)))))-COUNTBLANK(OFFSET(A$1,,,SUMPRODUCT(MAX(ROW(E$1:E163)*(E2=E$1:E163))))))</f>
        <v>0</v>
      </c>
      <c r="K164" s="25">
        <f ca="1">IF(OR(E164="",E164="!!!",F164="NEW"),"",INDEX(J$1:J163,SUMPRODUCT(MAX(ROW(E$1:E163)*(E164=E$1:E163)))))</f>
        <v>0</v>
      </c>
      <c r="L164" s="26"/>
    </row>
    <row r="165" spans="1:12" x14ac:dyDescent="0.3">
      <c r="A165" t="s">
        <v>264</v>
      </c>
      <c r="E165" s="21" t="str">
        <f t="shared" si="16"/>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7"/>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265</v>
      </c>
      <c r="B166" s="20" t="s">
        <v>149</v>
      </c>
      <c r="C166" s="20" t="s">
        <v>150</v>
      </c>
      <c r="E166" s="21" t="str">
        <f t="shared" si="16"/>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7"/>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189</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266</v>
      </c>
      <c r="B168" s="20" t="s">
        <v>144</v>
      </c>
      <c r="C168" s="20" t="s">
        <v>150</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174</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267</v>
      </c>
      <c r="B170" s="20" t="s">
        <v>144</v>
      </c>
      <c r="C170" s="20" t="s">
        <v>158</v>
      </c>
      <c r="D170" s="20" t="s">
        <v>146</v>
      </c>
      <c r="E170" s="21" t="s">
        <v>498</v>
      </c>
      <c r="F170" s="22" t="str">
        <f>IF(OR(E170="",E170="!!!"),"",IF(NOT(ISNA(VLOOKUP(E170,E$1:E169,1,FALSE()))),"OLD",IF(AND(E170&lt;&gt;"",E170&lt;&gt;"!!!"),"NEW","")))</f>
        <v>NEW</v>
      </c>
      <c r="G170" s="23" t="s">
        <v>483</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169</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167</v>
      </c>
      <c r="E172" s="21" t="str">
        <f t="shared" si="16"/>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7"/>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4" spans="1:12" x14ac:dyDescent="0.3">
      <c r="A174" t="s">
        <v>192</v>
      </c>
      <c r="E174" s="21" t="str">
        <f>IF(D174="?OLD","!!!","")</f>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ca="1">IF(J174&lt;&gt;1,"",IF(I174="SBJ","CB","?"))</f>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268</v>
      </c>
    </row>
    <row r="176" spans="1:12" x14ac:dyDescent="0.3">
      <c r="A176" t="s">
        <v>269</v>
      </c>
      <c r="E176" s="21" t="str">
        <f t="shared" ref="E176:E189" si="18">IF(D176="?OLD","!!!","")</f>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ref="H176:H189" ca="1" si="19">IF(J176&lt;&gt;1,"",IF(I176="SBJ","CB","?"))</f>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270</v>
      </c>
      <c r="E177" s="21" t="s">
        <v>490</v>
      </c>
      <c r="F177" s="22" t="str">
        <f>IF(OR(E177="",E177="!!!"),"",IF(NOT(ISNA(VLOOKUP(E177,E$1:E176,1,FALSE()))),"OLD",IF(AND(E177&lt;&gt;"",E177&lt;&gt;"!!!"),"NEW","")))</f>
        <v>OLD</v>
      </c>
      <c r="G177" s="23" t="s">
        <v>527</v>
      </c>
      <c r="H177" s="24" t="s">
        <v>138</v>
      </c>
      <c r="I177" s="25" t="str">
        <f>IF(OR(E177="",E177="!!!",F177="NEW"),"",INDEX(B$2:B176,-1+SUMPRODUCT(MAX(ROW(E$2:E176)*(E177=E$2:E176)))))</f>
        <v>SBJ_2</v>
      </c>
      <c r="J177" s="25">
        <f ca="1">IF(OR(E177="",E177="!!!",F177="NEW"),"",COUNTBLANK(OFFSET(A$1,,,SUMPRODUCT(MAX(ROW(E$2:E177)*(E177=E$2:E177)))))-COUNTBLANK(OFFSET(A$1,,,SUMPRODUCT(MAX(ROW(E$1:E176)*(E2=E$1:E176))))))</f>
        <v>0</v>
      </c>
      <c r="K177" s="25">
        <f ca="1">IF(OR(E177="",E177="!!!",F177="NEW"),"",INDEX(J$1:J176,SUMPRODUCT(MAX(ROW(E$1:E176)*(E177=E$1:E176)))))</f>
        <v>0</v>
      </c>
      <c r="L177" s="26"/>
    </row>
    <row r="178" spans="1:12" x14ac:dyDescent="0.3">
      <c r="A178" t="s">
        <v>271</v>
      </c>
      <c r="B178" s="20" t="s">
        <v>149</v>
      </c>
      <c r="C178" s="20" t="s">
        <v>164</v>
      </c>
      <c r="E178" s="21" t="s">
        <v>499</v>
      </c>
      <c r="F178" s="22" t="str">
        <f>IF(OR(E178="",E178="!!!"),"",IF(NOT(ISNA(VLOOKUP(E178,E$1:E177,1,FALSE()))),"OLD",IF(AND(E178&lt;&gt;"",E178&lt;&gt;"!!!"),"NEW","")))</f>
        <v>OLD</v>
      </c>
      <c r="G178" s="23" t="s">
        <v>482</v>
      </c>
      <c r="H178" s="24" t="str">
        <f t="shared" ca="1" si="19"/>
        <v/>
      </c>
      <c r="I178" s="25">
        <f>IF(OR(E178="",E178="!!!",F178="NEW"),"",INDEX(B$2:B177,-1+SUMPRODUCT(MAX(ROW(E$2:E177)*(E178=E$2:E177)))))</f>
        <v>0</v>
      </c>
      <c r="J178" s="25">
        <f ca="1">IF(OR(E178="",E178="!!!",F178="NEW"),"",COUNTBLANK(OFFSET(A$1,,,SUMPRODUCT(MAX(ROW(E$2:E178)*(E178=E$2:E178)))))-COUNTBLANK(OFFSET(A$1,,,SUMPRODUCT(MAX(ROW(E$1:E177)*(E2=E$1:E177))))))</f>
        <v>0</v>
      </c>
      <c r="K178" s="25" t="str">
        <f ca="1">IF(OR(E178="",E178="!!!",F178="NEW"),"",INDEX(J$1:J177,SUMPRODUCT(MAX(ROW(E$1:E177)*(E178=E$1:E177)))))</f>
        <v/>
      </c>
      <c r="L178" s="26"/>
    </row>
    <row r="179" spans="1:12" x14ac:dyDescent="0.3">
      <c r="A179" t="s">
        <v>272</v>
      </c>
      <c r="E179" s="21" t="str">
        <f t="shared" si="18"/>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9"/>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242</v>
      </c>
      <c r="B180" s="20" t="s">
        <v>157</v>
      </c>
      <c r="C180" s="20" t="s">
        <v>201</v>
      </c>
      <c r="D180" s="20" t="s">
        <v>146</v>
      </c>
      <c r="E180" s="21" t="s">
        <v>490</v>
      </c>
      <c r="F180" s="22" t="str">
        <f>IF(OR(E180="",E180="!!!"),"",IF(NOT(ISNA(VLOOKUP(E180,E$1:E179,1,FALSE()))),"OLD",IF(AND(E180&lt;&gt;"",E180&lt;&gt;"!!!"),"NEW","")))</f>
        <v>OLD</v>
      </c>
      <c r="G180" s="23" t="s">
        <v>527</v>
      </c>
      <c r="H180" s="24" t="str">
        <f t="shared" ca="1" si="19"/>
        <v/>
      </c>
      <c r="I180" s="25">
        <f>IF(OR(E180="",E180="!!!",F180="NEW"),"",INDEX(B$2:B179,-1+SUMPRODUCT(MAX(ROW(E$2:E179)*(E180=E$2:E179)))))</f>
        <v>0</v>
      </c>
      <c r="J180" s="25">
        <f ca="1">IF(OR(E180="",E180="!!!",F180="NEW"),"",COUNTBLANK(OFFSET(A$1,,,SUMPRODUCT(MAX(ROW(E$2:E180)*(E180=E$2:E180)))))-COUNTBLANK(OFFSET(A$1,,,SUMPRODUCT(MAX(ROW(E$1:E179)*(E2=E$1:E179))))))</f>
        <v>0</v>
      </c>
      <c r="K180" s="25">
        <f ca="1">IF(OR(E180="",E180="!!!",F180="NEW"),"",INDEX(J$1:J179,SUMPRODUCT(MAX(ROW(E$1:E179)*(E180=E$1:E179)))))</f>
        <v>0</v>
      </c>
      <c r="L180" s="26"/>
    </row>
    <row r="181" spans="1:12" x14ac:dyDescent="0.3">
      <c r="A181" t="s">
        <v>183</v>
      </c>
      <c r="B181" s="20" t="s">
        <v>144</v>
      </c>
      <c r="C181" s="20" t="s">
        <v>184</v>
      </c>
      <c r="E181" s="21" t="str">
        <f t="shared" si="18"/>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9"/>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147</v>
      </c>
      <c r="B182" s="20" t="s">
        <v>149</v>
      </c>
      <c r="C182" s="20" t="s">
        <v>145</v>
      </c>
      <c r="D182" s="20" t="s">
        <v>146</v>
      </c>
      <c r="E182" s="21" t="s">
        <v>480</v>
      </c>
      <c r="F182" s="22" t="str">
        <f>IF(OR(E182="",E182="!!!"),"",IF(NOT(ISNA(VLOOKUP(E182,E$1:E181,1,FALSE()))),"OLD",IF(AND(E182&lt;&gt;"",E182&lt;&gt;"!!!"),"NEW","")))</f>
        <v>OLD</v>
      </c>
      <c r="G182" s="23" t="s">
        <v>482</v>
      </c>
      <c r="H182" s="24" t="str">
        <f t="shared" ca="1" si="19"/>
        <v/>
      </c>
      <c r="I182" s="25" t="str">
        <f>IF(OR(E182="",E182="!!!",F182="NEW"),"",INDEX(B$2:B181,-1+SUMPRODUCT(MAX(ROW(E$2:E181)*(E182=E$2:E181)))))</f>
        <v>SBJ_2</v>
      </c>
      <c r="J182" s="25">
        <f ca="1">IF(OR(E182="",E182="!!!",F182="NEW"),"",COUNTBLANK(OFFSET(A$1,,,SUMPRODUCT(MAX(ROW(E$2:E182)*(E182=E$2:E182)))))-COUNTBLANK(OFFSET(A$1,,,SUMPRODUCT(MAX(ROW(E$1:E181)*(E2=E$1:E181))))))</f>
        <v>0</v>
      </c>
      <c r="K182" s="25">
        <f ca="1">IF(OR(E182="",E182="!!!",F182="NEW"),"",INDEX(J$1:J181,SUMPRODUCT(MAX(ROW(E$1:E181)*(E182=E$1:E181)))))</f>
        <v>0</v>
      </c>
      <c r="L182" s="26"/>
    </row>
    <row r="183" spans="1:12" x14ac:dyDescent="0.3">
      <c r="A183" t="s">
        <v>273</v>
      </c>
      <c r="E183" s="21" t="str">
        <f t="shared" si="18"/>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9"/>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274</v>
      </c>
      <c r="E184" s="21" t="str">
        <f t="shared" si="18"/>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9"/>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187</v>
      </c>
      <c r="E185" s="21" t="str">
        <f t="shared" si="18"/>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9"/>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275</v>
      </c>
      <c r="B186" s="20" t="s">
        <v>165</v>
      </c>
      <c r="C186" s="20" t="s">
        <v>276</v>
      </c>
      <c r="D186" s="20" t="s">
        <v>146</v>
      </c>
      <c r="E186" s="21" t="s">
        <v>480</v>
      </c>
      <c r="F186" s="22" t="str">
        <f>IF(OR(E186="",E186="!!!"),"",IF(NOT(ISNA(VLOOKUP(E186,E$1:E185,1,FALSE()))),"OLD",IF(AND(E186&lt;&gt;"",E186&lt;&gt;"!!!"),"NEW","")))</f>
        <v>OLD</v>
      </c>
      <c r="G186" s="23" t="s">
        <v>527</v>
      </c>
      <c r="H186" s="24" t="str">
        <f t="shared" ca="1" si="19"/>
        <v/>
      </c>
      <c r="I186" s="25" t="str">
        <f>IF(OR(E186="",E186="!!!",F186="NEW"),"",INDEX(B$2:B185,-1+SUMPRODUCT(MAX(ROW(E$2:E185)*(E186=E$2:E185)))))</f>
        <v>other</v>
      </c>
      <c r="J186" s="25">
        <f ca="1">IF(OR(E186="",E186="!!!",F186="NEW"),"",COUNTBLANK(OFFSET(A$1,,,SUMPRODUCT(MAX(ROW(E$2:E186)*(E186=E$2:E186)))))-COUNTBLANK(OFFSET(A$1,,,SUMPRODUCT(MAX(ROW(E$1:E185)*(E2=E$1:E185))))))</f>
        <v>0</v>
      </c>
      <c r="K186" s="25">
        <f ca="1">IF(OR(E186="",E186="!!!",F186="NEW"),"",INDEX(J$1:J185,SUMPRODUCT(MAX(ROW(E$1:E185)*(E186=E$1:E185)))))</f>
        <v>0</v>
      </c>
      <c r="L186" s="26"/>
    </row>
    <row r="187" spans="1:12" x14ac:dyDescent="0.3">
      <c r="A187" t="s">
        <v>277</v>
      </c>
      <c r="B187" s="20" t="s">
        <v>144</v>
      </c>
      <c r="C187" s="20" t="s">
        <v>150</v>
      </c>
      <c r="E187" s="21" t="s">
        <v>500</v>
      </c>
      <c r="F187" s="22" t="str">
        <f>IF(OR(E187="",E187="!!!"),"",IF(NOT(ISNA(VLOOKUP(E187,E$1:E186,1,FALSE()))),"OLD",IF(AND(E187&lt;&gt;"",E187&lt;&gt;"!!!"),"NEW","")))</f>
        <v>NEW</v>
      </c>
      <c r="G187" s="23" t="s">
        <v>483</v>
      </c>
      <c r="H187" s="24" t="str">
        <f t="shared" ca="1" si="19"/>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167</v>
      </c>
      <c r="E188" s="21" t="str">
        <f t="shared" si="18"/>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9"/>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207</v>
      </c>
      <c r="E189" s="21" t="str">
        <f t="shared" si="18"/>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9"/>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1" spans="1:12" x14ac:dyDescent="0.3">
      <c r="A191" t="s">
        <v>278</v>
      </c>
    </row>
    <row r="192" spans="1:12" x14ac:dyDescent="0.3">
      <c r="A192" t="s">
        <v>279</v>
      </c>
      <c r="B192" s="20" t="s">
        <v>157</v>
      </c>
      <c r="C192" s="20" t="s">
        <v>201</v>
      </c>
      <c r="D192" s="20" t="s">
        <v>146</v>
      </c>
      <c r="E192" s="21" t="s">
        <v>490</v>
      </c>
      <c r="F192" s="22" t="str">
        <f>IF(OR(E192="",E192="!!!"),"",IF(NOT(ISNA(VLOOKUP(E192,E$1:E191,1,FALSE()))),"OLD",IF(AND(E192&lt;&gt;"",E192&lt;&gt;"!!!"),"NEW","")))</f>
        <v>OLD</v>
      </c>
      <c r="G192" s="23" t="s">
        <v>527</v>
      </c>
      <c r="H192" s="24" t="s">
        <v>138</v>
      </c>
      <c r="I192" s="25" t="str">
        <f>IF(OR(E192="",E192="!!!",F192="NEW"),"",INDEX(B$2:B191,-1+SUMPRODUCT(MAX(ROW(E$2:E191)*(E192=E$2:E191)))))</f>
        <v>SBJ</v>
      </c>
      <c r="J192" s="25">
        <f ca="1">IF(OR(E192="",E192="!!!",F192="NEW"),"",COUNTBLANK(OFFSET(A$1,,,SUMPRODUCT(MAX(ROW(E$2:E192)*(E192=E$2:E192)))))-COUNTBLANK(OFFSET(A$1,,,SUMPRODUCT(MAX(ROW(E$1:E191)*(E2=E$1:E191))))))</f>
        <v>0</v>
      </c>
      <c r="K192" s="25">
        <f ca="1">IF(OR(E192="",E192="!!!",F192="NEW"),"",INDEX(J$1:J191,SUMPRODUCT(MAX(ROW(E$1:E191)*(E192=E$1:E191)))))</f>
        <v>0</v>
      </c>
      <c r="L192" s="26"/>
    </row>
    <row r="193" spans="1:12" x14ac:dyDescent="0.3">
      <c r="A193" t="s">
        <v>280</v>
      </c>
      <c r="E193" s="21" t="str">
        <f t="shared" ref="E193:E219" si="20">IF(D193="?OLD","!!!","")</f>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ref="H193:H219" ca="1" si="21">IF(J193&lt;&gt;1,"",IF(I193="SBJ","CB","?"))</f>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202</v>
      </c>
      <c r="E194" s="21" t="str">
        <f t="shared" si="20"/>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21"/>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203</v>
      </c>
      <c r="E195" s="21" t="str">
        <f t="shared" si="20"/>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21"/>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200</v>
      </c>
      <c r="B196" s="20" t="s">
        <v>163</v>
      </c>
      <c r="C196" s="20" t="s">
        <v>201</v>
      </c>
      <c r="D196" s="20" t="s">
        <v>146</v>
      </c>
      <c r="E196" s="21"/>
      <c r="F196" s="22" t="s">
        <v>501</v>
      </c>
      <c r="G196" s="23" t="str">
        <f>IF(OR(E196="",E196="!!!"),"",IF(OR(J196=0,AND(J196=1,K196=1),AND(J196=1,I196="SBJ"),AND(J196=1,I196=0)),"?IN_FOCUS",IF(J196&lt;=2,"?ACTIVATED",IF(J196&lt;&gt;"","?FAMILIAR",IF(F196="NEW",IF(ISNA(VLOOKUP(E196,#REF!,1,FALSE())),"?TYPE_IDENTIFIABLE","?REFERENTIAL"),"_")))))</f>
        <v/>
      </c>
      <c r="H196" s="24" t="str">
        <f t="shared" ca="1" si="21"/>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208</v>
      </c>
      <c r="E197" s="21" t="str">
        <f t="shared" si="20"/>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21"/>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281</v>
      </c>
      <c r="E198" s="21" t="str">
        <f t="shared" si="20"/>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21"/>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282</v>
      </c>
      <c r="B199" s="20" t="s">
        <v>149</v>
      </c>
      <c r="C199" s="20" t="s">
        <v>158</v>
      </c>
      <c r="D199" s="20" t="s">
        <v>146</v>
      </c>
      <c r="E199" s="21" t="s">
        <v>535</v>
      </c>
      <c r="F199" s="22" t="str">
        <f>IF(OR(E199="",E199="!!!"),"",IF(NOT(ISNA(VLOOKUP(E199,E$1:E198,1,FALSE()))),"OLD",IF(AND(E199&lt;&gt;"",E199&lt;&gt;"!!!"),"NEW","")))</f>
        <v>NEW</v>
      </c>
      <c r="G199" s="23" t="s">
        <v>483</v>
      </c>
      <c r="H199" s="24" t="str">
        <f t="shared" ca="1" si="21"/>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214</v>
      </c>
      <c r="E200" s="21" t="str">
        <f t="shared" si="20"/>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21"/>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283</v>
      </c>
      <c r="B201" s="20" t="s">
        <v>144</v>
      </c>
      <c r="C201" s="20" t="s">
        <v>158</v>
      </c>
      <c r="D201" s="20" t="s">
        <v>146</v>
      </c>
      <c r="E201" s="21" t="s">
        <v>502</v>
      </c>
      <c r="F201" s="22" t="str">
        <f>IF(OR(E201="",E201="!!!"),"",IF(NOT(ISNA(VLOOKUP(E201,E$1:E200,1,FALSE()))),"OLD",IF(AND(E201&lt;&gt;"",E201&lt;&gt;"!!!"),"NEW","")))</f>
        <v>NEW</v>
      </c>
      <c r="G201" s="23" t="s">
        <v>482</v>
      </c>
      <c r="H201" s="24" t="str">
        <f t="shared" ca="1" si="21"/>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231</v>
      </c>
      <c r="E202" s="21" t="str">
        <f t="shared" si="20"/>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21"/>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202</v>
      </c>
      <c r="E203" s="21" t="str">
        <f t="shared" si="20"/>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21"/>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284</v>
      </c>
      <c r="B204" s="20" t="s">
        <v>285</v>
      </c>
      <c r="C204" s="20" t="s">
        <v>276</v>
      </c>
      <c r="D204" s="20" t="s">
        <v>146</v>
      </c>
      <c r="E204" s="21" t="s">
        <v>480</v>
      </c>
      <c r="F204" s="22" t="str">
        <f>IF(OR(E204="",E204="!!!"),"",IF(NOT(ISNA(VLOOKUP(E204,E$1:E203,1,FALSE()))),"OLD",IF(AND(E204&lt;&gt;"",E204&lt;&gt;"!!!"),"NEW","")))</f>
        <v>OLD</v>
      </c>
      <c r="G204" s="23" t="s">
        <v>528</v>
      </c>
      <c r="H204" s="24" t="str">
        <f t="shared" ca="1" si="21"/>
        <v/>
      </c>
      <c r="I204" s="25" t="str">
        <f>IF(OR(E204="",E204="!!!",F204="NEW"),"",INDEX(B$2:B203,-1+SUMPRODUCT(MAX(ROW(E$2:E203)*(E204=E$2:E203)))))</f>
        <v>other_3</v>
      </c>
      <c r="J204" s="25">
        <f ca="1">IF(OR(E204="",E204="!!!",F204="NEW"),"",COUNTBLANK(OFFSET(A$1,,,SUMPRODUCT(MAX(ROW(E$2:E204)*(E204=E$2:E204)))))-COUNTBLANK(OFFSET(A$1,,,SUMPRODUCT(MAX(ROW(E$1:E203)*(E2=E$1:E203))))))</f>
        <v>0</v>
      </c>
      <c r="K204" s="25">
        <f ca="1">IF(OR(E204="",E204="!!!",F204="NEW"),"",INDEX(J$1:J203,SUMPRODUCT(MAX(ROW(E$1:E203)*(E204=E$1:E203)))))</f>
        <v>0</v>
      </c>
      <c r="L204" s="26"/>
    </row>
    <row r="205" spans="1:12" x14ac:dyDescent="0.3">
      <c r="A205" t="s">
        <v>286</v>
      </c>
      <c r="B205" s="20" t="s">
        <v>287</v>
      </c>
      <c r="C205" s="20" t="s">
        <v>150</v>
      </c>
      <c r="E205" s="21" t="s">
        <v>534</v>
      </c>
      <c r="F205" s="22" t="str">
        <f>IF(OR(E205="",E205="!!!"),"",IF(NOT(ISNA(VLOOKUP(E205,E$1:E204,1,FALSE()))),"OLD",IF(AND(E205&lt;&gt;"",E205&lt;&gt;"!!!"),"NEW","")))</f>
        <v>NEW</v>
      </c>
      <c r="G205" s="23" t="s">
        <v>483</v>
      </c>
      <c r="H205" s="24" t="str">
        <f t="shared" ca="1" si="21"/>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212</v>
      </c>
      <c r="E206" s="21" t="str">
        <f t="shared" si="20"/>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21"/>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288</v>
      </c>
      <c r="B207" s="20" t="s">
        <v>289</v>
      </c>
      <c r="C207" s="20" t="s">
        <v>150</v>
      </c>
      <c r="E207" s="21" t="str">
        <f t="shared" si="20"/>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21"/>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290</v>
      </c>
      <c r="E208" s="21" t="str">
        <f t="shared" si="20"/>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21"/>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291</v>
      </c>
      <c r="B209" s="20" t="s">
        <v>287</v>
      </c>
      <c r="C209" s="20" t="s">
        <v>150</v>
      </c>
      <c r="E209" s="21" t="str">
        <f t="shared" si="20"/>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21"/>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189</v>
      </c>
      <c r="E210" s="21" t="str">
        <f t="shared" si="20"/>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1"/>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292</v>
      </c>
      <c r="B211" s="20" t="s">
        <v>285</v>
      </c>
      <c r="C211" s="20" t="s">
        <v>150</v>
      </c>
      <c r="E211" s="21" t="str">
        <f t="shared" si="20"/>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21"/>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183</v>
      </c>
      <c r="B212" s="20" t="s">
        <v>289</v>
      </c>
      <c r="C212" s="20" t="s">
        <v>184</v>
      </c>
      <c r="E212" s="21" t="str">
        <f t="shared" si="20"/>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1"/>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214</v>
      </c>
      <c r="E213" s="21" t="str">
        <f t="shared" si="20"/>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1"/>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293</v>
      </c>
      <c r="B214" s="20" t="s">
        <v>285</v>
      </c>
      <c r="C214" s="20" t="s">
        <v>158</v>
      </c>
      <c r="D214" s="20" t="s">
        <v>146</v>
      </c>
      <c r="E214" s="21"/>
      <c r="F214" s="22" t="s">
        <v>497</v>
      </c>
      <c r="G214" s="23" t="str">
        <f>IF(OR(E214="",E214="!!!"),"",IF(OR(J214=0,AND(J214=1,K214=1),AND(J214=1,I214="SBJ"),AND(J214=1,I214=0)),"?IN_FOCUS",IF(J214&lt;=2,"?ACTIVATED",IF(J214&lt;&gt;"","?FAMILIAR",IF(F214="NEW",IF(ISNA(VLOOKUP(E214,#REF!,1,FALSE())),"?TYPE_IDENTIFIABLE","?REFERENTIAL"),"_")))))</f>
        <v/>
      </c>
      <c r="H214" s="24" t="str">
        <f t="shared" ca="1" si="21"/>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294</v>
      </c>
      <c r="B215" s="20" t="s">
        <v>295</v>
      </c>
      <c r="C215" s="20" t="s">
        <v>276</v>
      </c>
      <c r="D215" s="20" t="s">
        <v>146</v>
      </c>
      <c r="E215" s="21" t="s">
        <v>480</v>
      </c>
      <c r="F215" s="22" t="str">
        <f>IF(OR(E215="",E215="!!!"),"",IF(NOT(ISNA(VLOOKUP(E215,E$1:E214,1,FALSE()))),"OLD",IF(AND(E215&lt;&gt;"",E215&lt;&gt;"!!!"),"NEW","")))</f>
        <v>OLD</v>
      </c>
      <c r="G215" s="23" t="s">
        <v>527</v>
      </c>
      <c r="H215" s="24" t="str">
        <f t="shared" ca="1" si="21"/>
        <v/>
      </c>
      <c r="I215" s="25" t="str">
        <f>IF(OR(E215="",E215="!!!",F215="NEW"),"",INDEX(B$2:B214,-1+SUMPRODUCT(MAX(ROW(E$2:E214)*(E215=E$2:E214)))))</f>
        <v>other_4</v>
      </c>
      <c r="J215" s="25">
        <f ca="1">IF(OR(E215="",E215="!!!",F215="NEW"),"",COUNTBLANK(OFFSET(A$1,,,SUMPRODUCT(MAX(ROW(E$2:E215)*(E215=E$2:E215)))))-COUNTBLANK(OFFSET(A$1,,,SUMPRODUCT(MAX(ROW(E$1:E214)*(E2=E$1:E214))))))</f>
        <v>0</v>
      </c>
      <c r="K215" s="25">
        <f ca="1">IF(OR(E215="",E215="!!!",F215="NEW"),"",INDEX(J$1:J214,SUMPRODUCT(MAX(ROW(E$1:E214)*(E215=E$1:E214)))))</f>
        <v>0</v>
      </c>
      <c r="L215" s="26"/>
    </row>
    <row r="216" spans="1:12" x14ac:dyDescent="0.3">
      <c r="A216" t="s">
        <v>296</v>
      </c>
      <c r="B216" s="20" t="s">
        <v>289</v>
      </c>
      <c r="C216" s="20" t="s">
        <v>150</v>
      </c>
      <c r="E216" s="21" t="s">
        <v>533</v>
      </c>
      <c r="F216" s="22" t="str">
        <f>IF(OR(E216="",E216="!!!"),"",IF(NOT(ISNA(VLOOKUP(E216,E$1:E215,1,FALSE()))),"OLD",IF(AND(E216&lt;&gt;"",E216&lt;&gt;"!!!"),"NEW","")))</f>
        <v>NEW</v>
      </c>
      <c r="G216" s="23" t="s">
        <v>483</v>
      </c>
      <c r="H216" s="24" t="str">
        <f t="shared" ca="1" si="21"/>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183</v>
      </c>
      <c r="E217" s="21" t="str">
        <f t="shared" si="20"/>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21"/>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297</v>
      </c>
      <c r="E218" s="21" t="str">
        <f t="shared" si="20"/>
        <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21"/>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167</v>
      </c>
      <c r="E219" s="21" t="str">
        <f t="shared" si="20"/>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21"/>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1" spans="1:12" x14ac:dyDescent="0.3">
      <c r="A221" t="s">
        <v>298</v>
      </c>
    </row>
    <row r="222" spans="1:12" x14ac:dyDescent="0.3">
      <c r="A222" t="s">
        <v>147</v>
      </c>
      <c r="B222" s="20" t="s">
        <v>157</v>
      </c>
      <c r="C222" s="20" t="s">
        <v>145</v>
      </c>
      <c r="D222" s="20" t="s">
        <v>146</v>
      </c>
      <c r="E222" s="21" t="s">
        <v>480</v>
      </c>
      <c r="F222" s="22" t="str">
        <f>IF(OR(E222="",E222="!!!"),"",IF(NOT(ISNA(VLOOKUP(E222,E$1:E221,1,FALSE()))),"OLD",IF(AND(E222&lt;&gt;"",E222&lt;&gt;"!!!"),"NEW","")))</f>
        <v>OLD</v>
      </c>
      <c r="G222" s="23" t="s">
        <v>527</v>
      </c>
      <c r="H222" s="24" t="str">
        <f t="shared" ref="H222:H250" ca="1" si="22">IF(J222&lt;&gt;1,"",IF(I222="SBJ","CB","?"))</f>
        <v/>
      </c>
      <c r="I222" s="25" t="str">
        <f>IF(OR(E222="",E222="!!!",F222="NEW"),"",INDEX(B$2:B221,-1+SUMPRODUCT(MAX(ROW(E$2:E221)*(E222=E$2:E221)))))</f>
        <v>other_6</v>
      </c>
      <c r="J222" s="25">
        <f ca="1">IF(OR(E222="",E222="!!!",F222="NEW"),"",COUNTBLANK(OFFSET(A$1,,,SUMPRODUCT(MAX(ROW(E$2:E222)*(E222=E$2:E222)))))-COUNTBLANK(OFFSET(A$1,,,SUMPRODUCT(MAX(ROW(E$1:E221)*(E2=E$1:E221))))))</f>
        <v>0</v>
      </c>
      <c r="K222" s="25">
        <f ca="1">IF(OR(E222="",E222="!!!",F222="NEW"),"",INDEX(J$1:J221,SUMPRODUCT(MAX(ROW(E$1:E221)*(E222=E$1:E221)))))</f>
        <v>0</v>
      </c>
      <c r="L222" s="26"/>
    </row>
    <row r="223" spans="1:12" x14ac:dyDescent="0.3">
      <c r="A223" t="s">
        <v>299</v>
      </c>
      <c r="E223" s="21" t="str">
        <f t="shared" ref="E223:E250" si="23">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ca="1" si="22"/>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185</v>
      </c>
      <c r="E224" s="21" t="str">
        <f t="shared" si="23"/>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2"/>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215</v>
      </c>
      <c r="E225" s="21" t="str">
        <f t="shared" si="23"/>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2"/>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300</v>
      </c>
      <c r="B226" s="20" t="s">
        <v>301</v>
      </c>
      <c r="C226" s="20" t="s">
        <v>158</v>
      </c>
      <c r="D226" s="20" t="s">
        <v>146</v>
      </c>
      <c r="E226" s="21" t="s">
        <v>503</v>
      </c>
      <c r="F226" s="22" t="str">
        <f>IF(OR(E226="",E226="!!!"),"",IF(NOT(ISNA(VLOOKUP(E226,E$1:E225,1,FALSE()))),"OLD",IF(AND(E226&lt;&gt;"",E226&lt;&gt;"!!!"),"NEW","")))</f>
        <v>NEW</v>
      </c>
      <c r="G226" s="23" t="s">
        <v>483</v>
      </c>
      <c r="H226" s="24" t="str">
        <f t="shared" ca="1" si="22"/>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302</v>
      </c>
      <c r="B227" s="20" t="s">
        <v>244</v>
      </c>
      <c r="C227" s="20" t="s">
        <v>150</v>
      </c>
      <c r="E227" s="21" t="str">
        <f t="shared" si="23"/>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2"/>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245</v>
      </c>
      <c r="E228" s="21" t="str">
        <f t="shared" si="23"/>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2"/>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185</v>
      </c>
      <c r="E229" s="21" t="str">
        <f t="shared" si="23"/>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2"/>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303</v>
      </c>
      <c r="B230" s="20" t="s">
        <v>144</v>
      </c>
      <c r="C230" s="20" t="s">
        <v>145</v>
      </c>
      <c r="D230" s="20" t="s">
        <v>146</v>
      </c>
      <c r="E230" s="21" t="s">
        <v>505</v>
      </c>
      <c r="F230" s="22" t="s">
        <v>504</v>
      </c>
      <c r="G230" s="23"/>
      <c r="H230" s="24" t="str">
        <f t="shared" ca="1" si="22"/>
        <v/>
      </c>
      <c r="I230" s="25" t="e">
        <f>IF(OR(E230="",E230="!!!",F230="NEW"),"",INDEX(B$2:B229,-1+SUMPRODUCT(MAX(ROW(E$2:E229)*(E230=E$2:E229)))))</f>
        <v>#VALUE!</v>
      </c>
      <c r="J230" s="25">
        <f ca="1">IF(OR(E230="",E230="!!!",F230="NEW"),"",COUNTBLANK(OFFSET(A$1,,,SUMPRODUCT(MAX(ROW(E$2:E230)*(E230=E$2:E230)))))-COUNTBLANK(OFFSET(A$1,,,SUMPRODUCT(MAX(ROW(E$1:E229)*(E2=E$1:E229))))))</f>
        <v>0</v>
      </c>
      <c r="K230" s="25" t="e">
        <f>IF(OR(E230="",E230="!!!",F230="NEW"),"",INDEX(J$1:J229,SUMPRODUCT(MAX(ROW(E$1:E229)*(E230=E$1:E229)))))</f>
        <v>#VALUE!</v>
      </c>
      <c r="L230" s="26"/>
    </row>
    <row r="231" spans="1:12" x14ac:dyDescent="0.3">
      <c r="A231" t="s">
        <v>304</v>
      </c>
      <c r="E231" s="21" t="str">
        <f t="shared" si="23"/>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22"/>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202</v>
      </c>
      <c r="E232" s="21" t="str">
        <f t="shared" si="23"/>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2"/>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203</v>
      </c>
      <c r="E233" s="21" t="str">
        <f t="shared" si="23"/>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2"/>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152</v>
      </c>
      <c r="B234" s="20" t="s">
        <v>163</v>
      </c>
      <c r="C234" s="20" t="s">
        <v>145</v>
      </c>
      <c r="D234" s="20" t="s">
        <v>146</v>
      </c>
      <c r="E234" s="21" t="s">
        <v>481</v>
      </c>
      <c r="F234" s="22" t="str">
        <f>IF(OR(E234="",E234="!!!"),"",IF(NOT(ISNA(VLOOKUP(E234,E$1:E233,1,FALSE()))),"OLD",IF(AND(E234&lt;&gt;"",E234&lt;&gt;"!!!"),"NEW","")))</f>
        <v>OLD</v>
      </c>
      <c r="G234" s="23" t="s">
        <v>482</v>
      </c>
      <c r="H234" s="24" t="str">
        <f t="shared" ca="1" si="22"/>
        <v/>
      </c>
      <c r="I234" s="25" t="str">
        <f>IF(OR(E234="",E234="!!!",F234="NEW"),"",INDEX(B$2:B233,-1+SUMPRODUCT(MAX(ROW(E$2:E233)*(E234=E$2:E233)))))</f>
        <v>other_3</v>
      </c>
      <c r="J234" s="25">
        <f ca="1">IF(OR(E234="",E234="!!!",F234="NEW"),"",COUNTBLANK(OFFSET(A$1,,,SUMPRODUCT(MAX(ROW(E$2:E234)*(E234=E$2:E234)))))-COUNTBLANK(OFFSET(A$1,,,SUMPRODUCT(MAX(ROW(E$1:E233)*(E2=E$1:E233))))))</f>
        <v>0</v>
      </c>
      <c r="K234" s="25">
        <f ca="1">IF(OR(E234="",E234="!!!",F234="NEW"),"",INDEX(J$1:J233,SUMPRODUCT(MAX(ROW(E$1:E233)*(E234=E$1:E233)))))</f>
        <v>0</v>
      </c>
      <c r="L234" s="26"/>
    </row>
    <row r="235" spans="1:12" x14ac:dyDescent="0.3">
      <c r="A235" t="s">
        <v>305</v>
      </c>
      <c r="E235" s="21"/>
      <c r="F235" s="22"/>
      <c r="G235" s="23"/>
      <c r="H235" s="24" t="str">
        <f t="shared" ca="1" si="22"/>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306</v>
      </c>
      <c r="E236" s="21"/>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2"/>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218</v>
      </c>
      <c r="E237" s="21" t="str">
        <f t="shared" si="23"/>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2"/>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202</v>
      </c>
      <c r="E238" s="21" t="str">
        <f t="shared" si="23"/>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2"/>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162</v>
      </c>
      <c r="E239" s="21" t="s">
        <v>481</v>
      </c>
      <c r="F239" s="22" t="str">
        <f>IF(OR(E239="",E239="!!!"),"",IF(NOT(ISNA(VLOOKUP(E239,E$1:E238,1,FALSE()))),"OLD",IF(AND(E239&lt;&gt;"",E239&lt;&gt;"!!!"),"NEW","")))</f>
        <v>OLD</v>
      </c>
      <c r="G239" s="23" t="s">
        <v>527</v>
      </c>
      <c r="H239" s="24" t="str">
        <f t="shared" ca="1" si="22"/>
        <v/>
      </c>
      <c r="I239" s="25" t="str">
        <f>IF(OR(E239="",E239="!!!",F239="NEW"),"",INDEX(B$2:B238,-1+SUMPRODUCT(MAX(ROW(E$2:E238)*(E239=E$2:E238)))))</f>
        <v>SBJ_2</v>
      </c>
      <c r="J239" s="25">
        <f ca="1">IF(OR(E239="",E239="!!!",F239="NEW"),"",COUNTBLANK(OFFSET(A$1,,,SUMPRODUCT(MAX(ROW(E$2:E239)*(E239=E$2:E239)))))-COUNTBLANK(OFFSET(A$1,,,SUMPRODUCT(MAX(ROW(E$1:E238)*(E2=E$1:E238))))))</f>
        <v>0</v>
      </c>
      <c r="K239" s="25">
        <f ca="1">IF(OR(E239="",E239="!!!",F239="NEW"),"",INDEX(J$1:J238,SUMPRODUCT(MAX(ROW(E$1:E238)*(E239=E$1:E238)))))</f>
        <v>0</v>
      </c>
      <c r="L239" s="26"/>
    </row>
    <row r="240" spans="1:12" x14ac:dyDescent="0.3">
      <c r="A240" t="s">
        <v>307</v>
      </c>
      <c r="B240" s="20" t="s">
        <v>287</v>
      </c>
      <c r="C240" s="20" t="s">
        <v>164</v>
      </c>
      <c r="E240" s="21" t="s">
        <v>531</v>
      </c>
      <c r="F240" s="22" t="str">
        <f>IF(OR(E240="",E240="!!!"),"",IF(NOT(ISNA(VLOOKUP(E240,E$1:E239,1,FALSE()))),"OLD",IF(AND(E240&lt;&gt;"",E240&lt;&gt;"!!!"),"NEW","")))</f>
        <v>OLD</v>
      </c>
      <c r="G240" s="23" t="s">
        <v>482</v>
      </c>
      <c r="H240" s="24" t="str">
        <f t="shared" ca="1" si="22"/>
        <v/>
      </c>
      <c r="I240" s="25" t="str">
        <f>IF(OR(E240="",E240="!!!",F240="NEW"),"",INDEX(B$2:B239,-1+SUMPRODUCT(MAX(ROW(E$2:E239)*(E240=E$2:E239)))))</f>
        <v>other_2</v>
      </c>
      <c r="J240" s="25">
        <f ca="1">IF(OR(E240="",E240="!!!",F240="NEW"),"",COUNTBLANK(OFFSET(A$1,,,SUMPRODUCT(MAX(ROW(E$2:E240)*(E240=E$2:E240)))))-COUNTBLANK(OFFSET(A$1,,,SUMPRODUCT(MAX(ROW(E$1:E239)*(E2=E$1:E239))))))</f>
        <v>0</v>
      </c>
      <c r="K240" s="25" t="str">
        <f ca="1">IF(OR(E240="",E240="!!!",F240="NEW"),"",INDEX(J$1:J239,SUMPRODUCT(MAX(ROW(E$1:E239)*(E240=E$1:E239)))))</f>
        <v/>
      </c>
      <c r="L240" s="26"/>
    </row>
    <row r="241" spans="1:12" x14ac:dyDescent="0.3">
      <c r="A241" t="s">
        <v>183</v>
      </c>
      <c r="E241" s="21" t="str">
        <f t="shared" si="23"/>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22"/>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308</v>
      </c>
      <c r="E242" s="21"/>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2"/>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189</v>
      </c>
      <c r="E243" s="21" t="str">
        <f t="shared" si="23"/>
        <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2"/>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221</v>
      </c>
      <c r="B244" s="20" t="s">
        <v>149</v>
      </c>
      <c r="C244" s="20" t="s">
        <v>145</v>
      </c>
      <c r="D244" s="20" t="s">
        <v>146</v>
      </c>
      <c r="E244" s="21" t="s">
        <v>490</v>
      </c>
      <c r="F244" s="22" t="str">
        <f>IF(OR(E244="",E244="!!!"),"",IF(NOT(ISNA(VLOOKUP(E244,E$1:E243,1,FALSE()))),"OLD",IF(AND(E244&lt;&gt;"",E244&lt;&gt;"!!!"),"NEW","")))</f>
        <v>OLD</v>
      </c>
      <c r="G244" s="23" t="s">
        <v>527</v>
      </c>
      <c r="H244" s="24" t="s">
        <v>138</v>
      </c>
      <c r="I244" s="25" t="str">
        <f>IF(OR(E244="",E244="!!!",F244="NEW"),"",INDEX(B$2:B243,-1+SUMPRODUCT(MAX(ROW(E$2:E243)*(E244=E$2:E243)))))</f>
        <v>SBJ</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212</v>
      </c>
      <c r="E245" s="21" t="str">
        <f t="shared" si="23"/>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22"/>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162</v>
      </c>
      <c r="E246" s="21" t="str">
        <f t="shared" si="23"/>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2"/>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228</v>
      </c>
      <c r="B247" s="20" t="s">
        <v>149</v>
      </c>
      <c r="C247" s="20" t="s">
        <v>164</v>
      </c>
      <c r="E247" s="21" t="str">
        <f t="shared" si="23"/>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2"/>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309</v>
      </c>
      <c r="E248" s="21" t="str">
        <f t="shared" si="23"/>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2"/>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218</v>
      </c>
      <c r="E249" s="21" t="str">
        <f t="shared" si="23"/>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2"/>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167</v>
      </c>
      <c r="E250" s="21" t="str">
        <f t="shared" si="23"/>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2"/>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2" spans="1:12" x14ac:dyDescent="0.3">
      <c r="A252" t="s">
        <v>310</v>
      </c>
    </row>
    <row r="253" spans="1:12" x14ac:dyDescent="0.3">
      <c r="A253" t="s">
        <v>311</v>
      </c>
      <c r="E253" s="21" t="str">
        <f>IF(D253="?OLD","!!!","")</f>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ca="1">IF(J253&lt;&gt;1,"",IF(I253="SBJ","CB","?"))</f>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208</v>
      </c>
      <c r="E254" s="21" t="str">
        <f>IF(D254="?OLD","!!!","")</f>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ca="1">IF(J254&lt;&gt;1,"",IF(I254="SBJ","CB","?"))</f>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312</v>
      </c>
      <c r="E255" s="21" t="str">
        <f>IF(D255="?OLD","!!!","")</f>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ca="1">IF(J255&lt;&gt;1,"",IF(I255="SBJ","CB","?"))</f>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313</v>
      </c>
      <c r="B256" s="20" t="s">
        <v>157</v>
      </c>
      <c r="C256" s="20" t="s">
        <v>158</v>
      </c>
      <c r="D256" s="20" t="s">
        <v>146</v>
      </c>
      <c r="E256" s="21" t="s">
        <v>536</v>
      </c>
      <c r="F256" s="22" t="str">
        <f>IF(OR(E256="",E256="!!!"),"",IF(NOT(ISNA(VLOOKUP(E256,E$1:E255,1,FALSE()))),"OLD",IF(AND(E256&lt;&gt;"",E256&lt;&gt;"!!!"),"NEW","")))</f>
        <v>NEW</v>
      </c>
      <c r="G256" s="23" t="s">
        <v>483</v>
      </c>
      <c r="H256" s="24" t="str">
        <f ca="1">IF(J256&lt;&gt;1,"",IF(I256="SBJ","CB","?"))</f>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314</v>
      </c>
      <c r="E257" s="21" t="str">
        <f>IF(D257="?OLD","!!!","")</f>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ca="1">IF(J257&lt;&gt;1,"",IF(I257="SBJ","CB","?"))</f>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9" spans="1:12" x14ac:dyDescent="0.3">
      <c r="A259" t="s">
        <v>315</v>
      </c>
    </row>
    <row r="260" spans="1:12" x14ac:dyDescent="0.3">
      <c r="A260" t="s">
        <v>316</v>
      </c>
      <c r="B260" s="20" t="s">
        <v>144</v>
      </c>
      <c r="C260" s="20" t="s">
        <v>317</v>
      </c>
      <c r="D260" s="20" t="s">
        <v>146</v>
      </c>
      <c r="E260" s="21"/>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ref="H260:H266" ca="1" si="24">IF(J260&lt;&gt;1,"",IF(I260="SBJ","CB","?"))</f>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t="s">
        <v>510</v>
      </c>
    </row>
    <row r="261" spans="1:12" x14ac:dyDescent="0.3">
      <c r="A261" t="s">
        <v>318</v>
      </c>
      <c r="B261" s="20" t="s">
        <v>157</v>
      </c>
      <c r="C261" s="20" t="s">
        <v>319</v>
      </c>
      <c r="D261" s="20" t="s">
        <v>146</v>
      </c>
      <c r="E261" s="21"/>
      <c r="F261" s="22" t="s">
        <v>513</v>
      </c>
      <c r="G261" s="23"/>
      <c r="H261" s="24" t="str">
        <f t="shared" ca="1" si="24"/>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t="s">
        <v>537</v>
      </c>
    </row>
    <row r="262" spans="1:12" x14ac:dyDescent="0.3">
      <c r="A262" t="s">
        <v>160</v>
      </c>
      <c r="E262" s="21" t="str">
        <f t="shared" ref="E262:E266" si="25">IF(D262="?OLD","!!!","")</f>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4"/>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320</v>
      </c>
      <c r="B263" s="20" t="s">
        <v>144</v>
      </c>
      <c r="C263" s="20" t="s">
        <v>276</v>
      </c>
      <c r="D263" s="20" t="s">
        <v>146</v>
      </c>
      <c r="E263" s="21" t="s">
        <v>507</v>
      </c>
      <c r="F263" s="22" t="str">
        <f>IF(OR(E263="",E263="!!!"),"",IF(NOT(ISNA(VLOOKUP(E263,E$1:E262,1,FALSE()))),"OLD",IF(AND(E263&lt;&gt;"",E263&lt;&gt;"!!!"),"NEW","")))</f>
        <v>NEW</v>
      </c>
      <c r="G263" s="23" t="s">
        <v>482</v>
      </c>
      <c r="H263" s="24" t="str">
        <f t="shared" ca="1" si="24"/>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321</v>
      </c>
      <c r="B264" s="20" t="s">
        <v>244</v>
      </c>
      <c r="C264" s="20" t="s">
        <v>150</v>
      </c>
      <c r="E264" s="21" t="str">
        <f t="shared" si="25"/>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4"/>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322</v>
      </c>
      <c r="E265" s="21" t="str">
        <f t="shared" si="25"/>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4"/>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167</v>
      </c>
      <c r="E266" s="21" t="str">
        <f t="shared" si="25"/>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4"/>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8" spans="1:12" x14ac:dyDescent="0.3">
      <c r="A268" t="s">
        <v>323</v>
      </c>
    </row>
    <row r="269" spans="1:12" x14ac:dyDescent="0.3">
      <c r="A269" t="s">
        <v>151</v>
      </c>
      <c r="B269" s="20" t="s">
        <v>157</v>
      </c>
      <c r="C269" s="20" t="s">
        <v>145</v>
      </c>
      <c r="D269" s="20" t="s">
        <v>146</v>
      </c>
      <c r="E269" s="21" t="s">
        <v>481</v>
      </c>
      <c r="F269" s="22" t="str">
        <f>IF(OR(E269="",E269="!!!"),"",IF(NOT(ISNA(VLOOKUP(E269,E$1:E268,1,FALSE()))),"OLD",IF(AND(E269&lt;&gt;"",E269&lt;&gt;"!!!"),"NEW","")))</f>
        <v>OLD</v>
      </c>
      <c r="G269" s="23" t="s">
        <v>528</v>
      </c>
      <c r="H269" s="24" t="str">
        <f t="shared" ref="H269:H291" ca="1" si="26">IF(J269&lt;&gt;1,"",IF(I269="SBJ","CB","?"))</f>
        <v/>
      </c>
      <c r="I269" s="25">
        <f>IF(OR(E269="",E269="!!!",F269="NEW"),"",INDEX(B$2:B268,-1+SUMPRODUCT(MAX(ROW(E$2:E268)*(E269=E$2:E268)))))</f>
        <v>0</v>
      </c>
      <c r="J269" s="25">
        <f ca="1">IF(OR(E269="",E269="!!!",F269="NEW"),"",COUNTBLANK(OFFSET(A$1,,,SUMPRODUCT(MAX(ROW(E$2:E269)*(E269=E$2:E269)))))-COUNTBLANK(OFFSET(A$1,,,SUMPRODUCT(MAX(ROW(E$1:E268)*(E2=E$1:E268))))))</f>
        <v>0</v>
      </c>
      <c r="K269" s="25">
        <f ca="1">IF(OR(E269="",E269="!!!",F269="NEW"),"",INDEX(J$1:J268,SUMPRODUCT(MAX(ROW(E$1:E268)*(E269=E$1:E268)))))</f>
        <v>0</v>
      </c>
      <c r="L269" s="26" t="s">
        <v>538</v>
      </c>
    </row>
    <row r="270" spans="1:12" x14ac:dyDescent="0.3">
      <c r="A270" t="s">
        <v>152</v>
      </c>
      <c r="E270" s="21" t="str">
        <f t="shared" ref="E270:E291" si="27">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6"/>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169</v>
      </c>
      <c r="E271" s="21" t="str">
        <f t="shared" si="27"/>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6"/>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324</v>
      </c>
      <c r="E272" s="21" t="str">
        <f t="shared" si="27"/>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6"/>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325</v>
      </c>
      <c r="B273" s="20" t="s">
        <v>149</v>
      </c>
      <c r="C273" s="20" t="s">
        <v>150</v>
      </c>
      <c r="E273" s="21" t="str">
        <f t="shared" si="27"/>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6"/>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195</v>
      </c>
      <c r="B274" s="20" t="s">
        <v>149</v>
      </c>
      <c r="C274" s="20" t="s">
        <v>184</v>
      </c>
      <c r="E274" s="21" t="str">
        <f t="shared" si="27"/>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6"/>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214</v>
      </c>
      <c r="E275" s="21" t="str">
        <f t="shared" si="27"/>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6"/>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175</v>
      </c>
      <c r="E276" s="21" t="str">
        <f t="shared" si="27"/>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6"/>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326</v>
      </c>
      <c r="B277" s="20" t="s">
        <v>144</v>
      </c>
      <c r="C277" s="20" t="s">
        <v>158</v>
      </c>
      <c r="D277" s="20" t="s">
        <v>146</v>
      </c>
      <c r="E277" s="21"/>
      <c r="F277" s="22" t="s">
        <v>484</v>
      </c>
      <c r="G277" s="23" t="str">
        <f>IF(OR(E277="",E277="!!!"),"",IF(OR(J277=0,AND(J277=1,K277=1),AND(J277=1,I277="SBJ"),AND(J277=1,I277=0)),"?IN_FOCUS",IF(J277&lt;=2,"?ACTIVATED",IF(J277&lt;&gt;"","?FAMILIAR",IF(F277="NEW",IF(ISNA(VLOOKUP(E277,#REF!,1,FALSE())),"?TYPE_IDENTIFIABLE","?REFERENTIAL"),"_")))))</f>
        <v/>
      </c>
      <c r="H277" s="24" t="str">
        <f t="shared" ca="1" si="26"/>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159</v>
      </c>
      <c r="B278" s="20" t="s">
        <v>165</v>
      </c>
      <c r="C278" s="20" t="s">
        <v>145</v>
      </c>
      <c r="D278" s="20" t="s">
        <v>146</v>
      </c>
      <c r="E278" s="21" t="s">
        <v>480</v>
      </c>
      <c r="F278" s="22" t="str">
        <f>IF(OR(E278="",E278="!!!"),"",IF(NOT(ISNA(VLOOKUP(E278,E$1:E277,1,FALSE()))),"OLD",IF(AND(E278&lt;&gt;"",E278&lt;&gt;"!!!"),"NEW","")))</f>
        <v>OLD</v>
      </c>
      <c r="G278" s="23" t="s">
        <v>528</v>
      </c>
      <c r="H278" s="24" t="str">
        <f t="shared" ca="1" si="26"/>
        <v/>
      </c>
      <c r="I278" s="25" t="str">
        <f>IF(OR(E278="",E278="!!!",F278="NEW"),"",INDEX(B$2:B277,-1+SUMPRODUCT(MAX(ROW(E$2:E277)*(E278=E$2:E277)))))</f>
        <v>SBJ</v>
      </c>
      <c r="J278" s="25">
        <f ca="1">IF(OR(E278="",E278="!!!",F278="NEW"),"",COUNTBLANK(OFFSET(A$1,,,SUMPRODUCT(MAX(ROW(E$2:E278)*(E278=E$2:E278)))))-COUNTBLANK(OFFSET(A$1,,,SUMPRODUCT(MAX(ROW(E$1:E277)*(E2=E$1:E277))))))</f>
        <v>0</v>
      </c>
      <c r="K278" s="25">
        <f ca="1">IF(OR(E278="",E278="!!!",F278="NEW"),"",INDEX(J$1:J277,SUMPRODUCT(MAX(ROW(E$1:E277)*(E278=E$1:E277)))))</f>
        <v>0</v>
      </c>
      <c r="L278" s="26" t="s">
        <v>538</v>
      </c>
    </row>
    <row r="279" spans="1:12" x14ac:dyDescent="0.3">
      <c r="A279" t="s">
        <v>327</v>
      </c>
      <c r="E279" s="21" t="str">
        <f t="shared" si="27"/>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6"/>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189</v>
      </c>
      <c r="E280" s="21" t="str">
        <f t="shared" si="27"/>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6"/>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328</v>
      </c>
      <c r="E281" s="21" t="str">
        <f t="shared" si="27"/>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6"/>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329</v>
      </c>
      <c r="E282" s="21" t="str">
        <f t="shared" si="27"/>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6"/>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242</v>
      </c>
      <c r="B283" s="20" t="s">
        <v>222</v>
      </c>
      <c r="C283" s="20" t="s">
        <v>201</v>
      </c>
      <c r="D283" s="20" t="s">
        <v>146</v>
      </c>
      <c r="E283" s="21" t="s">
        <v>480</v>
      </c>
      <c r="F283" s="22" t="str">
        <f>IF(OR(E283="",E283="!!!"),"",IF(NOT(ISNA(VLOOKUP(E283,E$1:E282,1,FALSE()))),"OLD",IF(AND(E283&lt;&gt;"",E283&lt;&gt;"!!!"),"NEW","")))</f>
        <v>OLD</v>
      </c>
      <c r="G283" s="23" t="s">
        <v>527</v>
      </c>
      <c r="H283" s="24" t="str">
        <f t="shared" ca="1" si="26"/>
        <v/>
      </c>
      <c r="I283" s="25" t="str">
        <f>IF(OR(E283="",E283="!!!",F283="NEW"),"",INDEX(B$2:B282,-1+SUMPRODUCT(MAX(ROW(E$2:E282)*(E283=E$2:E282)))))</f>
        <v>other_3</v>
      </c>
      <c r="J283" s="25">
        <f ca="1">IF(OR(E283="",E283="!!!",F283="NEW"),"",COUNTBLANK(OFFSET(A$1,,,SUMPRODUCT(MAX(ROW(E$2:E283)*(E283=E$2:E283)))))-COUNTBLANK(OFFSET(A$1,,,SUMPRODUCT(MAX(ROW(E$1:E282)*(E2=E$1:E282))))))</f>
        <v>0</v>
      </c>
      <c r="K283" s="25">
        <f ca="1">IF(OR(E283="",E283="!!!",F283="NEW"),"",INDEX(J$1:J282,SUMPRODUCT(MAX(ROW(E$1:E282)*(E283=E$1:E282)))))</f>
        <v>0</v>
      </c>
      <c r="L283" s="26"/>
    </row>
    <row r="284" spans="1:12" x14ac:dyDescent="0.3">
      <c r="A284" t="s">
        <v>187</v>
      </c>
      <c r="E284" s="21" t="str">
        <f t="shared" si="27"/>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6"/>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330</v>
      </c>
      <c r="E285" s="21" t="str">
        <f t="shared" si="27"/>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6"/>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331</v>
      </c>
      <c r="E286" s="21" t="str">
        <f t="shared" si="27"/>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6"/>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332</v>
      </c>
      <c r="B287" s="20" t="s">
        <v>144</v>
      </c>
      <c r="C287" s="20" t="s">
        <v>158</v>
      </c>
      <c r="D287" s="20" t="s">
        <v>146</v>
      </c>
      <c r="E287" s="21" t="s">
        <v>508</v>
      </c>
      <c r="F287" s="22" t="str">
        <f>IF(OR(E287="",E287="!!!"),"",IF(NOT(ISNA(VLOOKUP(E287,E$1:E286,1,FALSE()))),"OLD",IF(AND(E287&lt;&gt;"",E287&lt;&gt;"!!!"),"NEW","")))</f>
        <v>NEW</v>
      </c>
      <c r="G287" s="23" t="s">
        <v>482</v>
      </c>
      <c r="H287" s="24" t="str">
        <f t="shared" ca="1" si="26"/>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202</v>
      </c>
      <c r="E288" s="21" t="str">
        <f t="shared" si="27"/>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6"/>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185</v>
      </c>
      <c r="E289" s="21" t="str">
        <f t="shared" si="27"/>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6"/>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333</v>
      </c>
      <c r="B290" s="20" t="s">
        <v>165</v>
      </c>
      <c r="C290" s="20" t="s">
        <v>145</v>
      </c>
      <c r="D290" s="20" t="s">
        <v>146</v>
      </c>
      <c r="E290" s="21"/>
      <c r="F290" s="22" t="s">
        <v>484</v>
      </c>
      <c r="G290" s="23" t="str">
        <f>IF(OR(E290="",E290="!!!"),"",IF(OR(J290=0,AND(J290=1,K290=1),AND(J290=1,I290="SBJ"),AND(J290=1,I290=0)),"?IN_FOCUS",IF(J290&lt;=2,"?ACTIVATED",IF(J290&lt;&gt;"","?FAMILIAR",IF(F290="NEW",IF(ISNA(VLOOKUP(E290,#REF!,1,FALSE())),"?TYPE_IDENTIFIABLE","?REFERENTIAL"),"_")))))</f>
        <v/>
      </c>
      <c r="H290" s="24" t="str">
        <f t="shared" ca="1" si="26"/>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167</v>
      </c>
      <c r="E291" s="21" t="str">
        <f t="shared" si="27"/>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6"/>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3" spans="1:12" x14ac:dyDescent="0.3">
      <c r="A293" t="s">
        <v>334</v>
      </c>
    </row>
    <row r="294" spans="1:12" x14ac:dyDescent="0.3">
      <c r="A294" t="s">
        <v>335</v>
      </c>
      <c r="E294" s="21" t="str">
        <f t="shared" ref="E294:E304" si="28">IF(D294="?OLD","!!!","")</f>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ref="H294:H304" ca="1" si="29">IF(J294&lt;&gt;1,"",IF(I294="SBJ","CB","?"))</f>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13</v>
      </c>
      <c r="B295" s="20" t="s">
        <v>149</v>
      </c>
      <c r="C295" s="20" t="s">
        <v>150</v>
      </c>
      <c r="E295" s="21" t="str">
        <f t="shared" si="28"/>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9"/>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169</v>
      </c>
      <c r="E296" s="21" t="str">
        <f t="shared" si="28"/>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9"/>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242</v>
      </c>
      <c r="B297" s="20" t="s">
        <v>157</v>
      </c>
      <c r="C297" s="20" t="s">
        <v>201</v>
      </c>
      <c r="D297" s="20" t="s">
        <v>146</v>
      </c>
      <c r="E297" s="21" t="s">
        <v>481</v>
      </c>
      <c r="F297" s="22" t="str">
        <f>IF(OR(E297="",E297="!!!"),"",IF(NOT(ISNA(VLOOKUP(E297,E$1:E296,1,FALSE()))),"OLD",IF(AND(E297&lt;&gt;"",E297&lt;&gt;"!!!"),"NEW","")))</f>
        <v>OLD</v>
      </c>
      <c r="G297" s="23" t="s">
        <v>527</v>
      </c>
      <c r="H297" s="24" t="s">
        <v>138</v>
      </c>
      <c r="I297" s="25" t="str">
        <f>IF(OR(E297="",E297="!!!",F297="NEW"),"",INDEX(B$2:B296,-1+SUMPRODUCT(MAX(ROW(E$2:E296)*(E297=E$2:E296)))))</f>
        <v>SBJ</v>
      </c>
      <c r="J297" s="25">
        <f ca="1">IF(OR(E297="",E297="!!!",F297="NEW"),"",COUNTBLANK(OFFSET(A$1,,,SUMPRODUCT(MAX(ROW(E$2:E297)*(E297=E$2:E297)))))-COUNTBLANK(OFFSET(A$1,,,SUMPRODUCT(MAX(ROW(E$1:E296)*(E2=E$1:E296))))))</f>
        <v>0</v>
      </c>
      <c r="K297" s="25">
        <f ca="1">IF(OR(E297="",E297="!!!",F297="NEW"),"",INDEX(J$1:J296,SUMPRODUCT(MAX(ROW(E$1:E296)*(E297=E$1:E296)))))</f>
        <v>0</v>
      </c>
      <c r="L297" s="26"/>
    </row>
    <row r="298" spans="1:12" x14ac:dyDescent="0.3">
      <c r="A298" t="s">
        <v>195</v>
      </c>
      <c r="B298" s="20" t="s">
        <v>149</v>
      </c>
      <c r="C298" s="20" t="s">
        <v>184</v>
      </c>
      <c r="E298" s="21" t="str">
        <f t="shared" si="28"/>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9"/>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214</v>
      </c>
      <c r="E299" s="21" t="str">
        <f t="shared" si="28"/>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9"/>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336</v>
      </c>
      <c r="E300" s="21" t="str">
        <f t="shared" si="28"/>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9"/>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337</v>
      </c>
      <c r="B301" s="20" t="s">
        <v>149</v>
      </c>
      <c r="C301" s="20" t="s">
        <v>158</v>
      </c>
      <c r="D301" s="20" t="s">
        <v>146</v>
      </c>
      <c r="E301" s="21"/>
      <c r="F301" s="22" t="s">
        <v>484</v>
      </c>
      <c r="G301" s="23" t="str">
        <f>IF(OR(E301="",E301="!!!"),"",IF(OR(J301=0,AND(J301=1,K301=1),AND(J301=1,I301="SBJ"),AND(J301=1,I301=0)),"?IN_FOCUS",IF(J301&lt;=2,"?ACTIVATED",IF(J301&lt;&gt;"","?FAMILIAR",IF(F301="NEW",IF(ISNA(VLOOKUP(E301,#REF!,1,FALSE())),"?TYPE_IDENTIFIABLE","?REFERENTIAL"),"_")))))</f>
        <v/>
      </c>
      <c r="H301" s="24" t="str">
        <f t="shared" ca="1" si="29"/>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214</v>
      </c>
      <c r="E302" s="21" t="str">
        <f t="shared" si="28"/>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9"/>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338</v>
      </c>
      <c r="B303" s="20" t="s">
        <v>144</v>
      </c>
      <c r="C303" s="20" t="s">
        <v>158</v>
      </c>
      <c r="D303" s="20" t="s">
        <v>146</v>
      </c>
      <c r="E303" s="21" t="s">
        <v>479</v>
      </c>
      <c r="F303" s="22" t="str">
        <f>IF(OR(E303="",E303="!!!"),"",IF(NOT(ISNA(VLOOKUP(E303,E$1:E302,1,FALSE()))),"OLD",IF(AND(E303&lt;&gt;"",E303&lt;&gt;"!!!"),"NEW","")))</f>
        <v>OLD</v>
      </c>
      <c r="G303" s="23" t="s">
        <v>482</v>
      </c>
      <c r="H303" s="24" t="str">
        <f t="shared" ca="1" si="29"/>
        <v/>
      </c>
      <c r="I303" s="25" t="str">
        <f>IF(OR(E303="",E303="!!!",F303="NEW"),"",INDEX(B$2:B302,-1+SUMPRODUCT(MAX(ROW(E$2:E302)*(E303=E$2:E302)))))</f>
        <v>other_2</v>
      </c>
      <c r="J303" s="25">
        <f ca="1">IF(OR(E303="",E303="!!!",F303="NEW"),"",COUNTBLANK(OFFSET(A$1,,,SUMPRODUCT(MAX(ROW(E$2:E303)*(E303=E$2:E303)))))-COUNTBLANK(OFFSET(A$1,,,SUMPRODUCT(MAX(ROW(E$1:E302)*(E2=E$1:E302))))))</f>
        <v>0</v>
      </c>
      <c r="K303" s="25" t="str">
        <f ca="1">IF(OR(E303="",E303="!!!",F303="NEW"),"",INDEX(J$1:J302,SUMPRODUCT(MAX(ROW(E$1:E302)*(E303=E$1:E302)))))</f>
        <v/>
      </c>
      <c r="L303" s="26"/>
    </row>
    <row r="304" spans="1:12" x14ac:dyDescent="0.3">
      <c r="A304" t="s">
        <v>167</v>
      </c>
      <c r="E304" s="21" t="str">
        <f t="shared" si="28"/>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9"/>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6" spans="1:12" x14ac:dyDescent="0.3">
      <c r="A306" t="s">
        <v>339</v>
      </c>
    </row>
    <row r="307" spans="1:12" x14ac:dyDescent="0.3">
      <c r="A307" t="s">
        <v>340</v>
      </c>
      <c r="E307" s="21" t="str">
        <f t="shared" ref="E307:E332" si="30">IF(D307="?OLD","!!!","")</f>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ref="H307:H332" ca="1" si="31">IF(J307&lt;&gt;1,"",IF(I307="SBJ","CB","?"))</f>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341</v>
      </c>
      <c r="E308" s="21" t="str">
        <f t="shared" si="30"/>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3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342</v>
      </c>
      <c r="B309" s="20" t="s">
        <v>149</v>
      </c>
      <c r="C309" s="20" t="s">
        <v>197</v>
      </c>
      <c r="E309" s="21" t="str">
        <f t="shared" si="30"/>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31"/>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304</v>
      </c>
      <c r="E310" s="21" t="str">
        <f t="shared" si="30"/>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31"/>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156</v>
      </c>
      <c r="B311" s="20" t="s">
        <v>144</v>
      </c>
      <c r="C311" s="20" t="s">
        <v>150</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147</v>
      </c>
      <c r="B312" s="20" t="s">
        <v>165</v>
      </c>
      <c r="C312" s="20" t="s">
        <v>145</v>
      </c>
      <c r="D312" s="20" t="s">
        <v>146</v>
      </c>
      <c r="E312" s="21" t="s">
        <v>480</v>
      </c>
      <c r="F312" s="22" t="str">
        <f>IF(OR(E312="",E312="!!!"),"",IF(NOT(ISNA(VLOOKUP(E312,E$1:E311,1,FALSE()))),"OLD",IF(AND(E312&lt;&gt;"",E312&lt;&gt;"!!!"),"NEW","")))</f>
        <v>OLD</v>
      </c>
      <c r="G312" s="23" t="s">
        <v>528</v>
      </c>
      <c r="H312" s="24" t="str">
        <f t="shared" ca="1" si="31"/>
        <v/>
      </c>
      <c r="I312" s="25" t="str">
        <f>IF(OR(E312="",E312="!!!",F312="NEW"),"",INDEX(B$2:B311,-1+SUMPRODUCT(MAX(ROW(E$2:E311)*(E312=E$2:E311)))))</f>
        <v>SBJ_3</v>
      </c>
      <c r="J312" s="25">
        <f ca="1">IF(OR(E312="",E312="!!!",F312="NEW"),"",COUNTBLANK(OFFSET(A$1,,,SUMPRODUCT(MAX(ROW(E$2:E312)*(E312=E$2:E312)))))-COUNTBLANK(OFFSET(A$1,,,SUMPRODUCT(MAX(ROW(E$1:E311)*(E2=E$1:E311))))))</f>
        <v>0</v>
      </c>
      <c r="K312" s="25">
        <f ca="1">IF(OR(E312="",E312="!!!",F312="NEW"),"",INDEX(J$1:J311,SUMPRODUCT(MAX(ROW(E$1:E311)*(E312=E$1:E311)))))</f>
        <v>0</v>
      </c>
      <c r="L312" s="26"/>
    </row>
    <row r="313" spans="1:12" x14ac:dyDescent="0.3">
      <c r="A313" t="s">
        <v>202</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343</v>
      </c>
      <c r="B314" s="20" t="s">
        <v>222</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236</v>
      </c>
      <c r="E315" s="21" t="str">
        <f t="shared" si="30"/>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31"/>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185</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344</v>
      </c>
      <c r="B317" s="20" t="s">
        <v>165</v>
      </c>
      <c r="C317" s="20" t="s">
        <v>158</v>
      </c>
      <c r="D317" s="20" t="s">
        <v>146</v>
      </c>
      <c r="E317" s="21"/>
      <c r="F317" s="22" t="s">
        <v>497</v>
      </c>
      <c r="G317" s="23" t="str">
        <f>IF(OR(E317="",E317="!!!"),"",IF(OR(J317=0,AND(J317=1,K317=1),AND(J317=1,I317="SBJ"),AND(J317=1,I317=0)),"?IN_FOCUS",IF(J317&lt;=2,"?ACTIVATED",IF(J317&lt;&gt;"","?FAMILIAR",IF(F317="NEW",IF(ISNA(VLOOKUP(E317,#REF!,1,FALSE())),"?TYPE_IDENTIFIABLE","?REFERENTIAL"),"_")))))</f>
        <v/>
      </c>
      <c r="H317" s="24" t="str">
        <f t="shared" ca="1" si="31"/>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345</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182</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202</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346</v>
      </c>
      <c r="E321" s="21" t="str">
        <f t="shared" si="30"/>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t="str">
        <f t="shared" ca="1" si="31"/>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347</v>
      </c>
      <c r="B322" s="20" t="s">
        <v>157</v>
      </c>
      <c r="C322" s="20" t="s">
        <v>184</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337</v>
      </c>
      <c r="B323" s="20" t="s">
        <v>244</v>
      </c>
      <c r="C323" s="20" t="s">
        <v>150</v>
      </c>
      <c r="E323" s="21" t="s">
        <v>512</v>
      </c>
      <c r="F323" s="22" t="s">
        <v>511</v>
      </c>
      <c r="G323" s="23" t="s">
        <v>528</v>
      </c>
      <c r="H323" s="24" t="str">
        <f t="shared" ca="1" si="31"/>
        <v/>
      </c>
      <c r="I323" s="25" t="e">
        <f>IF(OR(E323="",E323="!!!",F323="NEW"),"",INDEX(B$2:B322,-1+SUMPRODUCT(MAX(ROW(E$2:E322)*(E323=E$2:E322)))))</f>
        <v>#VALUE!</v>
      </c>
      <c r="J323" s="25">
        <f ca="1">IF(OR(E323="",E323="!!!",F323="NEW"),"",COUNTBLANK(OFFSET(A$1,,,SUMPRODUCT(MAX(ROW(E$2:E323)*(E323=E$2:E323)))))-COUNTBLANK(OFFSET(A$1,,,SUMPRODUCT(MAX(ROW(E$1:E322)*(E2=E$1:E322))))))</f>
        <v>0</v>
      </c>
      <c r="K323" s="25" t="e">
        <f>IF(OR(E323="",E323="!!!",F323="NEW"),"",INDEX(J$1:J322,SUMPRODUCT(MAX(ROW(E$1:E322)*(E323=E$1:E322)))))</f>
        <v>#VALUE!</v>
      </c>
      <c r="L323" s="26"/>
    </row>
    <row r="324" spans="1:12" x14ac:dyDescent="0.3">
      <c r="A324" t="s">
        <v>202</v>
      </c>
      <c r="E324" s="21" t="str">
        <f t="shared" si="30"/>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31"/>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203</v>
      </c>
      <c r="E325" s="21" t="str">
        <f t="shared" si="30"/>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31"/>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214</v>
      </c>
      <c r="E326" s="21" t="str">
        <f t="shared" si="30"/>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31"/>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13</v>
      </c>
      <c r="B327" s="20" t="s">
        <v>222</v>
      </c>
      <c r="C327" s="20" t="s">
        <v>158</v>
      </c>
      <c r="D327" s="20" t="s">
        <v>146</v>
      </c>
      <c r="E327" s="21" t="s">
        <v>481</v>
      </c>
      <c r="F327" s="22" t="str">
        <f>IF(OR(E327="",E327="!!!"),"",IF(NOT(ISNA(VLOOKUP(E327,E$1:E326,1,FALSE()))),"OLD",IF(AND(E327&lt;&gt;"",E327&lt;&gt;"!!!"),"NEW","")))</f>
        <v>OLD</v>
      </c>
      <c r="G327" s="23" t="s">
        <v>527</v>
      </c>
      <c r="H327" s="24" t="s">
        <v>138</v>
      </c>
      <c r="I327" s="25" t="str">
        <f>IF(OR(E327="",E327="!!!",F327="NEW"),"",INDEX(B$2:B326,-1+SUMPRODUCT(MAX(ROW(E$2:E326)*(E327=E$2:E326)))))</f>
        <v>SBJ</v>
      </c>
      <c r="J327" s="25">
        <f ca="1">IF(OR(E327="",E327="!!!",F327="NEW"),"",COUNTBLANK(OFFSET(A$1,,,SUMPRODUCT(MAX(ROW(E$2:E327)*(E327=E$2:E327)))))-COUNTBLANK(OFFSET(A$1,,,SUMPRODUCT(MAX(ROW(E$1:E326)*(E2=E$1:E326))))))</f>
        <v>0</v>
      </c>
      <c r="K327" s="25">
        <f ca="1">IF(OR(E327="",E327="!!!",F327="NEW"),"",INDEX(J$1:J326,SUMPRODUCT(MAX(ROW(E$1:E326)*(E327=E$1:E326)))))</f>
        <v>0</v>
      </c>
      <c r="L327" s="26"/>
    </row>
    <row r="328" spans="1:12" x14ac:dyDescent="0.3">
      <c r="A328" t="s">
        <v>262</v>
      </c>
      <c r="E328" s="21" t="str">
        <f t="shared" si="30"/>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31"/>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348</v>
      </c>
      <c r="E329" s="21" t="str">
        <f t="shared" si="30"/>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1"/>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349</v>
      </c>
      <c r="B330" s="20" t="s">
        <v>165</v>
      </c>
      <c r="C330" s="20" t="s">
        <v>150</v>
      </c>
      <c r="E330" s="21" t="str">
        <f t="shared" si="30"/>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1"/>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350</v>
      </c>
      <c r="E331" s="21" t="str">
        <f t="shared" si="30"/>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1"/>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167</v>
      </c>
      <c r="E332" s="21" t="str">
        <f t="shared" si="30"/>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1"/>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4" spans="1:12" x14ac:dyDescent="0.3">
      <c r="A334" t="s">
        <v>351</v>
      </c>
    </row>
    <row r="335" spans="1:12" x14ac:dyDescent="0.3">
      <c r="A335" t="s">
        <v>352</v>
      </c>
      <c r="E335" s="21" t="str">
        <f t="shared" ref="E335:E358" si="32">IF(D335="?OLD","!!!","")</f>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ref="H335:H358" ca="1" si="33">IF(J335&lt;&gt;1,"",IF(I335="SBJ","CB","?"))</f>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353</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174</v>
      </c>
      <c r="E337" s="21" t="str">
        <f t="shared" si="3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354</v>
      </c>
      <c r="B338" s="20" t="s">
        <v>149</v>
      </c>
      <c r="C338" s="20" t="s">
        <v>158</v>
      </c>
      <c r="D338" s="20" t="s">
        <v>146</v>
      </c>
      <c r="E338" s="21" t="s">
        <v>536</v>
      </c>
      <c r="F338" s="22" t="str">
        <f>IF(OR(E338="",E338="!!!"),"",IF(NOT(ISNA(VLOOKUP(E338,E$1:E337,1,FALSE()))),"OLD",IF(AND(E338&lt;&gt;"",E338&lt;&gt;"!!!"),"NEW","")))</f>
        <v>OLD</v>
      </c>
      <c r="G338" s="23" t="s">
        <v>482</v>
      </c>
      <c r="H338" s="24" t="str">
        <f t="shared" ca="1" si="33"/>
        <v/>
      </c>
      <c r="I338" s="25" t="str">
        <f>IF(OR(E338="",E338="!!!",F338="NEW"),"",INDEX(B$2:B337,-1+SUMPRODUCT(MAX(ROW(E$2:E337)*(E338=E$2:E337)))))</f>
        <v>SBJ</v>
      </c>
      <c r="J338" s="25">
        <f ca="1">IF(OR(E338="",E338="!!!",F338="NEW"),"",COUNTBLANK(OFFSET(A$1,,,SUMPRODUCT(MAX(ROW(E$2:E338)*(E338=E$2:E338)))))-COUNTBLANK(OFFSET(A$1,,,SUMPRODUCT(MAX(ROW(E$1:E337)*(E2=E$1:E337))))))</f>
        <v>0</v>
      </c>
      <c r="K338" s="25" t="str">
        <f ca="1">IF(OR(E338="",E338="!!!",F338="NEW"),"",INDEX(J$1:J337,SUMPRODUCT(MAX(ROW(E$1:E337)*(E338=E$1:E337)))))</f>
        <v/>
      </c>
      <c r="L338" s="26"/>
    </row>
    <row r="339" spans="1:12" x14ac:dyDescent="0.3">
      <c r="A339" t="s">
        <v>187</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208</v>
      </c>
      <c r="E340" s="21" t="str">
        <f t="shared" si="32"/>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3"/>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355</v>
      </c>
      <c r="B341" s="20" t="s">
        <v>144</v>
      </c>
      <c r="C341" s="20" t="s">
        <v>158</v>
      </c>
      <c r="D341" s="20" t="s">
        <v>146</v>
      </c>
      <c r="E341" s="21"/>
      <c r="F341" s="22" t="s">
        <v>513</v>
      </c>
      <c r="G341" s="23" t="str">
        <f>IF(OR(E341="",E341="!!!"),"",IF(OR(J341=0,AND(J341=1,K341=1),AND(J341=1,I341="SBJ"),AND(J341=1,I341=0)),"?IN_FOCUS",IF(J341&lt;=2,"?ACTIVATED",IF(J341&lt;&gt;"","?FAMILIAR",IF(F341="NEW",IF(ISNA(VLOOKUP(E341,#REF!,1,FALSE())),"?TYPE_IDENTIFIABLE","?REFERENTIAL"),"_")))))</f>
        <v/>
      </c>
      <c r="H341" s="24" t="str">
        <f t="shared" ca="1" si="3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202</v>
      </c>
      <c r="E342" s="21" t="str">
        <f t="shared" si="3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356</v>
      </c>
      <c r="E343" s="21" t="str">
        <f t="shared" si="3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357</v>
      </c>
      <c r="E344" s="21" t="str">
        <f t="shared" si="32"/>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358</v>
      </c>
      <c r="E345" s="21" t="str">
        <f t="shared" si="32"/>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3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359</v>
      </c>
      <c r="E346" s="21" t="str">
        <f t="shared" si="3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3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360</v>
      </c>
      <c r="E347" s="21" t="str">
        <f t="shared" si="32"/>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33"/>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361</v>
      </c>
      <c r="E348" s="21" t="str">
        <f t="shared" si="32"/>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12</v>
      </c>
      <c r="E349" s="21" t="str">
        <f t="shared" si="32"/>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33"/>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362</v>
      </c>
      <c r="E350" s="21" t="str">
        <f t="shared" si="3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363</v>
      </c>
      <c r="B351" s="20" t="s">
        <v>149</v>
      </c>
      <c r="C351" s="20" t="s">
        <v>184</v>
      </c>
      <c r="E351" s="21" t="str">
        <f t="shared" si="32"/>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3"/>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364</v>
      </c>
      <c r="E352" s="21" t="str">
        <f t="shared" si="32"/>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3"/>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202</v>
      </c>
      <c r="E353" s="21" t="str">
        <f t="shared" si="32"/>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3"/>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365</v>
      </c>
      <c r="E354" s="21" t="str">
        <f t="shared" si="32"/>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33"/>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362</v>
      </c>
      <c r="E355" s="21" t="str">
        <f t="shared" si="32"/>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3"/>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330</v>
      </c>
      <c r="E356" s="21" t="str">
        <f t="shared" si="32"/>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3"/>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366</v>
      </c>
      <c r="B357" s="20" t="s">
        <v>149</v>
      </c>
      <c r="C357" s="20" t="s">
        <v>158</v>
      </c>
      <c r="D357" s="20" t="s">
        <v>146</v>
      </c>
      <c r="E357" s="21" t="s">
        <v>514</v>
      </c>
      <c r="F357" s="22" t="str">
        <f>IF(OR(E357="",E357="!!!"),"",IF(NOT(ISNA(VLOOKUP(E357,E$1:E356,1,FALSE()))),"OLD",IF(AND(E357&lt;&gt;"",E357&lt;&gt;"!!!"),"NEW","")))</f>
        <v>NEW</v>
      </c>
      <c r="G357" s="23" t="s">
        <v>482</v>
      </c>
      <c r="H357" s="24" t="str">
        <f t="shared" ca="1" si="33"/>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167</v>
      </c>
      <c r="E358" s="21" t="str">
        <f t="shared" si="32"/>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3"/>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60" spans="1:12" x14ac:dyDescent="0.3">
      <c r="A360" t="s">
        <v>367</v>
      </c>
    </row>
    <row r="361" spans="1:12" x14ac:dyDescent="0.3">
      <c r="A361" t="s">
        <v>368</v>
      </c>
      <c r="E361" s="21" t="s">
        <v>540</v>
      </c>
      <c r="F361" s="22" t="str">
        <f>IF(OR(E361="",E361="!!!"),"",IF(NOT(ISNA(VLOOKUP(E361,E$1:E360,1,FALSE()))),"OLD",IF(AND(E361&lt;&gt;"",E361&lt;&gt;"!!!"),"NEW","")))</f>
        <v>NEW</v>
      </c>
      <c r="G361" s="23" t="s">
        <v>483</v>
      </c>
      <c r="H361" s="24" t="str">
        <f t="shared" ref="H361:H370" ca="1" si="34">IF(J361&lt;&gt;1,"",IF(I361="SBJ","CB","?"))</f>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t="s">
        <v>532</v>
      </c>
    </row>
    <row r="362" spans="1:12" x14ac:dyDescent="0.3">
      <c r="A362" t="s">
        <v>357</v>
      </c>
      <c r="E362" s="21" t="str">
        <f t="shared" ref="E362:E370" si="35">IF(D362="?OLD","!!!","")</f>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4"/>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369</v>
      </c>
      <c r="E363" s="21" t="str">
        <f t="shared" si="35"/>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4"/>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208</v>
      </c>
      <c r="E364" s="21" t="str">
        <f t="shared" si="35"/>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4"/>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370</v>
      </c>
      <c r="B365" s="20" t="s">
        <v>244</v>
      </c>
      <c r="C365" s="20" t="s">
        <v>158</v>
      </c>
      <c r="D365" s="20" t="s">
        <v>146</v>
      </c>
      <c r="E365" s="21" t="s">
        <v>539</v>
      </c>
      <c r="F365" s="22" t="str">
        <f>IF(OR(E365="",E365="!!!"),"",IF(NOT(ISNA(VLOOKUP(E365,E$1:E364,1,FALSE()))),"OLD",IF(AND(E365&lt;&gt;"",E365&lt;&gt;"!!!"),"NEW","")))</f>
        <v>NEW</v>
      </c>
      <c r="G365" s="23" t="s">
        <v>483</v>
      </c>
      <c r="H365" s="24" t="str">
        <f t="shared" ca="1" si="34"/>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195</v>
      </c>
      <c r="E366" s="21" t="str">
        <f t="shared" si="35"/>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4"/>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371</v>
      </c>
      <c r="B367" s="20" t="s">
        <v>144</v>
      </c>
      <c r="C367" s="20" t="s">
        <v>197</v>
      </c>
      <c r="E367" s="21" t="str">
        <f t="shared" si="35"/>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4"/>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372</v>
      </c>
      <c r="B368" s="20" t="s">
        <v>165</v>
      </c>
      <c r="C368" s="20" t="s">
        <v>150</v>
      </c>
      <c r="E368" s="21" t="str">
        <f t="shared" si="35"/>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4"/>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362</v>
      </c>
      <c r="E369" s="21" t="str">
        <f t="shared" si="35"/>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4"/>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314</v>
      </c>
      <c r="E370" s="21" t="str">
        <f t="shared" si="35"/>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4"/>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2" spans="1:12" x14ac:dyDescent="0.3">
      <c r="A372" t="s">
        <v>373</v>
      </c>
    </row>
    <row r="373" spans="1:12" x14ac:dyDescent="0.3">
      <c r="A373" t="s">
        <v>374</v>
      </c>
      <c r="E373" s="21" t="s">
        <v>540</v>
      </c>
      <c r="F373" s="22" t="str">
        <f>IF(OR(E373="",E373="!!!"),"",IF(NOT(ISNA(VLOOKUP(E373,E$1:E372,1,FALSE()))),"OLD",IF(AND(E373&lt;&gt;"",E373&lt;&gt;"!!!"),"NEW","")))</f>
        <v>OLD</v>
      </c>
      <c r="G373" s="23" t="s">
        <v>527</v>
      </c>
      <c r="H373" s="24" t="s">
        <v>138</v>
      </c>
      <c r="I373" s="25">
        <f>IF(OR(E373="",E373="!!!",F373="NEW"),"",INDEX(B$2:B372,-1+SUMPRODUCT(MAX(ROW(E$2:E372)*(E373=E$2:E372)))))</f>
        <v>0</v>
      </c>
      <c r="J373" s="25">
        <f ca="1">IF(OR(E373="",E373="!!!",F373="NEW"),"",COUNTBLANK(OFFSET(A$1,,,SUMPRODUCT(MAX(ROW(E$2:E373)*(E373=E$2:E373)))))-COUNTBLANK(OFFSET(A$1,,,SUMPRODUCT(MAX(ROW(E$1:E372)*(E2=E$1:E372))))))</f>
        <v>0</v>
      </c>
      <c r="K373" s="25" t="str">
        <f ca="1">IF(OR(E373="",E373="!!!",F373="NEW"),"",INDEX(J$1:J372,SUMPRODUCT(MAX(ROW(E$1:E372)*(E373=E$1:E372)))))</f>
        <v/>
      </c>
      <c r="L373" s="26"/>
    </row>
    <row r="374" spans="1:12" x14ac:dyDescent="0.3">
      <c r="A374" t="s">
        <v>375</v>
      </c>
      <c r="B374" s="20" t="s">
        <v>157</v>
      </c>
      <c r="C374" s="20" t="s">
        <v>319</v>
      </c>
      <c r="D374" s="20" t="s">
        <v>146</v>
      </c>
      <c r="E374" s="21"/>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ca="1">IF(J374&lt;&gt;1,"",IF(I374="SBJ","CB","?"))</f>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t="s">
        <v>515</v>
      </c>
    </row>
    <row r="375" spans="1:12" x14ac:dyDescent="0.3">
      <c r="A375" t="s">
        <v>376</v>
      </c>
      <c r="E375" s="21" t="str">
        <f>IF(D375="?OLD","!!!","")</f>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ca="1">IF(J375&lt;&gt;1,"",IF(I375="SBJ","CB","?"))</f>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377</v>
      </c>
      <c r="B376" s="20" t="s">
        <v>149</v>
      </c>
      <c r="C376" s="20" t="s">
        <v>184</v>
      </c>
      <c r="E376" s="21" t="str">
        <f>IF(D376="?OLD","!!!","")</f>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ca="1">IF(J376&lt;&gt;1,"",IF(I376="SBJ","CB","?"))</f>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167</v>
      </c>
      <c r="E377" s="21" t="str">
        <f>IF(D377="?OLD","!!!","")</f>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ca="1">IF(J377&lt;&gt;1,"",IF(I377="SBJ","CB","?"))</f>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9" spans="1:12" x14ac:dyDescent="0.3">
      <c r="A379" t="s">
        <v>378</v>
      </c>
    </row>
    <row r="380" spans="1:12" x14ac:dyDescent="0.3">
      <c r="A380" t="s">
        <v>352</v>
      </c>
      <c r="E380" s="21" t="str">
        <f t="shared" ref="E380:E409" si="36">IF(D380="?OLD","!!!","")</f>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ref="H380:H409" ca="1" si="37">IF(J380&lt;&gt;1,"",IF(I380="SBJ","CB","?"))</f>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208</v>
      </c>
      <c r="E381" s="21" t="str">
        <f t="shared" si="36"/>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37"/>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379</v>
      </c>
      <c r="E382" s="21" t="str">
        <f t="shared" si="36"/>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7"/>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90</v>
      </c>
      <c r="B383" s="20" t="s">
        <v>149</v>
      </c>
      <c r="C383" s="20" t="s">
        <v>158</v>
      </c>
      <c r="D383" s="20" t="s">
        <v>146</v>
      </c>
      <c r="E383" s="21" t="s">
        <v>541</v>
      </c>
      <c r="F383" s="22" t="str">
        <f>IF(OR(E383="",E383="!!!"),"",IF(NOT(ISNA(VLOOKUP(E383,E$1:E382,1,FALSE()))),"OLD",IF(AND(E383&lt;&gt;"",E383&lt;&gt;"!!!"),"NEW","")))</f>
        <v>NEW</v>
      </c>
      <c r="G383" s="23" t="s">
        <v>483</v>
      </c>
      <c r="H383" s="24" t="str">
        <f t="shared" ca="1" si="37"/>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12</v>
      </c>
      <c r="E384" s="21" t="str">
        <f t="shared" si="36"/>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7"/>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203</v>
      </c>
      <c r="E385" s="21" t="str">
        <f t="shared" si="3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380</v>
      </c>
      <c r="E386" s="21" t="str">
        <f t="shared" si="36"/>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7"/>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381</v>
      </c>
      <c r="B387" s="20" t="s">
        <v>163</v>
      </c>
      <c r="C387" s="20" t="s">
        <v>197</v>
      </c>
      <c r="E387" s="21" t="s">
        <v>481</v>
      </c>
      <c r="F387" s="22" t="str">
        <f>IF(OR(E387="",E387="!!!"),"",IF(NOT(ISNA(VLOOKUP(E387,E$1:E386,1,FALSE()))),"OLD",IF(AND(E387&lt;&gt;"",E387&lt;&gt;"!!!"),"NEW","")))</f>
        <v>OLD</v>
      </c>
      <c r="G387" s="23" t="s">
        <v>482</v>
      </c>
      <c r="H387" s="24" t="str">
        <f t="shared" ca="1" si="37"/>
        <v/>
      </c>
      <c r="I387" s="25" t="str">
        <f>IF(OR(E387="",E387="!!!",F387="NEW"),"",INDEX(B$2:B386,-1+SUMPRODUCT(MAX(ROW(E$2:E386)*(E387=E$2:E386)))))</f>
        <v>SBJ_3</v>
      </c>
      <c r="J387" s="25">
        <f ca="1">IF(OR(E387="",E387="!!!",F387="NEW"),"",COUNTBLANK(OFFSET(A$1,,,SUMPRODUCT(MAX(ROW(E$2:E387)*(E387=E$2:E387)))))-COUNTBLANK(OFFSET(A$1,,,SUMPRODUCT(MAX(ROW(E$1:E386)*(E2=E$1:E386))))))</f>
        <v>0</v>
      </c>
      <c r="K387" s="25">
        <f ca="1">IF(OR(E387="",E387="!!!",F387="NEW"),"",INDEX(J$1:J386,SUMPRODUCT(MAX(ROW(E$1:E386)*(E387=E$1:E386)))))</f>
        <v>0</v>
      </c>
      <c r="L387" s="26"/>
    </row>
    <row r="388" spans="1:12" x14ac:dyDescent="0.3">
      <c r="A388" t="s">
        <v>202</v>
      </c>
      <c r="E388" s="21" t="str">
        <f t="shared" si="36"/>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3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214</v>
      </c>
      <c r="B389" s="20" t="s">
        <v>382</v>
      </c>
      <c r="E389" s="21" t="str">
        <f t="shared" si="3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383</v>
      </c>
      <c r="E390" s="21" t="str">
        <f t="shared" si="36"/>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37"/>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212</v>
      </c>
      <c r="E391" s="21" t="str">
        <f t="shared" si="3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384</v>
      </c>
      <c r="E392" s="21" t="str">
        <f t="shared" si="36"/>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37"/>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156</v>
      </c>
      <c r="B393" s="20" t="s">
        <v>285</v>
      </c>
      <c r="C393" s="20" t="s">
        <v>150</v>
      </c>
      <c r="E393" s="21" t="str">
        <f t="shared" si="36"/>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7"/>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385</v>
      </c>
      <c r="E394" s="21" t="str">
        <f t="shared" si="36"/>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37"/>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182</v>
      </c>
      <c r="E395" s="21" t="str">
        <f t="shared" si="36"/>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37"/>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202</v>
      </c>
      <c r="E396" s="21" t="str">
        <f t="shared" si="36"/>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7"/>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262</v>
      </c>
      <c r="E397" s="21" t="str">
        <f t="shared" si="3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3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386</v>
      </c>
      <c r="E398" s="21" t="str">
        <f t="shared" si="36"/>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7"/>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208</v>
      </c>
      <c r="E399" s="21" t="str">
        <f t="shared" si="3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155</v>
      </c>
      <c r="E400" s="21" t="str">
        <f t="shared" si="36"/>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7"/>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387</v>
      </c>
      <c r="B401" s="20" t="s">
        <v>301</v>
      </c>
      <c r="C401" s="20" t="s">
        <v>158</v>
      </c>
      <c r="D401" s="20" t="s">
        <v>146</v>
      </c>
      <c r="E401" s="21" t="s">
        <v>516</v>
      </c>
      <c r="F401" s="22" t="str">
        <f>IF(OR(E401="",E401="!!!"),"",IF(NOT(ISNA(VLOOKUP(E401,E$1:E400,1,FALSE()))),"OLD",IF(AND(E401&lt;&gt;"",E401&lt;&gt;"!!!"),"NEW","")))</f>
        <v>NEW</v>
      </c>
      <c r="G401" s="23" t="s">
        <v>482</v>
      </c>
      <c r="H401" s="24" t="str">
        <f t="shared" ca="1" si="37"/>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388</v>
      </c>
      <c r="E402" s="21" t="str">
        <f t="shared" si="36"/>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37"/>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389</v>
      </c>
      <c r="E403" s="21" t="str">
        <f t="shared" si="36"/>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7"/>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12</v>
      </c>
      <c r="E404" s="21" t="str">
        <f t="shared" si="36"/>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7"/>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390</v>
      </c>
      <c r="E405" s="21" t="str">
        <f t="shared" si="36"/>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7"/>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262</v>
      </c>
      <c r="E406" s="21" t="str">
        <f t="shared" si="36"/>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7"/>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391</v>
      </c>
      <c r="E407" s="21" t="str">
        <f t="shared" si="36"/>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7"/>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392</v>
      </c>
      <c r="B408" s="20" t="s">
        <v>165</v>
      </c>
      <c r="C408" s="20" t="s">
        <v>150</v>
      </c>
      <c r="E408" s="21" t="str">
        <f t="shared" si="36"/>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7"/>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167</v>
      </c>
      <c r="E409" s="21" t="str">
        <f t="shared" si="36"/>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37"/>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1" spans="1:12" x14ac:dyDescent="0.3">
      <c r="A411" t="s">
        <v>192</v>
      </c>
      <c r="E411" s="21" t="str">
        <f>IF(D411="?OLD","!!!","")</f>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ca="1">IF(J411&lt;&gt;1,"",IF(I411="SBJ","CB","?"))</f>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393</v>
      </c>
    </row>
    <row r="413" spans="1:12" x14ac:dyDescent="0.3">
      <c r="A413" t="s">
        <v>194</v>
      </c>
      <c r="E413" s="21" t="str">
        <f t="shared" ref="E413:E444" si="38">IF(D413="?OLD","!!!","")</f>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ref="H413:H444" ca="1" si="39">IF(J413&lt;&gt;1,"",IF(I413="SBJ","CB","?"))</f>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162</v>
      </c>
      <c r="E414" s="21" t="s">
        <v>481</v>
      </c>
      <c r="F414" s="22" t="str">
        <f>IF(OR(E414="",E414="!!!"),"",IF(NOT(ISNA(VLOOKUP(E414,E$1:E413,1,FALSE()))),"OLD",IF(AND(E414&lt;&gt;"",E414&lt;&gt;"!!!"),"NEW","")))</f>
        <v>OLD</v>
      </c>
      <c r="G414" s="23" t="s">
        <v>527</v>
      </c>
      <c r="H414" s="24" t="s">
        <v>138</v>
      </c>
      <c r="I414" s="25" t="str">
        <f>IF(OR(E414="",E414="!!!",F414="NEW"),"",INDEX(B$2:B413,-1+SUMPRODUCT(MAX(ROW(E$2:E413)*(E414=E$2:E413)))))</f>
        <v>SBJ_2</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394</v>
      </c>
      <c r="B415" s="20" t="s">
        <v>149</v>
      </c>
      <c r="C415" s="20" t="s">
        <v>164</v>
      </c>
      <c r="E415" s="21" t="s">
        <v>517</v>
      </c>
      <c r="F415" s="22" t="str">
        <f>IF(OR(E415="",E415="!!!"),"",IF(NOT(ISNA(VLOOKUP(E415,E$1:E414,1,FALSE()))),"OLD",IF(AND(E415&lt;&gt;"",E415&lt;&gt;"!!!"),"NEW","")))</f>
        <v>NEW</v>
      </c>
      <c r="G415" s="23" t="s">
        <v>483</v>
      </c>
      <c r="H415" s="24" t="str">
        <f t="shared" ca="1" si="39"/>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245</v>
      </c>
      <c r="E416" s="21" t="str">
        <f t="shared" si="38"/>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9"/>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147</v>
      </c>
      <c r="B417" s="20" t="s">
        <v>144</v>
      </c>
      <c r="C417" s="20" t="s">
        <v>150</v>
      </c>
      <c r="E417" s="21" t="s">
        <v>480</v>
      </c>
      <c r="F417" s="22" t="str">
        <f>IF(OR(E417="",E417="!!!"),"",IF(NOT(ISNA(VLOOKUP(E417,E$1:E416,1,FALSE()))),"OLD",IF(AND(E417&lt;&gt;"",E417&lt;&gt;"!!!"),"NEW","")))</f>
        <v>OLD</v>
      </c>
      <c r="G417" s="23" t="s">
        <v>482</v>
      </c>
      <c r="H417" s="24" t="str">
        <f t="shared" ca="1" si="39"/>
        <v/>
      </c>
      <c r="I417" s="25" t="str">
        <f>IF(OR(E417="",E417="!!!",F417="NEW"),"",INDEX(B$2:B416,-1+SUMPRODUCT(MAX(ROW(E$2:E416)*(E417=E$2:E416)))))</f>
        <v>other_3</v>
      </c>
      <c r="J417" s="25">
        <f ca="1">IF(OR(E417="",E417="!!!",F417="NEW"),"",COUNTBLANK(OFFSET(A$1,,,SUMPRODUCT(MAX(ROW(E$2:E417)*(E417=E$2:E417)))))-COUNTBLANK(OFFSET(A$1,,,SUMPRODUCT(MAX(ROW(E$1:E416)*(E2=E$1:E416))))))</f>
        <v>0</v>
      </c>
      <c r="K417" s="25">
        <f ca="1">IF(OR(E417="",E417="!!!",F417="NEW"),"",INDEX(J$1:J416,SUMPRODUCT(MAX(ROW(E$1:E416)*(E417=E$1:E416)))))</f>
        <v>0</v>
      </c>
      <c r="L417" s="26"/>
    </row>
    <row r="418" spans="1:12" x14ac:dyDescent="0.3">
      <c r="A418" t="s">
        <v>202</v>
      </c>
      <c r="E418" s="21" t="str">
        <f t="shared" si="38"/>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9"/>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208</v>
      </c>
      <c r="B419" s="20" t="s">
        <v>382</v>
      </c>
      <c r="E419" s="21" t="str">
        <f t="shared" si="38"/>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9"/>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262</v>
      </c>
      <c r="E420" s="21" t="str">
        <f t="shared" si="38"/>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9"/>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214</v>
      </c>
      <c r="E421" s="21" t="str">
        <f t="shared" si="38"/>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39"/>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260</v>
      </c>
      <c r="B422" s="20" t="s">
        <v>285</v>
      </c>
      <c r="C422" s="20" t="s">
        <v>158</v>
      </c>
      <c r="D422" s="20" t="s">
        <v>146</v>
      </c>
      <c r="E422" s="21" t="s">
        <v>496</v>
      </c>
      <c r="F422" s="22" t="str">
        <f>IF(OR(E422="",E422="!!!"),"",IF(NOT(ISNA(VLOOKUP(E422,E$1:E421,1,FALSE()))),"OLD",IF(AND(E422&lt;&gt;"",E422&lt;&gt;"!!!"),"NEW","")))</f>
        <v>OLD</v>
      </c>
      <c r="G422" s="23" t="s">
        <v>482</v>
      </c>
      <c r="H422" s="24" t="str">
        <f t="shared" ca="1" si="39"/>
        <v/>
      </c>
      <c r="I422" s="25" t="str">
        <f>IF(OR(E422="",E422="!!!",F422="NEW"),"",INDEX(B$2:B421,-1+SUMPRODUCT(MAX(ROW(E$2:E421)*(E422=E$2:E421)))))</f>
        <v>other</v>
      </c>
      <c r="J422" s="25">
        <f ca="1">IF(OR(E422="",E422="!!!",F422="NEW"),"",COUNTBLANK(OFFSET(A$1,,,SUMPRODUCT(MAX(ROW(E$2:E422)*(E422=E$2:E422)))))-COUNTBLANK(OFFSET(A$1,,,SUMPRODUCT(MAX(ROW(E$1:E421)*(E2=E$1:E421))))))</f>
        <v>0</v>
      </c>
      <c r="K422" s="25" t="str">
        <f ca="1">IF(OR(E422="",E422="!!!",F422="NEW"),"",INDEX(J$1:J421,SUMPRODUCT(MAX(ROW(E$1:E421)*(E422=E$1:E421)))))</f>
        <v/>
      </c>
      <c r="L422" s="26"/>
    </row>
    <row r="423" spans="1:12" x14ac:dyDescent="0.3">
      <c r="A423" t="s">
        <v>174</v>
      </c>
      <c r="E423" s="21" t="str">
        <f t="shared" si="38"/>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9"/>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198</v>
      </c>
      <c r="B424" s="20" t="s">
        <v>289</v>
      </c>
      <c r="C424" s="20" t="s">
        <v>145</v>
      </c>
      <c r="D424" s="20" t="s">
        <v>146</v>
      </c>
      <c r="E424" s="21" t="s">
        <v>486</v>
      </c>
      <c r="F424" s="22" t="str">
        <f>IF(OR(E424="",E424="!!!"),"",IF(NOT(ISNA(VLOOKUP(E424,E$1:E423,1,FALSE()))),"OLD",IF(AND(E424&lt;&gt;"",E424&lt;&gt;"!!!"),"NEW","")))</f>
        <v>OLD</v>
      </c>
      <c r="G424" s="23" t="s">
        <v>482</v>
      </c>
      <c r="H424" s="24" t="str">
        <f t="shared" ca="1" si="39"/>
        <v/>
      </c>
      <c r="I424" s="25" t="str">
        <f>IF(OR(E424="",E424="!!!",F424="NEW"),"",INDEX(B$2:B423,-1+SUMPRODUCT(MAX(ROW(E$2:E423)*(E424=E$2:E423)))))</f>
        <v>other_2</v>
      </c>
      <c r="J424" s="25">
        <f ca="1">IF(OR(E424="",E424="!!!",F424="NEW"),"",COUNTBLANK(OFFSET(A$1,,,SUMPRODUCT(MAX(ROW(E$2:E424)*(E424=E$2:E424)))))-COUNTBLANK(OFFSET(A$1,,,SUMPRODUCT(MAX(ROW(E$1:E423)*(E2=E$1:E423))))))</f>
        <v>0</v>
      </c>
      <c r="K424" s="25">
        <f ca="1">IF(OR(E424="",E424="!!!",F424="NEW"),"",INDEX(J$1:J423,SUMPRODUCT(MAX(ROW(E$1:E423)*(E424=E$1:E423)))))</f>
        <v>0</v>
      </c>
      <c r="L424" s="26"/>
    </row>
    <row r="425" spans="1:12" x14ac:dyDescent="0.3">
      <c r="A425" t="s">
        <v>395</v>
      </c>
      <c r="E425" s="21" t="str">
        <f t="shared" si="38"/>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9"/>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128</v>
      </c>
      <c r="E426" s="21" t="str">
        <f t="shared" si="38"/>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9"/>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202</v>
      </c>
      <c r="E427" s="21" t="str">
        <f t="shared" si="38"/>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9"/>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272</v>
      </c>
      <c r="E428" s="21" t="str">
        <f t="shared" si="38"/>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39"/>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152</v>
      </c>
      <c r="B429" s="20" t="s">
        <v>157</v>
      </c>
      <c r="C429" s="20" t="s">
        <v>145</v>
      </c>
      <c r="D429" s="20" t="s">
        <v>146</v>
      </c>
      <c r="E429" s="21" t="s">
        <v>481</v>
      </c>
      <c r="F429" s="22" t="str">
        <f>IF(OR(E429="",E429="!!!"),"",IF(NOT(ISNA(VLOOKUP(E429,E$1:E428,1,FALSE()))),"OLD",IF(AND(E429&lt;&gt;"",E429&lt;&gt;"!!!"),"NEW","")))</f>
        <v>OLD</v>
      </c>
      <c r="G429" s="23" t="s">
        <v>527</v>
      </c>
      <c r="H429" s="24" t="str">
        <f t="shared" ca="1" si="39"/>
        <v/>
      </c>
      <c r="I429" s="25">
        <f>IF(OR(E429="",E429="!!!",F429="NEW"),"",INDEX(B$2:B428,-1+SUMPRODUCT(MAX(ROW(E$2:E428)*(E429=E$2:E428)))))</f>
        <v>0</v>
      </c>
      <c r="J429" s="25">
        <f ca="1">IF(OR(E429="",E429="!!!",F429="NEW"),"",COUNTBLANK(OFFSET(A$1,,,SUMPRODUCT(MAX(ROW(E$2:E429)*(E429=E$2:E429)))))-COUNTBLANK(OFFSET(A$1,,,SUMPRODUCT(MAX(ROW(E$1:E428)*(E2=E$1:E428))))))</f>
        <v>0</v>
      </c>
      <c r="K429" s="25">
        <f ca="1">IF(OR(E429="",E429="!!!",F429="NEW"),"",INDEX(J$1:J428,SUMPRODUCT(MAX(ROW(E$1:E428)*(E429=E$1:E428)))))</f>
        <v>0</v>
      </c>
      <c r="L429" s="26"/>
    </row>
    <row r="430" spans="1:12" x14ac:dyDescent="0.3">
      <c r="A430" t="s">
        <v>207</v>
      </c>
      <c r="E430" s="21" t="str">
        <f t="shared" si="38"/>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9"/>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200</v>
      </c>
      <c r="E431" s="21" t="str">
        <f t="shared" si="38"/>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9"/>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231</v>
      </c>
      <c r="E432" s="21" t="str">
        <f t="shared" si="38"/>
        <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39"/>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396</v>
      </c>
      <c r="B433" s="20" t="s">
        <v>157</v>
      </c>
      <c r="C433" s="20" t="s">
        <v>223</v>
      </c>
      <c r="D433" s="20" t="s">
        <v>146</v>
      </c>
      <c r="E433" s="21"/>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9"/>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t="s">
        <v>515</v>
      </c>
    </row>
    <row r="434" spans="1:12" x14ac:dyDescent="0.3">
      <c r="A434" t="s">
        <v>202</v>
      </c>
      <c r="E434" s="21" t="str">
        <f t="shared" si="38"/>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9"/>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203</v>
      </c>
      <c r="E435" s="21" t="str">
        <f t="shared" si="38"/>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9"/>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397</v>
      </c>
      <c r="B436" s="20" t="s">
        <v>222</v>
      </c>
      <c r="C436" s="20" t="s">
        <v>201</v>
      </c>
      <c r="D436" s="20" t="s">
        <v>146</v>
      </c>
      <c r="E436" s="21" t="s">
        <v>481</v>
      </c>
      <c r="F436" s="22" t="str">
        <f>IF(OR(E436="",E436="!!!"),"",IF(NOT(ISNA(VLOOKUP(E436,E$1:E435,1,FALSE()))),"OLD",IF(AND(E436&lt;&gt;"",E436&lt;&gt;"!!!"),"NEW","")))</f>
        <v>OLD</v>
      </c>
      <c r="G436" s="23" t="s">
        <v>527</v>
      </c>
      <c r="H436" s="24" t="str">
        <f t="shared" ca="1" si="39"/>
        <v/>
      </c>
      <c r="I436" s="25" t="str">
        <f>IF(OR(E436="",E436="!!!",F436="NEW"),"",INDEX(B$2:B435,-1+SUMPRODUCT(MAX(ROW(E$2:E435)*(E436=E$2:E435)))))</f>
        <v>SBJ</v>
      </c>
      <c r="J436" s="25">
        <f ca="1">IF(OR(E436="",E436="!!!",F436="NEW"),"",COUNTBLANK(OFFSET(A$1,,,SUMPRODUCT(MAX(ROW(E$2:E436)*(E436=E$2:E436)))))-COUNTBLANK(OFFSET(A$1,,,SUMPRODUCT(MAX(ROW(E$1:E435)*(E2=E$1:E435))))))</f>
        <v>0</v>
      </c>
      <c r="K436" s="25">
        <f ca="1">IF(OR(E436="",E436="!!!",F436="NEW"),"",INDEX(J$1:J435,SUMPRODUCT(MAX(ROW(E$1:E435)*(E436=E$1:E435)))))</f>
        <v>0</v>
      </c>
      <c r="L436" s="26"/>
    </row>
    <row r="437" spans="1:12" x14ac:dyDescent="0.3">
      <c r="A437" t="s">
        <v>398</v>
      </c>
      <c r="B437" s="20" t="s">
        <v>287</v>
      </c>
      <c r="C437" s="20" t="s">
        <v>201</v>
      </c>
      <c r="D437" s="20" t="s">
        <v>146</v>
      </c>
      <c r="E437" s="21" t="s">
        <v>480</v>
      </c>
      <c r="F437" s="22" t="str">
        <f>IF(OR(E437="",E437="!!!"),"",IF(NOT(ISNA(VLOOKUP(E437,E$1:E436,1,FALSE()))),"OLD",IF(AND(E437&lt;&gt;"",E437&lt;&gt;"!!!"),"NEW","")))</f>
        <v>OLD</v>
      </c>
      <c r="G437" s="23" t="s">
        <v>527</v>
      </c>
      <c r="H437" s="24" t="str">
        <f t="shared" ca="1" si="39"/>
        <v/>
      </c>
      <c r="I437" s="25" t="str">
        <f>IF(OR(E437="",E437="!!!",F437="NEW"),"",INDEX(B$2:B436,-1+SUMPRODUCT(MAX(ROW(E$2:E436)*(E437=E$2:E436)))))</f>
        <v>other_2</v>
      </c>
      <c r="J437" s="25">
        <f ca="1">IF(OR(E437="",E437="!!!",F437="NEW"),"",COUNTBLANK(OFFSET(A$1,,,SUMPRODUCT(MAX(ROW(E$2:E437)*(E437=E$2:E437)))))-COUNTBLANK(OFFSET(A$1,,,SUMPRODUCT(MAX(ROW(E$1:E436)*(E2=E$1:E436))))))</f>
        <v>0</v>
      </c>
      <c r="K437" s="25">
        <f ca="1">IF(OR(E437="",E437="!!!",F437="NEW"),"",INDEX(J$1:J436,SUMPRODUCT(MAX(ROW(E$1:E436)*(E437=E$1:E436)))))</f>
        <v>0</v>
      </c>
      <c r="L437" s="26"/>
    </row>
    <row r="438" spans="1:12" x14ac:dyDescent="0.3">
      <c r="A438" t="s">
        <v>399</v>
      </c>
      <c r="B438" s="20" t="s">
        <v>285</v>
      </c>
      <c r="C438" s="20" t="s">
        <v>150</v>
      </c>
      <c r="E438" s="21" t="str">
        <f t="shared" si="38"/>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9"/>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225</v>
      </c>
      <c r="E439" s="21" t="str">
        <f t="shared" si="38"/>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9"/>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236</v>
      </c>
      <c r="E440" s="21" t="str">
        <f t="shared" si="38"/>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9"/>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341</v>
      </c>
      <c r="E441" s="21" t="str">
        <f t="shared" si="38"/>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9"/>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400</v>
      </c>
      <c r="B442" s="20" t="s">
        <v>165</v>
      </c>
      <c r="C442" s="20" t="s">
        <v>197</v>
      </c>
      <c r="E442" s="21" t="str">
        <f t="shared" si="38"/>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9"/>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306</v>
      </c>
      <c r="E443" s="21" t="str">
        <f t="shared" si="38"/>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9"/>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218</v>
      </c>
      <c r="E444" s="21" t="str">
        <f t="shared" si="38"/>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9"/>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202</v>
      </c>
      <c r="E445" s="21" t="str">
        <f t="shared" ref="E445:E463" si="40">IF(D445="?OLD","!!!","")</f>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ref="H445:H463" ca="1" si="41">IF(J445&lt;&gt;1,"",IF(I445="SBJ","CB","?"))</f>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401</v>
      </c>
      <c r="B446" s="20" t="s">
        <v>402</v>
      </c>
      <c r="C446" s="20" t="s">
        <v>201</v>
      </c>
      <c r="D446" s="20" t="s">
        <v>146</v>
      </c>
      <c r="E446" s="21" t="s">
        <v>481</v>
      </c>
      <c r="F446" s="22" t="str">
        <f>IF(OR(E446="",E446="!!!"),"",IF(NOT(ISNA(VLOOKUP(E446,E$1:E445,1,FALSE()))),"OLD",IF(AND(E446&lt;&gt;"",E446&lt;&gt;"!!!"),"NEW","")))</f>
        <v>OLD</v>
      </c>
      <c r="G446" s="23" t="s">
        <v>527</v>
      </c>
      <c r="H446" s="24" t="str">
        <f t="shared" ca="1" si="41"/>
        <v/>
      </c>
      <c r="I446" s="25" t="str">
        <f>IF(OR(E446="",E446="!!!",F446="NEW"),"",INDEX(B$2:B445,-1+SUMPRODUCT(MAX(ROW(E$2:E445)*(E446=E$2:E445)))))</f>
        <v>SBJ_3</v>
      </c>
      <c r="J446" s="25">
        <f ca="1">IF(OR(E446="",E446="!!!",F446="NEW"),"",COUNTBLANK(OFFSET(A$1,,,SUMPRODUCT(MAX(ROW(E$2:E446)*(E446=E$2:E446)))))-COUNTBLANK(OFFSET(A$1,,,SUMPRODUCT(MAX(ROW(E$1:E445)*(E2=E$1:E445))))))</f>
        <v>0</v>
      </c>
      <c r="K446" s="25">
        <f ca="1">IF(OR(E446="",E446="!!!",F446="NEW"),"",INDEX(J$1:J445,SUMPRODUCT(MAX(ROW(E$1:E445)*(E446=E$1:E445)))))</f>
        <v>0</v>
      </c>
      <c r="L446" s="26"/>
    </row>
    <row r="447" spans="1:12" x14ac:dyDescent="0.3">
      <c r="A447" t="s">
        <v>403</v>
      </c>
      <c r="B447" s="20" t="s">
        <v>289</v>
      </c>
      <c r="C447" s="20" t="s">
        <v>317</v>
      </c>
      <c r="D447" s="20" t="s">
        <v>146</v>
      </c>
      <c r="E447" s="21"/>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41"/>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t="s">
        <v>510</v>
      </c>
    </row>
    <row r="448" spans="1:12" x14ac:dyDescent="0.3">
      <c r="A448" t="s">
        <v>404</v>
      </c>
      <c r="E448" s="21" t="str">
        <f t="shared" si="40"/>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1"/>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405</v>
      </c>
      <c r="E449" s="21" t="str">
        <f t="shared" si="40"/>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1"/>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307</v>
      </c>
      <c r="B450" s="20" t="s">
        <v>402</v>
      </c>
      <c r="C450" s="20" t="s">
        <v>319</v>
      </c>
      <c r="D450" s="20" t="s">
        <v>146</v>
      </c>
      <c r="E450" s="21" t="s">
        <v>529</v>
      </c>
      <c r="F450" s="22" t="str">
        <f>IF(OR(E450="",E450="!!!"),"",IF(NOT(ISNA(VLOOKUP(E450,E$1:E449,1,FALSE()))),"OLD",IF(AND(E450&lt;&gt;"",E450&lt;&gt;"!!!"),"NEW","")))</f>
        <v>OLD</v>
      </c>
      <c r="G450" s="23" t="s">
        <v>482</v>
      </c>
      <c r="H450" s="24" t="str">
        <f t="shared" ca="1" si="41"/>
        <v/>
      </c>
      <c r="I450" s="25" t="str">
        <f>IF(OR(E450="",E450="!!!",F450="NEW"),"",INDEX(B$2:B449,-1+SUMPRODUCT(MAX(ROW(E$2:E449)*(E450=E$2:E449)))))</f>
        <v>other</v>
      </c>
      <c r="J450" s="25">
        <f ca="1">IF(OR(E450="",E450="!!!",F450="NEW"),"",COUNTBLANK(OFFSET(A$1,,,SUMPRODUCT(MAX(ROW(E$2:E450)*(E450=E$2:E450)))))-COUNTBLANK(OFFSET(A$1,,,SUMPRODUCT(MAX(ROW(E$1:E449)*(E2=E$1:E449))))))</f>
        <v>0</v>
      </c>
      <c r="K450" s="25" t="str">
        <f ca="1">IF(OR(E450="",E450="!!!",F450="NEW"),"",INDEX(J$1:J449,SUMPRODUCT(MAX(ROW(E$1:E449)*(E450=E$1:E449)))))</f>
        <v/>
      </c>
      <c r="L450" s="26"/>
    </row>
    <row r="451" spans="1:12" x14ac:dyDescent="0.3">
      <c r="A451" t="s">
        <v>12</v>
      </c>
      <c r="E451" s="21" t="str">
        <f t="shared" si="40"/>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41"/>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406</v>
      </c>
      <c r="B452" s="20" t="s">
        <v>382</v>
      </c>
      <c r="C452" s="20" t="s">
        <v>184</v>
      </c>
      <c r="E452" s="21" t="str">
        <f t="shared" si="40"/>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41"/>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407</v>
      </c>
      <c r="E453" s="21" t="str">
        <f t="shared" si="40"/>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41"/>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408</v>
      </c>
      <c r="E454" s="21" t="str">
        <f t="shared" si="40"/>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41"/>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49</v>
      </c>
      <c r="E455" s="21" t="str">
        <f t="shared" si="40"/>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41"/>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12</v>
      </c>
      <c r="E456" s="21" t="str">
        <f t="shared" si="40"/>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41"/>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409</v>
      </c>
      <c r="E457" s="21" t="str">
        <f t="shared" si="40"/>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41"/>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307</v>
      </c>
      <c r="B458" s="20" t="s">
        <v>402</v>
      </c>
      <c r="C458" s="20" t="s">
        <v>150</v>
      </c>
      <c r="E458" s="21" t="str">
        <f t="shared" si="40"/>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41"/>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410</v>
      </c>
      <c r="E459" s="21" t="str">
        <f t="shared" si="40"/>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41"/>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171</v>
      </c>
      <c r="B460" s="20" t="s">
        <v>289</v>
      </c>
      <c r="C460" s="20" t="s">
        <v>172</v>
      </c>
      <c r="E460" s="21" t="str">
        <f t="shared" si="40"/>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41"/>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411</v>
      </c>
      <c r="E461" s="21" t="str">
        <f t="shared" si="40"/>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41"/>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412</v>
      </c>
      <c r="E462" s="21" t="str">
        <f t="shared" si="40"/>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41"/>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167</v>
      </c>
      <c r="E463" s="21" t="str">
        <f t="shared" si="40"/>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1"/>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5" spans="1:12" x14ac:dyDescent="0.3">
      <c r="A465" t="s">
        <v>413</v>
      </c>
    </row>
    <row r="466" spans="1:12" x14ac:dyDescent="0.3">
      <c r="A466" t="s">
        <v>414</v>
      </c>
      <c r="E466" s="21" t="str">
        <f t="shared" ref="E466:E483" si="42">IF(D466="?OLD","!!!","")</f>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ref="H466:H483" ca="1" si="43">IF(J466&lt;&gt;1,"",IF(I466="SBJ","CB","?"))</f>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200</v>
      </c>
      <c r="B467" s="20" t="s">
        <v>163</v>
      </c>
      <c r="C467" s="20" t="s">
        <v>201</v>
      </c>
      <c r="D467" s="20" t="s">
        <v>146</v>
      </c>
      <c r="E467" s="21"/>
      <c r="F467" s="22" t="s">
        <v>501</v>
      </c>
      <c r="G467" s="23" t="str">
        <f>IF(OR(E467="",E467="!!!"),"",IF(OR(J467=0,AND(J467=1,K467=1),AND(J467=1,I467="SBJ"),AND(J467=1,I467=0)),"?IN_FOCUS",IF(J467&lt;=2,"?ACTIVATED",IF(J467&lt;&gt;"","?FAMILIAR",IF(F467="NEW",IF(ISNA(VLOOKUP(E467,#REF!,1,FALSE())),"?TYPE_IDENTIFIABLE","?REFERENTIAL"),"_")))))</f>
        <v/>
      </c>
      <c r="H467" s="24" t="str">
        <f t="shared" ca="1" si="43"/>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415</v>
      </c>
      <c r="B468" s="20" t="s">
        <v>301</v>
      </c>
      <c r="E468" s="21" t="str">
        <f t="shared" si="42"/>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43"/>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416</v>
      </c>
      <c r="E469" s="21" t="str">
        <f t="shared" si="42"/>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3"/>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202</v>
      </c>
      <c r="E470" s="21" t="str">
        <f t="shared" si="42"/>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3"/>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417</v>
      </c>
      <c r="E471" s="21" t="str">
        <f t="shared" si="42"/>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43"/>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397</v>
      </c>
      <c r="B472" s="20" t="s">
        <v>157</v>
      </c>
      <c r="C472" s="20" t="s">
        <v>201</v>
      </c>
      <c r="D472" s="20" t="s">
        <v>146</v>
      </c>
      <c r="E472" s="21" t="s">
        <v>481</v>
      </c>
      <c r="F472" s="22" t="str">
        <f>IF(OR(E472="",E472="!!!"),"",IF(NOT(ISNA(VLOOKUP(E472,E$1:E471,1,FALSE()))),"OLD",IF(AND(E472&lt;&gt;"",E472&lt;&gt;"!!!"),"NEW","")))</f>
        <v>OLD</v>
      </c>
      <c r="G472" s="23" t="s">
        <v>527</v>
      </c>
      <c r="H472" s="24" t="s">
        <v>138</v>
      </c>
      <c r="I472" s="25" t="str">
        <f>IF(OR(E472="",E472="!!!",F472="NEW"),"",INDEX(B$2:B471,-1+SUMPRODUCT(MAX(ROW(E$2:E471)*(E472=E$2:E471)))))</f>
        <v>OBJ_4</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224</v>
      </c>
      <c r="E473" s="21" t="str">
        <f t="shared" si="42"/>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3"/>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410</v>
      </c>
      <c r="E474" s="21" t="str">
        <f t="shared" si="42"/>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3"/>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418</v>
      </c>
      <c r="B475" s="20" t="s">
        <v>149</v>
      </c>
      <c r="C475" s="20" t="s">
        <v>172</v>
      </c>
      <c r="E475" s="21" t="str">
        <f t="shared" si="42"/>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3"/>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189</v>
      </c>
      <c r="E476" s="21" t="str">
        <f t="shared" si="42"/>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43"/>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419</v>
      </c>
      <c r="E477" s="21" t="str">
        <f t="shared" si="42"/>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3"/>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420</v>
      </c>
      <c r="B478" s="20" t="s">
        <v>144</v>
      </c>
      <c r="C478" s="20" t="s">
        <v>172</v>
      </c>
      <c r="E478" s="21" t="str">
        <f t="shared" si="42"/>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43"/>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213</v>
      </c>
      <c r="B479" s="20" t="s">
        <v>149</v>
      </c>
      <c r="C479" s="20" t="s">
        <v>150</v>
      </c>
      <c r="E479" s="21"/>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3"/>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214</v>
      </c>
      <c r="E480" s="21" t="str">
        <f t="shared" si="42"/>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3"/>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215</v>
      </c>
      <c r="E481" s="21" t="str">
        <f t="shared" si="42"/>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3"/>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216</v>
      </c>
      <c r="B482" s="20" t="s">
        <v>149</v>
      </c>
      <c r="C482" s="20" t="s">
        <v>158</v>
      </c>
      <c r="D482" s="20" t="s">
        <v>146</v>
      </c>
      <c r="E482" s="21" t="s">
        <v>487</v>
      </c>
      <c r="F482" s="22" t="str">
        <f>IF(OR(E482="",E482="!!!"),"",IF(NOT(ISNA(VLOOKUP(E482,E$1:E481,1,FALSE()))),"OLD",IF(AND(E482&lt;&gt;"",E482&lt;&gt;"!!!"),"NEW","")))</f>
        <v>OLD</v>
      </c>
      <c r="G482" s="23" t="s">
        <v>482</v>
      </c>
      <c r="H482" s="24" t="str">
        <f t="shared" ca="1" si="43"/>
        <v/>
      </c>
      <c r="I482" s="25" t="str">
        <f>IF(OR(E482="",E482="!!!",F482="NEW"),"",INDEX(B$2:B481,-1+SUMPRODUCT(MAX(ROW(E$2:E481)*(E482=E$2:E481)))))</f>
        <v>other_3</v>
      </c>
      <c r="J482" s="25">
        <f ca="1">IF(OR(E482="",E482="!!!",F482="NEW"),"",COUNTBLANK(OFFSET(A$1,,,SUMPRODUCT(MAX(ROW(E$2:E482)*(E482=E$2:E482)))))-COUNTBLANK(OFFSET(A$1,,,SUMPRODUCT(MAX(ROW(E$1:E481)*(E2=E$1:E481))))))</f>
        <v>0</v>
      </c>
      <c r="K482" s="25" t="str">
        <f ca="1">IF(OR(E482="",E482="!!!",F482="NEW"),"",INDEX(J$1:J481,SUMPRODUCT(MAX(ROW(E$1:E481)*(E482=E$1:E481)))))</f>
        <v/>
      </c>
      <c r="L482" s="26"/>
    </row>
    <row r="483" spans="1:12" x14ac:dyDescent="0.3">
      <c r="A483" t="s">
        <v>167</v>
      </c>
      <c r="E483" s="21" t="str">
        <f t="shared" si="42"/>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3"/>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5" spans="1:12" x14ac:dyDescent="0.3">
      <c r="A485" t="s">
        <v>421</v>
      </c>
    </row>
    <row r="486" spans="1:12" x14ac:dyDescent="0.3">
      <c r="A486" t="s">
        <v>152</v>
      </c>
      <c r="B486" s="20" t="s">
        <v>157</v>
      </c>
      <c r="C486" s="20" t="s">
        <v>145</v>
      </c>
      <c r="D486" s="20" t="s">
        <v>146</v>
      </c>
      <c r="E486" s="21" t="s">
        <v>481</v>
      </c>
      <c r="F486" s="22" t="str">
        <f>IF(OR(E486="",E486="!!!"),"",IF(NOT(ISNA(VLOOKUP(E486,E$1:E485,1,FALSE()))),"OLD",IF(AND(E486&lt;&gt;"",E486&lt;&gt;"!!!"),"NEW","")))</f>
        <v>OLD</v>
      </c>
      <c r="G486" s="23" t="s">
        <v>527</v>
      </c>
      <c r="H486" s="24" t="s">
        <v>138</v>
      </c>
      <c r="I486" s="25" t="str">
        <f>IF(OR(E486="",E486="!!!",F486="NEW"),"",INDEX(B$2:B485,-1+SUMPRODUCT(MAX(ROW(E$2:E485)*(E486=E$2:E485)))))</f>
        <v>SBJ</v>
      </c>
      <c r="J486" s="25">
        <f ca="1">IF(OR(E486="",E486="!!!",F486="NEW"),"",COUNTBLANK(OFFSET(A$1,,,SUMPRODUCT(MAX(ROW(E$2:E486)*(E486=E$2:E486)))))-COUNTBLANK(OFFSET(A$1,,,SUMPRODUCT(MAX(ROW(E$1:E485)*(E2=E$1:E485))))))</f>
        <v>0</v>
      </c>
      <c r="K486" s="25">
        <f ca="1">IF(OR(E486="",E486="!!!",F486="NEW"),"",INDEX(J$1:J485,SUMPRODUCT(MAX(ROW(E$1:E485)*(E486=E$1:E485)))))</f>
        <v>0</v>
      </c>
      <c r="L486" s="26"/>
    </row>
    <row r="487" spans="1:12" x14ac:dyDescent="0.3">
      <c r="A487" t="s">
        <v>422</v>
      </c>
      <c r="E487" s="21" t="str">
        <f t="shared" ref="E487:E495" si="44">IF(D487="?OLD","!!!","")</f>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ref="H487:H495" ca="1" si="45">IF(J487&lt;&gt;1,"",IF(I487="SBJ","CB","?"))</f>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330</v>
      </c>
      <c r="E488" s="21" t="str">
        <f t="shared" si="44"/>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5"/>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307</v>
      </c>
      <c r="B489" s="20" t="s">
        <v>244</v>
      </c>
      <c r="C489" s="20" t="s">
        <v>158</v>
      </c>
      <c r="D489" s="20" t="s">
        <v>146</v>
      </c>
      <c r="E489" s="21" t="s">
        <v>531</v>
      </c>
      <c r="F489" s="22" t="str">
        <f>IF(OR(E489="",E489="!!!"),"",IF(NOT(ISNA(VLOOKUP(E489,E$1:E488,1,FALSE()))),"OLD",IF(AND(E489&lt;&gt;"",E489&lt;&gt;"!!!"),"NEW","")))</f>
        <v>OLD</v>
      </c>
      <c r="G489" s="23" t="s">
        <v>482</v>
      </c>
      <c r="H489" s="24" t="str">
        <f t="shared" ca="1" si="45"/>
        <v/>
      </c>
      <c r="I489" s="25" t="str">
        <f>IF(OR(E489="",E489="!!!",F489="NEW"),"",INDEX(B$2:B488,-1+SUMPRODUCT(MAX(ROW(E$2:E488)*(E489=E$2:E488)))))</f>
        <v>OBJ_3</v>
      </c>
      <c r="J489" s="25">
        <f ca="1">IF(OR(E489="",E489="!!!",F489="NEW"),"",COUNTBLANK(OFFSET(A$1,,,SUMPRODUCT(MAX(ROW(E$2:E489)*(E489=E$2:E489)))))-COUNTBLANK(OFFSET(A$1,,,SUMPRODUCT(MAX(ROW(E$1:E488)*(E2=E$1:E488))))))</f>
        <v>0</v>
      </c>
      <c r="K489" s="25">
        <f ca="1">IF(OR(E489="",E489="!!!",F489="NEW"),"",INDEX(J$1:J488,SUMPRODUCT(MAX(ROW(E$1:E488)*(E489=E$1:E488)))))</f>
        <v>0</v>
      </c>
      <c r="L489" s="26"/>
    </row>
    <row r="490" spans="1:12" x14ac:dyDescent="0.3">
      <c r="A490" t="s">
        <v>236</v>
      </c>
      <c r="E490" s="21" t="str">
        <f t="shared" si="44"/>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5"/>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185</v>
      </c>
      <c r="E491" s="21" t="str">
        <f t="shared" si="44"/>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45"/>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423</v>
      </c>
      <c r="B492" s="20" t="s">
        <v>144</v>
      </c>
      <c r="C492" s="20" t="s">
        <v>145</v>
      </c>
      <c r="D492" s="20" t="s">
        <v>146</v>
      </c>
      <c r="E492" s="21" t="s">
        <v>518</v>
      </c>
      <c r="F492" s="22" t="s">
        <v>504</v>
      </c>
      <c r="G492" s="23"/>
      <c r="H492" s="24" t="str">
        <f t="shared" ca="1" si="45"/>
        <v/>
      </c>
      <c r="I492" s="25" t="e">
        <f>IF(OR(E492="",E492="!!!",F492="NEW"),"",INDEX(B$2:B491,-1+SUMPRODUCT(MAX(ROW(E$2:E491)*(E492=E$2:E491)))))</f>
        <v>#VALUE!</v>
      </c>
      <c r="J492" s="25">
        <f ca="1">IF(OR(E492="",E492="!!!",F492="NEW"),"",COUNTBLANK(OFFSET(A$1,,,SUMPRODUCT(MAX(ROW(E$2:E492)*(E492=E$2:E492)))))-COUNTBLANK(OFFSET(A$1,,,SUMPRODUCT(MAX(ROW(E$1:E491)*(E2=E$1:E491))))))</f>
        <v>0</v>
      </c>
      <c r="K492" s="25" t="e">
        <f>IF(OR(E492="",E492="!!!",F492="NEW"),"",INDEX(J$1:J491,SUMPRODUCT(MAX(ROW(E$1:E491)*(E492=E$1:E491)))))</f>
        <v>#VALUE!</v>
      </c>
      <c r="L492" s="26"/>
    </row>
    <row r="493" spans="1:12" x14ac:dyDescent="0.3">
      <c r="A493" t="s">
        <v>424</v>
      </c>
      <c r="E493" s="21" t="str">
        <f t="shared" si="44"/>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5"/>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245</v>
      </c>
      <c r="E494" s="21" t="str">
        <f t="shared" si="44"/>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5"/>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167</v>
      </c>
      <c r="E495" s="21" t="str">
        <f t="shared" si="44"/>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45"/>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7" spans="1:12" x14ac:dyDescent="0.3">
      <c r="A497" t="s">
        <v>425</v>
      </c>
    </row>
    <row r="498" spans="1:12" x14ac:dyDescent="0.3">
      <c r="A498" t="s">
        <v>426</v>
      </c>
      <c r="E498" s="21" t="str">
        <f t="shared" ref="E498:E505" si="46">IF(D498="?OLD","!!!","")</f>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ref="H498:H505" ca="1" si="47">IF(J498&lt;&gt;1,"",IF(I498="SBJ","CB","?"))</f>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169</v>
      </c>
      <c r="E499" s="21" t="str">
        <f t="shared" si="46"/>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7"/>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242</v>
      </c>
      <c r="B500" s="20" t="s">
        <v>157</v>
      </c>
      <c r="C500" s="20" t="s">
        <v>201</v>
      </c>
      <c r="D500" s="20" t="s">
        <v>146</v>
      </c>
      <c r="E500" s="21" t="s">
        <v>481</v>
      </c>
      <c r="F500" s="22" t="str">
        <f>IF(OR(E500="",E500="!!!"),"",IF(NOT(ISNA(VLOOKUP(E500,E$1:E499,1,FALSE()))),"OLD",IF(AND(E500&lt;&gt;"",E500&lt;&gt;"!!!"),"NEW","")))</f>
        <v>OLD</v>
      </c>
      <c r="G500" s="23" t="s">
        <v>527</v>
      </c>
      <c r="H500" s="24" t="s">
        <v>138</v>
      </c>
      <c r="I500" s="25" t="str">
        <f>IF(OR(E500="",E500="!!!",F500="NEW"),"",INDEX(B$2:B499,-1+SUMPRODUCT(MAX(ROW(E$2:E499)*(E500=E$2:E499)))))</f>
        <v>SBJ</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427</v>
      </c>
      <c r="E501" s="21" t="str">
        <f t="shared" si="46"/>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7"/>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428</v>
      </c>
      <c r="B502" s="20" t="s">
        <v>149</v>
      </c>
      <c r="C502" s="20" t="s">
        <v>150</v>
      </c>
      <c r="E502" s="21" t="str">
        <f t="shared" si="46"/>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7"/>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189</v>
      </c>
      <c r="E503" s="21" t="str">
        <f t="shared" si="46"/>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7"/>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429</v>
      </c>
      <c r="B504" s="20" t="s">
        <v>149</v>
      </c>
      <c r="C504" s="20" t="s">
        <v>150</v>
      </c>
      <c r="E504" s="21" t="str">
        <f t="shared" si="46"/>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47"/>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167</v>
      </c>
      <c r="E505" s="21" t="str">
        <f t="shared" si="46"/>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7"/>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7" spans="1:12" x14ac:dyDescent="0.3">
      <c r="A507" t="s">
        <v>430</v>
      </c>
    </row>
    <row r="508" spans="1:12" x14ac:dyDescent="0.3">
      <c r="A508" t="s">
        <v>431</v>
      </c>
      <c r="B508" s="20" t="s">
        <v>157</v>
      </c>
      <c r="C508" s="20" t="s">
        <v>201</v>
      </c>
      <c r="D508" s="20" t="s">
        <v>146</v>
      </c>
      <c r="E508" s="21" t="s">
        <v>481</v>
      </c>
      <c r="F508" s="22" t="str">
        <f>IF(OR(E508="",E508="!!!"),"",IF(NOT(ISNA(VLOOKUP(E508,E$1:E507,1,FALSE()))),"OLD",IF(AND(E508&lt;&gt;"",E508&lt;&gt;"!!!"),"NEW","")))</f>
        <v>OLD</v>
      </c>
      <c r="G508" s="23" t="s">
        <v>527</v>
      </c>
      <c r="H508" s="24" t="s">
        <v>138</v>
      </c>
      <c r="I508" s="25" t="str">
        <f>IF(OR(E508="",E508="!!!",F508="NEW"),"",INDEX(B$2:B507,-1+SUMPRODUCT(MAX(ROW(E$2:E507)*(E508=E$2:E507)))))</f>
        <v>SBJ</v>
      </c>
      <c r="J508" s="25">
        <f ca="1">IF(OR(E508="",E508="!!!",F508="NEW"),"",COUNTBLANK(OFFSET(A$1,,,SUMPRODUCT(MAX(ROW(E$2:E508)*(E508=E$2:E508)))))-COUNTBLANK(OFFSET(A$1,,,SUMPRODUCT(MAX(ROW(E$1:E507)*(E2=E$1:E507))))))</f>
        <v>0</v>
      </c>
      <c r="K508" s="25">
        <f ca="1">IF(OR(E508="",E508="!!!",F508="NEW"),"",INDEX(J$1:J507,SUMPRODUCT(MAX(ROW(E$1:E507)*(E508=E$1:E507)))))</f>
        <v>0</v>
      </c>
      <c r="L508" s="26"/>
    </row>
    <row r="509" spans="1:12" x14ac:dyDescent="0.3">
      <c r="A509" t="s">
        <v>231</v>
      </c>
      <c r="E509" s="21" t="str">
        <f t="shared" ref="E509:E522" si="48">IF(D509="?OLD","!!!","")</f>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ref="H509:H522" ca="1" si="49">IF(J509&lt;&gt;1,"",IF(I509="SBJ","CB","?"))</f>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432</v>
      </c>
      <c r="B510" s="20" t="s">
        <v>149</v>
      </c>
      <c r="C510" s="20" t="s">
        <v>150</v>
      </c>
      <c r="E510" s="21" t="str">
        <f t="shared" si="48"/>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9"/>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174</v>
      </c>
      <c r="E511" s="21" t="str">
        <f t="shared" si="48"/>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9"/>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215</v>
      </c>
      <c r="E512" s="21" t="str">
        <f t="shared" si="48"/>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9"/>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433</v>
      </c>
      <c r="B513" s="20" t="s">
        <v>149</v>
      </c>
      <c r="C513" s="20" t="s">
        <v>158</v>
      </c>
      <c r="D513" s="20" t="s">
        <v>146</v>
      </c>
      <c r="E513" s="21" t="s">
        <v>519</v>
      </c>
      <c r="F513" s="22" t="str">
        <f>IF(OR(E513="",E513="!!!"),"",IF(NOT(ISNA(VLOOKUP(E513,E$1:E512,1,FALSE()))),"OLD",IF(AND(E513&lt;&gt;"",E513&lt;&gt;"!!!"),"NEW","")))</f>
        <v>NEW</v>
      </c>
      <c r="G513" s="23" t="s">
        <v>483</v>
      </c>
      <c r="H513" s="24" t="str">
        <f t="shared" ca="1" si="49"/>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189</v>
      </c>
      <c r="E514" s="21" t="str">
        <f t="shared" si="48"/>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49"/>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329</v>
      </c>
      <c r="E515" s="21" t="str">
        <f t="shared" si="48"/>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9"/>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147</v>
      </c>
      <c r="E516" s="21" t="s">
        <v>480</v>
      </c>
      <c r="F516" s="22" t="str">
        <f>IF(OR(E516="",E516="!!!"),"",IF(NOT(ISNA(VLOOKUP(E516,E$1:E515,1,FALSE()))),"OLD",IF(AND(E516&lt;&gt;"",E516&lt;&gt;"!!!"),"NEW","")))</f>
        <v>OLD</v>
      </c>
      <c r="G516" s="23" t="s">
        <v>482</v>
      </c>
      <c r="H516" s="24" t="str">
        <f t="shared" ca="1" si="49"/>
        <v/>
      </c>
      <c r="I516" s="25" t="str">
        <f>IF(OR(E516="",E516="!!!",F516="NEW"),"",INDEX(B$2:B515,-1+SUMPRODUCT(MAX(ROW(E$2:E515)*(E516=E$2:E515)))))</f>
        <v>OBJ_3</v>
      </c>
      <c r="J516" s="25">
        <f ca="1">IF(OR(E516="",E516="!!!",F516="NEW"),"",COUNTBLANK(OFFSET(A$1,,,SUMPRODUCT(MAX(ROW(E$2:E516)*(E516=E$2:E516)))))-COUNTBLANK(OFFSET(A$1,,,SUMPRODUCT(MAX(ROW(E$1:E515)*(E2=E$1:E515))))))</f>
        <v>0</v>
      </c>
      <c r="K516" s="25">
        <f ca="1">IF(OR(E516="",E516="!!!",F516="NEW"),"",INDEX(J$1:J515,SUMPRODUCT(MAX(ROW(E$1:E515)*(E516=E$1:E515)))))</f>
        <v>0</v>
      </c>
      <c r="L516" s="26"/>
    </row>
    <row r="517" spans="1:12" x14ac:dyDescent="0.3">
      <c r="A517" t="s">
        <v>434</v>
      </c>
      <c r="E517" s="21" t="str">
        <f t="shared" si="48"/>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49"/>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432</v>
      </c>
      <c r="B518" s="20" t="s">
        <v>149</v>
      </c>
      <c r="C518" s="20" t="s">
        <v>150</v>
      </c>
      <c r="E518" s="21" t="str">
        <f t="shared" si="48"/>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9"/>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174</v>
      </c>
      <c r="E519" s="21" t="str">
        <f t="shared" si="48"/>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9"/>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435</v>
      </c>
      <c r="B520" s="20" t="s">
        <v>144</v>
      </c>
      <c r="C520" s="20" t="s">
        <v>158</v>
      </c>
      <c r="D520" s="20" t="s">
        <v>146</v>
      </c>
      <c r="E520" s="21" t="s">
        <v>508</v>
      </c>
      <c r="F520" s="22" t="s">
        <v>506</v>
      </c>
      <c r="G520" s="23" t="s">
        <v>482</v>
      </c>
      <c r="H520" s="24" t="str">
        <f t="shared" ca="1" si="49"/>
        <v/>
      </c>
      <c r="I520" s="25" t="str">
        <f>IF(OR(E520="",E520="!!!",F520="NEW"),"",INDEX(B$2:B519,-1+SUMPRODUCT(MAX(ROW(E$2:E519)*(E520=E$2:E519)))))</f>
        <v>other_2</v>
      </c>
      <c r="J520" s="25">
        <f ca="1">IF(OR(E520="",E520="!!!",F520="NEW"),"",COUNTBLANK(OFFSET(A$1,,,SUMPRODUCT(MAX(ROW(E$2:E520)*(E520=E$2:E520)))))-COUNTBLANK(OFFSET(A$1,,,SUMPRODUCT(MAX(ROW(E$1:E519)*(E2=E$1:E519))))))</f>
        <v>0</v>
      </c>
      <c r="K520" s="25" t="str">
        <f ca="1">IF(OR(E520="",E520="!!!",F520="NEW"),"",INDEX(J$1:J519,SUMPRODUCT(MAX(ROW(E$1:E519)*(E520=E$1:E519)))))</f>
        <v/>
      </c>
      <c r="L520" s="26"/>
    </row>
    <row r="521" spans="1:12" x14ac:dyDescent="0.3">
      <c r="A521" t="s">
        <v>333</v>
      </c>
      <c r="B521" s="20" t="s">
        <v>165</v>
      </c>
      <c r="C521" s="20" t="s">
        <v>145</v>
      </c>
      <c r="D521" s="20" t="s">
        <v>146</v>
      </c>
      <c r="E521" s="21"/>
      <c r="F521" s="22" t="s">
        <v>484</v>
      </c>
      <c r="G521" s="23" t="str">
        <f>IF(OR(E521="",E521="!!!"),"",IF(OR(J521=0,AND(J521=1,K521=1),AND(J521=1,I521="SBJ"),AND(J521=1,I521=0)),"?IN_FOCUS",IF(J521&lt;=2,"?ACTIVATED",IF(J521&lt;&gt;"","?FAMILIAR",IF(F521="NEW",IF(ISNA(VLOOKUP(E521,#REF!,1,FALSE())),"?TYPE_IDENTIFIABLE","?REFERENTIAL"),"_")))))</f>
        <v/>
      </c>
      <c r="H521" s="24" t="str">
        <f t="shared" ca="1" si="49"/>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167</v>
      </c>
      <c r="E522" s="21" t="str">
        <f t="shared" si="48"/>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9"/>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4" spans="1:12" x14ac:dyDescent="0.3">
      <c r="A524" t="s">
        <v>436</v>
      </c>
    </row>
    <row r="525" spans="1:12" x14ac:dyDescent="0.3">
      <c r="A525" t="s">
        <v>194</v>
      </c>
      <c r="E525" s="21" t="str">
        <f t="shared" ref="E525:E552" si="50">IF(D525="?OLD","!!!","")</f>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ref="H525:H552" ca="1" si="51">IF(J525&lt;&gt;1,"",IF(I525="SBJ","CB","?"))</f>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330</v>
      </c>
      <c r="E526" s="21" t="str">
        <f t="shared" si="50"/>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51"/>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437</v>
      </c>
      <c r="E527" s="21" t="str">
        <f t="shared" si="50"/>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51"/>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438</v>
      </c>
      <c r="E528" s="21" t="str">
        <f t="shared" si="50"/>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51"/>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418</v>
      </c>
      <c r="B529" s="20" t="s">
        <v>144</v>
      </c>
      <c r="C529" s="20" t="s">
        <v>158</v>
      </c>
      <c r="D529" s="20" t="s">
        <v>146</v>
      </c>
      <c r="E529" s="21" t="s">
        <v>520</v>
      </c>
      <c r="F529" s="22" t="str">
        <f>IF(OR(E529="",E529="!!!"),"",IF(NOT(ISNA(VLOOKUP(E529,E$1:E528,1,FALSE()))),"OLD",IF(AND(E529&lt;&gt;"",E529&lt;&gt;"!!!"),"NEW","")))</f>
        <v>NEW</v>
      </c>
      <c r="G529" s="23" t="s">
        <v>482</v>
      </c>
      <c r="H529" s="24" t="str">
        <f t="shared" ca="1" si="51"/>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202</v>
      </c>
      <c r="E530" s="21" t="str">
        <f t="shared" si="50"/>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51"/>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212</v>
      </c>
      <c r="E531" s="21" t="str">
        <f t="shared" si="50"/>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51"/>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147</v>
      </c>
      <c r="B532" s="20" t="s">
        <v>144</v>
      </c>
      <c r="C532" s="20" t="s">
        <v>150</v>
      </c>
      <c r="E532" s="21" t="s">
        <v>480</v>
      </c>
      <c r="F532" s="22" t="str">
        <f>IF(OR(E532="",E532="!!!"),"",IF(NOT(ISNA(VLOOKUP(E532,E$1:E531,1,FALSE()))),"OLD",IF(AND(E532&lt;&gt;"",E532&lt;&gt;"!!!"),"NEW","")))</f>
        <v>OLD</v>
      </c>
      <c r="G532" s="23" t="s">
        <v>528</v>
      </c>
      <c r="H532" s="24" t="str">
        <f t="shared" ca="1" si="51"/>
        <v/>
      </c>
      <c r="I532" s="25">
        <f>IF(OR(E532="",E532="!!!",F532="NEW"),"",INDEX(B$2:B531,-1+SUMPRODUCT(MAX(ROW(E$2:E531)*(E532=E$2:E531)))))</f>
        <v>0</v>
      </c>
      <c r="J532" s="25">
        <f ca="1">IF(OR(E532="",E532="!!!",F532="NEW"),"",COUNTBLANK(OFFSET(A$1,,,SUMPRODUCT(MAX(ROW(E$2:E532)*(E532=E$2:E532)))))-COUNTBLANK(OFFSET(A$1,,,SUMPRODUCT(MAX(ROW(E$1:E531)*(E2=E$1:E531))))))</f>
        <v>0</v>
      </c>
      <c r="K532" s="25">
        <f ca="1">IF(OR(E532="",E532="!!!",F532="NEW"),"",INDEX(J$1:J531,SUMPRODUCT(MAX(ROW(E$1:E531)*(E532=E$1:E531)))))</f>
        <v>0</v>
      </c>
      <c r="L532" s="26"/>
    </row>
    <row r="533" spans="1:12" x14ac:dyDescent="0.3">
      <c r="A533" t="s">
        <v>213</v>
      </c>
      <c r="B533" s="20" t="s">
        <v>149</v>
      </c>
      <c r="C533" s="20" t="s">
        <v>150</v>
      </c>
      <c r="E533" s="21" t="str">
        <f t="shared" si="50"/>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51"/>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174</v>
      </c>
      <c r="E534" s="21" t="str">
        <f t="shared" si="50"/>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51"/>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439</v>
      </c>
      <c r="B535" s="20" t="s">
        <v>144</v>
      </c>
      <c r="C535" s="20" t="s">
        <v>158</v>
      </c>
      <c r="D535" s="20" t="s">
        <v>146</v>
      </c>
      <c r="E535" s="21" t="s">
        <v>521</v>
      </c>
      <c r="F535" s="22" t="str">
        <f>IF(OR(E535="",E535="!!!"),"",IF(NOT(ISNA(VLOOKUP(E535,E$1:E534,1,FALSE()))),"OLD",IF(AND(E535&lt;&gt;"",E535&lt;&gt;"!!!"),"NEW","")))</f>
        <v>NEW</v>
      </c>
      <c r="G535" s="23" t="s">
        <v>483</v>
      </c>
      <c r="H535" s="24" t="str">
        <f t="shared" ca="1" si="51"/>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252</v>
      </c>
      <c r="E536" s="21" t="str">
        <f t="shared" si="50"/>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51"/>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440</v>
      </c>
      <c r="B537" s="20" t="s">
        <v>144</v>
      </c>
      <c r="C537" s="20" t="s">
        <v>145</v>
      </c>
      <c r="D537" s="20" t="s">
        <v>146</v>
      </c>
      <c r="E537" s="21"/>
      <c r="F537" s="22" t="s">
        <v>484</v>
      </c>
      <c r="G537" s="23" t="str">
        <f>IF(OR(E537="",E537="!!!"),"",IF(OR(J537=0,AND(J537=1,K537=1),AND(J537=1,I537="SBJ"),AND(J537=1,I537=0)),"?IN_FOCUS",IF(J537&lt;=2,"?ACTIVATED",IF(J537&lt;&gt;"","?FAMILIAR",IF(F537="NEW",IF(ISNA(VLOOKUP(E537,#REF!,1,FALSE())),"?TYPE_IDENTIFIABLE","?REFERENTIAL"),"_")))))</f>
        <v/>
      </c>
      <c r="H537" s="24" t="str">
        <f t="shared" ca="1" si="51"/>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254</v>
      </c>
      <c r="E538" s="21" t="str">
        <f t="shared" si="50"/>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51"/>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169</v>
      </c>
      <c r="E539" s="21" t="str">
        <f t="shared" si="50"/>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51"/>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202</v>
      </c>
      <c r="E540" s="21" t="str">
        <f t="shared" si="50"/>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51"/>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214</v>
      </c>
      <c r="B541" s="20" t="s">
        <v>222</v>
      </c>
      <c r="E541" s="21" t="str">
        <f t="shared" si="50"/>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51"/>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330</v>
      </c>
      <c r="E542" s="21" t="str">
        <f t="shared" si="50"/>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51"/>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333</v>
      </c>
      <c r="B543" s="20" t="s">
        <v>287</v>
      </c>
      <c r="C543" s="20" t="s">
        <v>145</v>
      </c>
      <c r="D543" s="20" t="s">
        <v>146</v>
      </c>
      <c r="E543" s="21" t="s">
        <v>508</v>
      </c>
      <c r="F543" s="22" t="str">
        <f>IF(OR(E543="",E543="!!!"),"",IF(NOT(ISNA(VLOOKUP(E543,E$1:E542,1,FALSE()))),"OLD",IF(AND(E543&lt;&gt;"",E543&lt;&gt;"!!!"),"NEW","")))</f>
        <v>OLD</v>
      </c>
      <c r="G543" s="23" t="s">
        <v>528</v>
      </c>
      <c r="H543" s="24" t="str">
        <f t="shared" ca="1" si="51"/>
        <v/>
      </c>
      <c r="I543" s="25" t="str">
        <f>IF(OR(E543="",E543="!!!",F543="NEW"),"",INDEX(B$2:B542,-1+SUMPRODUCT(MAX(ROW(E$2:E542)*(E543=E$2:E542)))))</f>
        <v>other_2</v>
      </c>
      <c r="J543" s="25">
        <f ca="1">IF(OR(E543="",E543="!!!",F543="NEW"),"",COUNTBLANK(OFFSET(A$1,,,SUMPRODUCT(MAX(ROW(E$2:E543)*(E543=E$2:E543)))))-COUNTBLANK(OFFSET(A$1,,,SUMPRODUCT(MAX(ROW(E$1:E542)*(E2=E$1:E542))))))</f>
        <v>0</v>
      </c>
      <c r="K543" s="25">
        <f ca="1">IF(OR(E543="",E543="!!!",F543="NEW"),"",INDEX(J$1:J542,SUMPRODUCT(MAX(ROW(E$1:E542)*(E543=E$1:E542)))))</f>
        <v>0</v>
      </c>
      <c r="L543" s="26"/>
    </row>
    <row r="544" spans="1:12" x14ac:dyDescent="0.3">
      <c r="A544" t="s">
        <v>441</v>
      </c>
      <c r="E544" s="21" t="str">
        <f t="shared" si="50"/>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51"/>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202</v>
      </c>
      <c r="E545" s="21" t="str">
        <f t="shared" si="50"/>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51"/>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182</v>
      </c>
      <c r="E546" s="21" t="str">
        <f t="shared" si="50"/>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51"/>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152</v>
      </c>
      <c r="B547" s="20" t="s">
        <v>157</v>
      </c>
      <c r="C547" s="20" t="s">
        <v>145</v>
      </c>
      <c r="D547" s="20" t="s">
        <v>146</v>
      </c>
      <c r="E547" s="21" t="s">
        <v>481</v>
      </c>
      <c r="F547" s="22" t="str">
        <f>IF(OR(E547="",E547="!!!"),"",IF(NOT(ISNA(VLOOKUP(E547,E$1:E546,1,FALSE()))),"OLD",IF(AND(E547&lt;&gt;"",E547&lt;&gt;"!!!"),"NEW","")))</f>
        <v>OLD</v>
      </c>
      <c r="G547" s="23" t="s">
        <v>527</v>
      </c>
      <c r="H547" s="24" t="s">
        <v>138</v>
      </c>
      <c r="I547" s="25" t="str">
        <f>IF(OR(E547="",E547="!!!",F547="NEW"),"",INDEX(B$2:B546,-1+SUMPRODUCT(MAX(ROW(E$2:E546)*(E547=E$2:E546)))))</f>
        <v>SBJ</v>
      </c>
      <c r="J547" s="25">
        <f ca="1">IF(OR(E547="",E547="!!!",F547="NEW"),"",COUNTBLANK(OFFSET(A$1,,,SUMPRODUCT(MAX(ROW(E$2:E547)*(E547=E$2:E547)))))-COUNTBLANK(OFFSET(A$1,,,SUMPRODUCT(MAX(ROW(E$1:E546)*(E2=E$1:E546))))))</f>
        <v>0</v>
      </c>
      <c r="K547" s="25">
        <f ca="1">IF(OR(E547="",E547="!!!",F547="NEW"),"",INDEX(J$1:J546,SUMPRODUCT(MAX(ROW(E$1:E546)*(E547=E$1:E546)))))</f>
        <v>0</v>
      </c>
      <c r="L547" s="26"/>
    </row>
    <row r="548" spans="1:12" x14ac:dyDescent="0.3">
      <c r="A548" t="s">
        <v>183</v>
      </c>
      <c r="E548" s="21" t="str">
        <f t="shared" si="50"/>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51"/>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227</v>
      </c>
      <c r="E549" s="21" t="s">
        <v>480</v>
      </c>
      <c r="F549" s="22" t="str">
        <f>IF(OR(E549="",E549="!!!"),"",IF(NOT(ISNA(VLOOKUP(E549,E$1:E548,1,FALSE()))),"OLD",IF(AND(E549&lt;&gt;"",E549&lt;&gt;"!!!"),"NEW","")))</f>
        <v>OLD</v>
      </c>
      <c r="G549" s="23" t="s">
        <v>527</v>
      </c>
      <c r="H549" s="24" t="str">
        <f t="shared" ca="1" si="51"/>
        <v/>
      </c>
      <c r="I549" s="25" t="str">
        <f>IF(OR(E549="",E549="!!!",F549="NEW"),"",INDEX(B$2:B548,-1+SUMPRODUCT(MAX(ROW(E$2:E548)*(E549=E$2:E548)))))</f>
        <v>other_2</v>
      </c>
      <c r="J549" s="25">
        <f ca="1">IF(OR(E549="",E549="!!!",F549="NEW"),"",COUNTBLANK(OFFSET(A$1,,,SUMPRODUCT(MAX(ROW(E$2:E549)*(E549=E$2:E549)))))-COUNTBLANK(OFFSET(A$1,,,SUMPRODUCT(MAX(ROW(E$1:E548)*(E2=E$1:E548))))))</f>
        <v>0</v>
      </c>
      <c r="K549" s="25">
        <f ca="1">IF(OR(E549="",E549="!!!",F549="NEW"),"",INDEX(J$1:J548,SUMPRODUCT(MAX(ROW(E$1:E548)*(E549=E$1:E548)))))</f>
        <v>0</v>
      </c>
      <c r="L549" s="26"/>
    </row>
    <row r="550" spans="1:12" x14ac:dyDescent="0.3">
      <c r="A550" t="s">
        <v>226</v>
      </c>
      <c r="B550" s="20" t="s">
        <v>149</v>
      </c>
      <c r="C550" s="20" t="s">
        <v>164</v>
      </c>
      <c r="E550" s="21" t="s">
        <v>522</v>
      </c>
      <c r="F550" s="22" t="str">
        <f>IF(OR(E550="",E550="!!!"),"",IF(NOT(ISNA(VLOOKUP(E550,E$1:E549,1,FALSE()))),"OLD",IF(AND(E550&lt;&gt;"",E550&lt;&gt;"!!!"),"NEW","")))</f>
        <v>NEW</v>
      </c>
      <c r="G550" s="23" t="s">
        <v>483</v>
      </c>
      <c r="H550" s="24" t="str">
        <f t="shared" ca="1" si="51"/>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191</v>
      </c>
      <c r="E551" s="21" t="str">
        <f t="shared" si="50"/>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51"/>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167</v>
      </c>
      <c r="E552" s="21" t="str">
        <f t="shared" si="50"/>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51"/>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4" spans="1:12" x14ac:dyDescent="0.3">
      <c r="A554" t="s">
        <v>442</v>
      </c>
    </row>
    <row r="555" spans="1:12" x14ac:dyDescent="0.3">
      <c r="A555" t="s">
        <v>335</v>
      </c>
      <c r="E555" s="21" t="str">
        <f t="shared" ref="E555:E576" si="52">IF(D555="?OLD","!!!","")</f>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ref="H555:H576" ca="1" si="53">IF(J555&lt;&gt;1,"",IF(I555="SBJ","CB","?"))</f>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147</v>
      </c>
      <c r="B556" s="20" t="s">
        <v>149</v>
      </c>
      <c r="C556" s="20" t="s">
        <v>150</v>
      </c>
      <c r="E556" s="21" t="s">
        <v>480</v>
      </c>
      <c r="F556" s="22" t="str">
        <f>IF(OR(E556="",E556="!!!"),"",IF(NOT(ISNA(VLOOKUP(E556,E$1:E555,1,FALSE()))),"OLD",IF(AND(E556&lt;&gt;"",E556&lt;&gt;"!!!"),"NEW","")))</f>
        <v>OLD</v>
      </c>
      <c r="G556" s="23" t="s">
        <v>527</v>
      </c>
      <c r="H556" s="24" t="str">
        <f t="shared" ca="1" si="53"/>
        <v/>
      </c>
      <c r="I556" s="25">
        <f>IF(OR(E556="",E556="!!!",F556="NEW"),"",INDEX(B$2:B555,-1+SUMPRODUCT(MAX(ROW(E$2:E555)*(E556=E$2:E555)))))</f>
        <v>0</v>
      </c>
      <c r="J556" s="25">
        <f ca="1">IF(OR(E556="",E556="!!!",F556="NEW"),"",COUNTBLANK(OFFSET(A$1,,,SUMPRODUCT(MAX(ROW(E$2:E556)*(E556=E$2:E556)))))-COUNTBLANK(OFFSET(A$1,,,SUMPRODUCT(MAX(ROW(E$1:E555)*(E2=E$1:E555))))))</f>
        <v>0</v>
      </c>
      <c r="K556" s="25">
        <f ca="1">IF(OR(E556="",E556="!!!",F556="NEW"),"",INDEX(J$1:J555,SUMPRODUCT(MAX(ROW(E$1:E555)*(E556=E$1:E555)))))</f>
        <v>0</v>
      </c>
      <c r="L556" s="26"/>
    </row>
    <row r="557" spans="1:12" x14ac:dyDescent="0.3">
      <c r="A557" t="s">
        <v>245</v>
      </c>
      <c r="E557" s="21" t="str">
        <f t="shared" si="52"/>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53"/>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208</v>
      </c>
      <c r="E558" s="21" t="str">
        <f t="shared" si="52"/>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53"/>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443</v>
      </c>
      <c r="B559" s="20" t="s">
        <v>144</v>
      </c>
      <c r="C559" s="20" t="s">
        <v>158</v>
      </c>
      <c r="D559" s="20" t="s">
        <v>146</v>
      </c>
      <c r="E559" s="21"/>
      <c r="F559" s="22" t="s">
        <v>513</v>
      </c>
      <c r="G559" s="23" t="str">
        <f>IF(OR(E559="",E559="!!!"),"",IF(OR(J559=0,AND(J559=1,K559=1),AND(J559=1,I559="SBJ"),AND(J559=1,I559=0)),"?IN_FOCUS",IF(J559&lt;=2,"?ACTIVATED",IF(J559&lt;&gt;"","?FAMILIAR",IF(F559="NEW",IF(ISNA(VLOOKUP(E559,#REF!,1,FALSE())),"?TYPE_IDENTIFIABLE","?REFERENTIAL"),"_")))))</f>
        <v/>
      </c>
      <c r="H559" s="24" t="str">
        <f t="shared" ca="1" si="53"/>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444</v>
      </c>
      <c r="E560" s="21" t="str">
        <f t="shared" si="52"/>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53"/>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445</v>
      </c>
      <c r="E561" s="21" t="str">
        <f t="shared" si="52"/>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53"/>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242</v>
      </c>
      <c r="B562" s="20" t="s">
        <v>157</v>
      </c>
      <c r="C562" s="20" t="s">
        <v>201</v>
      </c>
      <c r="D562" s="20" t="s">
        <v>146</v>
      </c>
      <c r="E562" s="21" t="s">
        <v>480</v>
      </c>
      <c r="F562" s="22" t="str">
        <f>IF(OR(E562="",E562="!!!"),"",IF(NOT(ISNA(VLOOKUP(E562,E$1:E561,1,FALSE()))),"OLD",IF(AND(E562&lt;&gt;"",E562&lt;&gt;"!!!"),"NEW","")))</f>
        <v>OLD</v>
      </c>
      <c r="G562" s="23" t="s">
        <v>527</v>
      </c>
      <c r="H562" s="24" t="str">
        <f t="shared" ca="1" si="53"/>
        <v/>
      </c>
      <c r="I562" s="25" t="str">
        <f>IF(OR(E562="",E562="!!!",F562="NEW"),"",INDEX(B$2:B561,-1+SUMPRODUCT(MAX(ROW(E$2:E561)*(E562=E$2:E561)))))</f>
        <v>other</v>
      </c>
      <c r="J562" s="25">
        <f ca="1">IF(OR(E562="",E562="!!!",F562="NEW"),"",COUNTBLANK(OFFSET(A$1,,,SUMPRODUCT(MAX(ROW(E$2:E562)*(E562=E$2:E562)))))-COUNTBLANK(OFFSET(A$1,,,SUMPRODUCT(MAX(ROW(E$1:E561)*(E2=E$1:E561))))))</f>
        <v>0</v>
      </c>
      <c r="K562" s="25">
        <f ca="1">IF(OR(E562="",E562="!!!",F562="NEW"),"",INDEX(J$1:J561,SUMPRODUCT(MAX(ROW(E$1:E561)*(E562=E$1:E561)))))</f>
        <v>0</v>
      </c>
      <c r="L562" s="26"/>
    </row>
    <row r="563" spans="1:12" x14ac:dyDescent="0.3">
      <c r="A563" t="s">
        <v>152</v>
      </c>
      <c r="B563" s="20" t="s">
        <v>157</v>
      </c>
      <c r="C563" s="20" t="s">
        <v>145</v>
      </c>
      <c r="D563" s="20" t="s">
        <v>146</v>
      </c>
      <c r="E563" s="21" t="s">
        <v>481</v>
      </c>
      <c r="F563" s="22" t="str">
        <f>IF(OR(E563="",E563="!!!"),"",IF(NOT(ISNA(VLOOKUP(E563,E$1:E562,1,FALSE()))),"OLD",IF(AND(E563&lt;&gt;"",E563&lt;&gt;"!!!"),"NEW","")))</f>
        <v>OLD</v>
      </c>
      <c r="G563" s="23" t="s">
        <v>527</v>
      </c>
      <c r="H563" s="24" t="s">
        <v>138</v>
      </c>
      <c r="I563" s="25" t="str">
        <f>IF(OR(E563="",E563="!!!",F563="NEW"),"",INDEX(B$2:B562,-1+SUMPRODUCT(MAX(ROW(E$2:E562)*(E563=E$2:E562)))))</f>
        <v>SBJ</v>
      </c>
      <c r="J563" s="25">
        <f ca="1">IF(OR(E563="",E563="!!!",F563="NEW"),"",COUNTBLANK(OFFSET(A$1,,,SUMPRODUCT(MAX(ROW(E$2:E563)*(E563=E$2:E563)))))-COUNTBLANK(OFFSET(A$1,,,SUMPRODUCT(MAX(ROW(E$1:E562)*(E2=E$1:E562))))))</f>
        <v>0</v>
      </c>
      <c r="K563" s="25">
        <f ca="1">IF(OR(E563="",E563="!!!",F563="NEW"),"",INDEX(J$1:J562,SUMPRODUCT(MAX(ROW(E$1:E562)*(E563=E$1:E562)))))</f>
        <v>0</v>
      </c>
      <c r="L563" s="26"/>
    </row>
    <row r="564" spans="1:12" x14ac:dyDescent="0.3">
      <c r="A564" t="s">
        <v>212</v>
      </c>
      <c r="E564" s="21" t="str">
        <f t="shared" si="52"/>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53"/>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446</v>
      </c>
      <c r="B565" s="20" t="s">
        <v>144</v>
      </c>
      <c r="C565" s="20" t="s">
        <v>223</v>
      </c>
      <c r="D565" s="20" t="s">
        <v>146</v>
      </c>
      <c r="E565" s="21"/>
      <c r="F565" s="22" t="s">
        <v>484</v>
      </c>
      <c r="G565" s="23" t="str">
        <f>IF(OR(E565="",E565="!!!"),"",IF(OR(J565=0,AND(J565=1,K565=1),AND(J565=1,I565="SBJ"),AND(J565=1,I565=0)),"?IN_FOCUS",IF(J565&lt;=2,"?ACTIVATED",IF(J565&lt;&gt;"","?FAMILIAR",IF(F565="NEW",IF(ISNA(VLOOKUP(E565,#REF!,1,FALSE())),"?TYPE_IDENTIFIABLE","?REFERENTIAL"),"_")))))</f>
        <v/>
      </c>
      <c r="H565" s="24" t="str">
        <f t="shared" ca="1" si="53"/>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177</v>
      </c>
      <c r="E566" s="21" t="str">
        <f t="shared" si="52"/>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53"/>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447</v>
      </c>
      <c r="E567" s="21" t="str">
        <f t="shared" si="52"/>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53"/>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448</v>
      </c>
      <c r="B568" s="20" t="s">
        <v>144</v>
      </c>
      <c r="C568" s="20" t="s">
        <v>172</v>
      </c>
      <c r="E568" s="21" t="str">
        <f t="shared" si="52"/>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53"/>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202</v>
      </c>
      <c r="E569" s="21" t="str">
        <f t="shared" si="52"/>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53"/>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449</v>
      </c>
      <c r="B570" s="20" t="s">
        <v>301</v>
      </c>
      <c r="E570" s="21" t="str">
        <f t="shared" si="52"/>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53"/>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242</v>
      </c>
      <c r="B571" s="20" t="s">
        <v>222</v>
      </c>
      <c r="C571" s="20" t="s">
        <v>201</v>
      </c>
      <c r="D571" s="20" t="s">
        <v>146</v>
      </c>
      <c r="E571" s="21" t="s">
        <v>480</v>
      </c>
      <c r="F571" s="22" t="str">
        <f>IF(OR(E571="",E571="!!!"),"",IF(NOT(ISNA(VLOOKUP(E571,E$1:E570,1,FALSE()))),"OLD",IF(AND(E571&lt;&gt;"",E571&lt;&gt;"!!!"),"NEW","")))</f>
        <v>OLD</v>
      </c>
      <c r="G571" s="23" t="s">
        <v>527</v>
      </c>
      <c r="H571" s="24" t="str">
        <f t="shared" ca="1" si="53"/>
        <v/>
      </c>
      <c r="I571" s="25" t="str">
        <f>IF(OR(E571="",E571="!!!",F571="NEW"),"",INDEX(B$2:B570,-1+SUMPRODUCT(MAX(ROW(E$2:E570)*(E571=E$2:E570)))))</f>
        <v>SBJ</v>
      </c>
      <c r="J571" s="25">
        <f ca="1">IF(OR(E571="",E571="!!!",F571="NEW"),"",COUNTBLANK(OFFSET(A$1,,,SUMPRODUCT(MAX(ROW(E$2:E571)*(E571=E$2:E571)))))-COUNTBLANK(OFFSET(A$1,,,SUMPRODUCT(MAX(ROW(E$1:E570)*(E2=E$1:E570))))))</f>
        <v>0</v>
      </c>
      <c r="K571" s="25">
        <f ca="1">IF(OR(E571="",E571="!!!",F571="NEW"),"",INDEX(J$1:J570,SUMPRODUCT(MAX(ROW(E$1:E570)*(E571=E$1:E570)))))</f>
        <v>0</v>
      </c>
      <c r="L571" s="26"/>
    </row>
    <row r="572" spans="1:12" x14ac:dyDescent="0.3">
      <c r="A572" t="s">
        <v>245</v>
      </c>
      <c r="E572" s="21" t="str">
        <f t="shared" si="52"/>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53"/>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185</v>
      </c>
      <c r="E573" s="21" t="str">
        <f t="shared" si="52"/>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53"/>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450</v>
      </c>
      <c r="E574" s="21" t="str">
        <f t="shared" si="52"/>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53"/>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451</v>
      </c>
      <c r="E575" s="21" t="str">
        <f t="shared" si="52"/>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53"/>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167</v>
      </c>
      <c r="E576" s="21" t="str">
        <f t="shared" si="52"/>
        <v/>
      </c>
      <c r="F576" s="22" t="str">
        <f>IF(OR(E576="",E576="!!!"),"",IF(NOT(ISNA(VLOOKUP(E576,E$1:E575,1,FALSE()))),"OLD",IF(AND(E576&lt;&gt;"",E576&lt;&gt;"!!!"),"NEW","")))</f>
        <v/>
      </c>
      <c r="G576" s="23" t="str">
        <f>IF(OR(E576="",E576="!!!"),"",IF(OR(J576=0,AND(J576=1,K576=1),AND(J576=1,I576="SBJ"),AND(J576=1,I576=0)),"?IN_FOCUS",IF(J576&lt;=2,"?ACTIVATED",IF(J576&lt;&gt;"","?FAMILIAR",IF(F576="NEW",IF(ISNA(VLOOKUP(E576,#REF!,1,FALSE())),"?TYPE_IDENTIFIABLE","?REFERENTIAL"),"_")))))</f>
        <v/>
      </c>
      <c r="H576" s="24" t="str">
        <f t="shared" ca="1" si="53"/>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8" spans="1:12" x14ac:dyDescent="0.3">
      <c r="A578" t="s">
        <v>452</v>
      </c>
    </row>
    <row r="579" spans="1:12" x14ac:dyDescent="0.3">
      <c r="A579" t="s">
        <v>453</v>
      </c>
      <c r="E579" s="21" t="str">
        <f t="shared" ref="E579:E605" si="54">IF(D579="?OLD","!!!","")</f>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ref="H579:H605" ca="1" si="55">IF(J579&lt;&gt;1,"",IF(I579="SBJ","CB","?"))</f>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182</v>
      </c>
      <c r="E580" s="21" t="str">
        <f t="shared" si="54"/>
        <v/>
      </c>
      <c r="F580" s="22" t="str">
        <f>IF(OR(E580="",E580="!!!"),"",IF(NOT(ISNA(VLOOKUP(E580,E$1:E579,1,FALSE()))),"OLD",IF(AND(E580&lt;&gt;"",E580&lt;&gt;"!!!"),"NEW","")))</f>
        <v/>
      </c>
      <c r="G580" s="23" t="str">
        <f>IF(OR(E580="",E580="!!!"),"",IF(OR(J580=0,AND(J580=1,K580=1),AND(J580=1,I580="SBJ"),AND(J580=1,I580=0)),"?IN_FOCUS",IF(J580&lt;=2,"?ACTIVATED",IF(J580&lt;&gt;"","?FAMILIAR",IF(F580="NEW",IF(ISNA(VLOOKUP(E580,#REF!,1,FALSE())),"?TYPE_IDENTIFIABLE","?REFERENTIAL"),"_")))))</f>
        <v/>
      </c>
      <c r="H580" s="24" t="str">
        <f t="shared" ca="1" si="55"/>
        <v/>
      </c>
      <c r="I580" s="25" t="str">
        <f>IF(OR(E580="",E580="!!!",F580="NEW"),"",INDEX(B$2:B579,-1+SUMPRODUCT(MAX(ROW(E$2:E579)*(E580=E$2:E579)))))</f>
        <v/>
      </c>
      <c r="J580" s="25" t="str">
        <f ca="1">IF(OR(E580="",E580="!!!",F580="NEW"),"",COUNTBLANK(OFFSET(A$1,,,SUMPRODUCT(MAX(ROW(E$2:E580)*(E580=E$2:E580)))))-COUNTBLANK(OFFSET(A$1,,,SUMPRODUCT(MAX(ROW(E$1:E579)*(E2=E$1:E579))))))</f>
        <v/>
      </c>
      <c r="K580" s="25" t="str">
        <f>IF(OR(E580="",E580="!!!",F580="NEW"),"",INDEX(J$1:J579,SUMPRODUCT(MAX(ROW(E$1:E579)*(E580=E$1:E579)))))</f>
        <v/>
      </c>
      <c r="L580" s="26"/>
    </row>
    <row r="581" spans="1:12" x14ac:dyDescent="0.3">
      <c r="A581" t="s">
        <v>454</v>
      </c>
      <c r="E581" s="21" t="str">
        <f t="shared" si="54"/>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ca="1" si="55"/>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202</v>
      </c>
      <c r="E582" s="21" t="str">
        <f t="shared" si="54"/>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55"/>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203</v>
      </c>
      <c r="E583" s="21" t="str">
        <f t="shared" si="54"/>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55"/>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152</v>
      </c>
      <c r="B584" s="20" t="s">
        <v>163</v>
      </c>
      <c r="C584" s="20" t="s">
        <v>145</v>
      </c>
      <c r="D584" s="20" t="s">
        <v>146</v>
      </c>
      <c r="E584" s="21" t="s">
        <v>481</v>
      </c>
      <c r="F584" s="22" t="str">
        <f>IF(OR(E584="",E584="!!!"),"",IF(NOT(ISNA(VLOOKUP(E584,E$1:E583,1,FALSE()))),"OLD",IF(AND(E584&lt;&gt;"",E584&lt;&gt;"!!!"),"NEW","")))</f>
        <v>OLD</v>
      </c>
      <c r="G584" s="23" t="s">
        <v>527</v>
      </c>
      <c r="H584" s="24" t="str">
        <f t="shared" ca="1" si="55"/>
        <v/>
      </c>
      <c r="I584" s="25" t="str">
        <f>IF(OR(E584="",E584="!!!",F584="NEW"),"",INDEX(B$2:B583,-1+SUMPRODUCT(MAX(ROW(E$2:E583)*(E584=E$2:E583)))))</f>
        <v>SBJ</v>
      </c>
      <c r="J584" s="25">
        <f ca="1">IF(OR(E584="",E584="!!!",F584="NEW"),"",COUNTBLANK(OFFSET(A$1,,,SUMPRODUCT(MAX(ROW(E$2:E584)*(E584=E$2:E584)))))-COUNTBLANK(OFFSET(A$1,,,SUMPRODUCT(MAX(ROW(E$1:E583)*(E2=E$1:E583))))))</f>
        <v>0</v>
      </c>
      <c r="K584" s="25">
        <f ca="1">IF(OR(E584="",E584="!!!",F584="NEW"),"",INDEX(J$1:J583,SUMPRODUCT(MAX(ROW(E$1:E583)*(E584=E$1:E583)))))</f>
        <v>0</v>
      </c>
      <c r="L584" s="26"/>
    </row>
    <row r="585" spans="1:12" x14ac:dyDescent="0.3">
      <c r="A585" t="s">
        <v>455</v>
      </c>
      <c r="E585" s="21" t="str">
        <f t="shared" si="54"/>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55"/>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327</v>
      </c>
      <c r="B586" s="20" t="s">
        <v>285</v>
      </c>
      <c r="C586" s="20" t="s">
        <v>145</v>
      </c>
      <c r="D586" s="20" t="s">
        <v>146</v>
      </c>
      <c r="E586" s="21" t="s">
        <v>480</v>
      </c>
      <c r="F586" s="22" t="str">
        <f>IF(OR(E586="",E586="!!!"),"",IF(NOT(ISNA(VLOOKUP(E586,E$1:E585,1,FALSE()))),"OLD",IF(AND(E586&lt;&gt;"",E586&lt;&gt;"!!!"),"NEW","")))</f>
        <v>OLD</v>
      </c>
      <c r="G586" s="23" t="s">
        <v>527</v>
      </c>
      <c r="H586" s="24" t="s">
        <v>138</v>
      </c>
      <c r="I586" s="25" t="str">
        <f>IF(OR(E586="",E586="!!!",F586="NEW"),"",INDEX(B$2:B585,-1+SUMPRODUCT(MAX(ROW(E$2:E585)*(E586=E$2:E585)))))</f>
        <v>SBJ_3</v>
      </c>
      <c r="J586" s="25">
        <f ca="1">IF(OR(E586="",E586="!!!",F586="NEW"),"",COUNTBLANK(OFFSET(A$1,,,SUMPRODUCT(MAX(ROW(E$2:E586)*(E586=E$2:E586)))))-COUNTBLANK(OFFSET(A$1,,,SUMPRODUCT(MAX(ROW(E$1:E585)*(E2=E$1:E585))))))</f>
        <v>0</v>
      </c>
      <c r="K586" s="25">
        <f ca="1">IF(OR(E586="",E586="!!!",F586="NEW"),"",INDEX(J$1:J585,SUMPRODUCT(MAX(ROW(E$1:E585)*(E586=E$1:E585)))))</f>
        <v>0</v>
      </c>
      <c r="L586" s="26"/>
    </row>
    <row r="587" spans="1:12" x14ac:dyDescent="0.3">
      <c r="A587" t="s">
        <v>456</v>
      </c>
      <c r="E587" s="21" t="str">
        <f t="shared" si="54"/>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55"/>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457</v>
      </c>
      <c r="B588" s="20" t="s">
        <v>301</v>
      </c>
      <c r="C588" s="20" t="s">
        <v>150</v>
      </c>
      <c r="E588" s="21" t="s">
        <v>523</v>
      </c>
      <c r="F588" s="22" t="str">
        <f>IF(OR(E588="",E588="!!!"),"",IF(NOT(ISNA(VLOOKUP(E588,E$1:E587,1,FALSE()))),"OLD",IF(AND(E588&lt;&gt;"",E588&lt;&gt;"!!!"),"NEW","")))</f>
        <v>NEW</v>
      </c>
      <c r="G588" s="23" t="s">
        <v>483</v>
      </c>
      <c r="H588" s="24" t="str">
        <f t="shared" ca="1" si="55"/>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156</v>
      </c>
      <c r="B589" s="20" t="s">
        <v>144</v>
      </c>
      <c r="C589" s="20" t="s">
        <v>150</v>
      </c>
      <c r="E589" s="21" t="str">
        <f t="shared" si="54"/>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55"/>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177</v>
      </c>
      <c r="E590" s="21" t="str">
        <f t="shared" si="54"/>
        <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55"/>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1" spans="1:12" x14ac:dyDescent="0.3">
      <c r="A591" t="s">
        <v>458</v>
      </c>
      <c r="B591" s="20" t="s">
        <v>165</v>
      </c>
      <c r="C591" s="20" t="s">
        <v>145</v>
      </c>
      <c r="D591" s="20" t="s">
        <v>146</v>
      </c>
      <c r="E591" s="21" t="s">
        <v>479</v>
      </c>
      <c r="F591" s="22" t="str">
        <f>IF(OR(E591="",E591="!!!"),"",IF(NOT(ISNA(VLOOKUP(E591,E$1:E590,1,FALSE()))),"OLD",IF(AND(E591&lt;&gt;"",E591&lt;&gt;"!!!"),"NEW","")))</f>
        <v>OLD</v>
      </c>
      <c r="G591" s="23" t="s">
        <v>482</v>
      </c>
      <c r="H591" s="24" t="str">
        <f t="shared" ca="1" si="55"/>
        <v/>
      </c>
      <c r="I591" s="25" t="str">
        <f>IF(OR(E591="",E591="!!!",F591="NEW"),"",INDEX(B$2:B590,-1+SUMPRODUCT(MAX(ROW(E$2:E590)*(E591=E$2:E590)))))</f>
        <v>other_2</v>
      </c>
      <c r="J591" s="25">
        <f ca="1">IF(OR(E591="",E591="!!!",F591="NEW"),"",COUNTBLANK(OFFSET(A$1,,,SUMPRODUCT(MAX(ROW(E$2:E591)*(E591=E$2:E591)))))-COUNTBLANK(OFFSET(A$1,,,SUMPRODUCT(MAX(ROW(E$1:E590)*(E2=E$1:E590))))))</f>
        <v>0</v>
      </c>
      <c r="K591" s="25">
        <f ca="1">IF(OR(E591="",E591="!!!",F591="NEW"),"",INDEX(J$1:J590,SUMPRODUCT(MAX(ROW(E$1:E590)*(E591=E$1:E590)))))</f>
        <v>0</v>
      </c>
      <c r="L591" s="26"/>
    </row>
    <row r="592" spans="1:12" x14ac:dyDescent="0.3">
      <c r="A592" t="s">
        <v>128</v>
      </c>
      <c r="E592" s="21" t="str">
        <f t="shared" si="54"/>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ca="1" si="55"/>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407</v>
      </c>
      <c r="E593" s="21" t="str">
        <f t="shared" si="54"/>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55"/>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202</v>
      </c>
      <c r="E594" s="21" t="str">
        <f t="shared" si="54"/>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55"/>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459</v>
      </c>
      <c r="E595" s="21" t="str">
        <f t="shared" si="54"/>
        <v/>
      </c>
      <c r="F595" s="22" t="str">
        <f>IF(OR(E595="",E595="!!!"),"",IF(NOT(ISNA(VLOOKUP(E595,E$1:E594,1,FALSE()))),"OLD",IF(AND(E595&lt;&gt;"",E595&lt;&gt;"!!!"),"NEW","")))</f>
        <v/>
      </c>
      <c r="G595" s="23" t="str">
        <f>IF(OR(E595="",E595="!!!"),"",IF(OR(J595=0,AND(J595=1,K595=1),AND(J595=1,I595="SBJ"),AND(J595=1,I595=0)),"?IN_FOCUS",IF(J595&lt;=2,"?ACTIVATED",IF(J595&lt;&gt;"","?FAMILIAR",IF(F595="NEW",IF(ISNA(VLOOKUP(E595,#REF!,1,FALSE())),"?TYPE_IDENTIFIABLE","?REFERENTIAL"),"_")))))</f>
        <v/>
      </c>
      <c r="H595" s="24" t="str">
        <f t="shared" ca="1" si="55"/>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row>
    <row r="596" spans="1:12" x14ac:dyDescent="0.3">
      <c r="A596" t="s">
        <v>460</v>
      </c>
      <c r="E596" s="21" t="str">
        <f t="shared" si="54"/>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55"/>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461</v>
      </c>
      <c r="E597" s="21" t="str">
        <f t="shared" si="54"/>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55"/>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457</v>
      </c>
      <c r="B598" s="20" t="s">
        <v>163</v>
      </c>
      <c r="C598" s="20" t="s">
        <v>197</v>
      </c>
      <c r="E598" s="21" t="s">
        <v>524</v>
      </c>
      <c r="F598" s="22" t="str">
        <f>IF(OR(E598="",E598="!!!"),"",IF(NOT(ISNA(VLOOKUP(E598,E$1:E597,1,FALSE()))),"OLD",IF(AND(E598&lt;&gt;"",E598&lt;&gt;"!!!"),"NEW","")))</f>
        <v>NEW</v>
      </c>
      <c r="G598" s="23" t="s">
        <v>483</v>
      </c>
      <c r="H598" s="24" t="str">
        <f t="shared" ca="1" si="55"/>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327</v>
      </c>
      <c r="B599" s="20" t="s">
        <v>301</v>
      </c>
      <c r="C599" s="20" t="s">
        <v>145</v>
      </c>
      <c r="D599" s="20" t="s">
        <v>146</v>
      </c>
      <c r="E599" s="21" t="s">
        <v>480</v>
      </c>
      <c r="F599" s="22" t="str">
        <f>IF(OR(E599="",E599="!!!"),"",IF(NOT(ISNA(VLOOKUP(E599,E$1:E598,1,FALSE()))),"OLD",IF(AND(E599&lt;&gt;"",E599&lt;&gt;"!!!"),"NEW","")))</f>
        <v>OLD</v>
      </c>
      <c r="G599" s="23" t="s">
        <v>527</v>
      </c>
      <c r="H599" s="24" t="str">
        <f t="shared" ca="1" si="55"/>
        <v/>
      </c>
      <c r="I599" s="25" t="str">
        <f>IF(OR(E599="",E599="!!!",F599="NEW"),"",INDEX(B$2:B598,-1+SUMPRODUCT(MAX(ROW(E$2:E598)*(E599=E$2:E598)))))</f>
        <v>other_4</v>
      </c>
      <c r="J599" s="25">
        <f ca="1">IF(OR(E599="",E599="!!!",F599="NEW"),"",COUNTBLANK(OFFSET(A$1,,,SUMPRODUCT(MAX(ROW(E$2:E599)*(E599=E$2:E599)))))-COUNTBLANK(OFFSET(A$1,,,SUMPRODUCT(MAX(ROW(E$1:E598)*(E2=E$1:E598))))))</f>
        <v>0</v>
      </c>
      <c r="K599" s="25">
        <f ca="1">IF(OR(E599="",E599="!!!",F599="NEW"),"",INDEX(J$1:J598,SUMPRODUCT(MAX(ROW(E$1:E598)*(E599=E$1:E598)))))</f>
        <v>0</v>
      </c>
      <c r="L599" s="26"/>
    </row>
    <row r="600" spans="1:12" x14ac:dyDescent="0.3">
      <c r="A600" t="s">
        <v>462</v>
      </c>
      <c r="E600" s="21" t="str">
        <f t="shared" si="54"/>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55"/>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208</v>
      </c>
      <c r="E601" s="21" t="str">
        <f t="shared" si="54"/>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55"/>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463</v>
      </c>
      <c r="B602" s="20" t="s">
        <v>165</v>
      </c>
      <c r="C602" s="20" t="s">
        <v>158</v>
      </c>
      <c r="D602" s="20" t="s">
        <v>146</v>
      </c>
      <c r="E602" s="21" t="s">
        <v>525</v>
      </c>
      <c r="F602" s="22" t="str">
        <f>IF(OR(E602="",E602="!!!"),"",IF(NOT(ISNA(VLOOKUP(E602,E$1:E601,1,FALSE()))),"OLD",IF(AND(E602&lt;&gt;"",E602&lt;&gt;"!!!"),"NEW","")))</f>
        <v>NEW</v>
      </c>
      <c r="G602" s="23" t="s">
        <v>482</v>
      </c>
      <c r="H602" s="24" t="str">
        <f t="shared" ca="1" si="55"/>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464</v>
      </c>
      <c r="E603" s="21" t="str">
        <f t="shared" si="54"/>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55"/>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465</v>
      </c>
      <c r="E604" s="21" t="str">
        <f t="shared" si="54"/>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55"/>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167</v>
      </c>
      <c r="E605" s="21" t="str">
        <f t="shared" si="54"/>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55"/>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7" spans="1:12" x14ac:dyDescent="0.3">
      <c r="A607" t="s">
        <v>466</v>
      </c>
    </row>
    <row r="608" spans="1:12" x14ac:dyDescent="0.3">
      <c r="A608" t="s">
        <v>352</v>
      </c>
      <c r="E608" s="21" t="str">
        <f t="shared" ref="E608:E623" si="56">IF(D608="?OLD","!!!","")</f>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ref="H608:H623" ca="1" si="57">IF(J608&lt;&gt;1,"",IF(I608="SBJ","CB","?"))</f>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467</v>
      </c>
      <c r="B609" s="20" t="s">
        <v>144</v>
      </c>
      <c r="C609" s="20" t="s">
        <v>317</v>
      </c>
      <c r="D609" s="20" t="s">
        <v>146</v>
      </c>
      <c r="E609" s="21"/>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ca="1" si="57"/>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307</v>
      </c>
      <c r="B610" s="20" t="s">
        <v>149</v>
      </c>
      <c r="C610" s="20" t="s">
        <v>319</v>
      </c>
      <c r="D610" s="20" t="s">
        <v>146</v>
      </c>
      <c r="E610" s="21" t="s">
        <v>522</v>
      </c>
      <c r="F610" s="22" t="str">
        <f>IF(OR(E610="",E610="!!!"),"",IF(NOT(ISNA(VLOOKUP(E610,E$1:E609,1,FALSE()))),"OLD",IF(AND(E610&lt;&gt;"",E610&lt;&gt;"!!!"),"NEW","")))</f>
        <v>OLD</v>
      </c>
      <c r="G610" s="23" t="s">
        <v>482</v>
      </c>
      <c r="H610" s="24" t="str">
        <f t="shared" ca="1" si="57"/>
        <v/>
      </c>
      <c r="I610" s="25" t="str">
        <f>IF(OR(E610="",E610="!!!",F610="NEW"),"",INDEX(B$2:B609,-1+SUMPRODUCT(MAX(ROW(E$2:E609)*(E610=E$2:E609)))))</f>
        <v>other</v>
      </c>
      <c r="J610" s="25">
        <f ca="1">IF(OR(E610="",E610="!!!",F610="NEW"),"",COUNTBLANK(OFFSET(A$1,,,SUMPRODUCT(MAX(ROW(E$2:E610)*(E610=E$2:E610)))))-COUNTBLANK(OFFSET(A$1,,,SUMPRODUCT(MAX(ROW(E$1:E609)*(E2=E$1:E609))))))</f>
        <v>0</v>
      </c>
      <c r="K610" s="25" t="str">
        <f ca="1">IF(OR(E610="",E610="!!!",F610="NEW"),"",INDEX(J$1:J609,SUMPRODUCT(MAX(ROW(E$1:E609)*(E610=E$1:E609)))))</f>
        <v/>
      </c>
      <c r="L610" s="26"/>
    </row>
    <row r="611" spans="1:12" x14ac:dyDescent="0.3">
      <c r="A611" t="s">
        <v>182</v>
      </c>
      <c r="E611" s="21" t="str">
        <f t="shared" si="56"/>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57"/>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177</v>
      </c>
      <c r="E612" s="21" t="str">
        <f t="shared" si="56"/>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57"/>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341</v>
      </c>
      <c r="E613" s="21" t="str">
        <f t="shared" si="56"/>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57"/>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468</v>
      </c>
      <c r="E614" s="21" t="str">
        <f t="shared" si="56"/>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57"/>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202</v>
      </c>
      <c r="E615" s="21" t="str">
        <f t="shared" si="56"/>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57"/>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469</v>
      </c>
      <c r="E616" s="21" t="str">
        <f t="shared" si="56"/>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57"/>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470</v>
      </c>
      <c r="B617" s="20" t="s">
        <v>149</v>
      </c>
      <c r="C617" s="20" t="s">
        <v>197</v>
      </c>
      <c r="E617" s="21" t="s">
        <v>526</v>
      </c>
      <c r="F617" s="22" t="str">
        <f>IF(OR(E617="",E617="!!!"),"",IF(NOT(ISNA(VLOOKUP(E617,E$1:E616,1,FALSE()))),"OLD",IF(AND(E617&lt;&gt;"",E617&lt;&gt;"!!!"),"NEW","")))</f>
        <v>NEW</v>
      </c>
      <c r="G617" s="23" t="s">
        <v>483</v>
      </c>
      <c r="H617" s="24" t="str">
        <f t="shared" ca="1" si="57"/>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327</v>
      </c>
      <c r="B618" s="20" t="s">
        <v>144</v>
      </c>
      <c r="C618" s="20" t="s">
        <v>145</v>
      </c>
      <c r="D618" s="20" t="s">
        <v>146</v>
      </c>
      <c r="E618" s="21" t="s">
        <v>480</v>
      </c>
      <c r="F618" s="22" t="str">
        <f>IF(OR(E618="",E618="!!!"),"",IF(NOT(ISNA(VLOOKUP(E618,E$1:E617,1,FALSE()))),"OLD",IF(AND(E618&lt;&gt;"",E618&lt;&gt;"!!!"),"NEW","")))</f>
        <v>OLD</v>
      </c>
      <c r="G618" s="23" t="s">
        <v>527</v>
      </c>
      <c r="H618" s="24" t="s">
        <v>138</v>
      </c>
      <c r="I618" s="25" t="str">
        <f>IF(OR(E618="",E618="!!!",F618="NEW"),"",INDEX(B$2:B617,-1+SUMPRODUCT(MAX(ROW(E$2:E617)*(E618=E$2:E617)))))</f>
        <v>OBJ_2</v>
      </c>
      <c r="J618" s="25">
        <f ca="1">IF(OR(E618="",E618="!!!",F618="NEW"),"",COUNTBLANK(OFFSET(A$1,,,SUMPRODUCT(MAX(ROW(E$2:E618)*(E618=E$2:E618)))))-COUNTBLANK(OFFSET(A$1,,,SUMPRODUCT(MAX(ROW(E$1:E617)*(E2=E$1:E617))))))</f>
        <v>0</v>
      </c>
      <c r="K618" s="25">
        <f ca="1">IF(OR(E618="",E618="!!!",F618="NEW"),"",INDEX(J$1:J617,SUMPRODUCT(MAX(ROW(E$1:E617)*(E618=E$1:E617)))))</f>
        <v>0</v>
      </c>
      <c r="L618" s="26"/>
    </row>
    <row r="619" spans="1:12" x14ac:dyDescent="0.3">
      <c r="A619" t="s">
        <v>471</v>
      </c>
      <c r="E619" s="21" t="str">
        <f t="shared" si="56"/>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57"/>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202</v>
      </c>
      <c r="E620" s="21" t="str">
        <f t="shared" si="56"/>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57"/>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472</v>
      </c>
      <c r="B621" s="20" t="s">
        <v>149</v>
      </c>
      <c r="C621" s="20" t="s">
        <v>145</v>
      </c>
      <c r="D621" s="20" t="s">
        <v>146</v>
      </c>
      <c r="E621" s="21"/>
      <c r="F621" s="22" t="s">
        <v>484</v>
      </c>
      <c r="G621" s="23"/>
      <c r="H621" s="24" t="str">
        <f t="shared" ca="1" si="57"/>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473</v>
      </c>
      <c r="E622" s="21" t="str">
        <f t="shared" si="56"/>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57"/>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167</v>
      </c>
      <c r="E623" s="21" t="str">
        <f t="shared" si="56"/>
        <v/>
      </c>
      <c r="F623" s="22" t="str">
        <f>IF(OR(E623="",E623="!!!"),"",IF(NOT(ISNA(VLOOKUP(E623,E$1:E622,1,FALSE()))),"OLD",IF(AND(E623&lt;&gt;"",E623&lt;&gt;"!!!"),"NEW","")))</f>
        <v/>
      </c>
      <c r="G623" s="23" t="str">
        <f>IF(OR(E623="",E623="!!!"),"",IF(OR(J623=0,AND(J623=1,K623=1),AND(J623=1,I623="SBJ"),AND(J623=1,I623=0)),"?IN_FOCUS",IF(J623&lt;=2,"?ACTIVATED",IF(J623&lt;&gt;"","?FAMILIAR",IF(F623="NEW",IF(ISNA(VLOOKUP(E623,#REF!,1,FALSE())),"?TYPE_IDENTIFIABLE","?REFERENTIAL"),"_")))))</f>
        <v/>
      </c>
      <c r="H623" s="24" t="str">
        <f t="shared" ca="1" si="57"/>
        <v/>
      </c>
      <c r="I623" s="25" t="str">
        <f>IF(OR(E623="",E623="!!!",F623="NEW"),"",INDEX(B$2:B622,-1+SUMPRODUCT(MAX(ROW(E$2:E622)*(E623=E$2:E622)))))</f>
        <v/>
      </c>
      <c r="J623" s="25" t="str">
        <f ca="1">IF(OR(E623="",E623="!!!",F623="NEW"),"",COUNTBLANK(OFFSET(A$1,,,SUMPRODUCT(MAX(ROW(E$2:E623)*(E623=E$2:E623)))))-COUNTBLANK(OFFSET(A$1,,,SUMPRODUCT(MAX(ROW(E$1:E622)*(E2=E$1:E622))))))</f>
        <v/>
      </c>
      <c r="K623" s="25" t="str">
        <f>IF(OR(E623="",E623="!!!",F623="NEW"),"",INDEX(J$1:J622,SUMPRODUCT(MAX(ROW(E$1:E622)*(E623=E$1:E622)))))</f>
        <v/>
      </c>
      <c r="L623" s="26"/>
    </row>
    <row r="625" spans="1:12" x14ac:dyDescent="0.3">
      <c r="A625" t="s">
        <v>474</v>
      </c>
    </row>
    <row r="626" spans="1:12" x14ac:dyDescent="0.3">
      <c r="A626" t="s">
        <v>147</v>
      </c>
      <c r="E626" s="21" t="s">
        <v>480</v>
      </c>
      <c r="F626" s="22" t="str">
        <f>IF(OR(E626="",E626="!!!"),"",IF(NOT(ISNA(VLOOKUP(E626,E$1:E625,1,FALSE()))),"OLD",IF(AND(E626&lt;&gt;"",E626&lt;&gt;"!!!"),"NEW","")))</f>
        <v>OLD</v>
      </c>
      <c r="G626" s="23" t="s">
        <v>527</v>
      </c>
      <c r="H626" s="24" t="s">
        <v>138</v>
      </c>
      <c r="I626" s="25" t="str">
        <f>IF(OR(E626="",E626="!!!",F626="NEW"),"",INDEX(B$2:B625,-1+SUMPRODUCT(MAX(ROW(E$2:E625)*(E626=E$2:E625)))))</f>
        <v>other_2</v>
      </c>
      <c r="J626" s="25">
        <f ca="1">IF(OR(E626="",E626="!!!",F626="NEW"),"",COUNTBLANK(OFFSET(A$1,,,SUMPRODUCT(MAX(ROW(E$2:E626)*(E626=E$2:E626)))))-COUNTBLANK(OFFSET(A$1,,,SUMPRODUCT(MAX(ROW(E$1:E625)*(E2=E$1:E625))))))</f>
        <v>0</v>
      </c>
      <c r="K626" s="25">
        <f ca="1">IF(OR(E626="",E626="!!!",F626="NEW"),"",INDEX(J$1:J625,SUMPRODUCT(MAX(ROW(E$1:E625)*(E626=E$1:E625)))))</f>
        <v>0</v>
      </c>
      <c r="L626" s="26"/>
    </row>
    <row r="627" spans="1:12" x14ac:dyDescent="0.3">
      <c r="A627" t="s">
        <v>182</v>
      </c>
      <c r="E627" s="21" t="str">
        <f t="shared" ref="E627:E640" si="58">IF(D627="?OLD","!!!","")</f>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ref="H627:H640" ca="1" si="59">IF(J627&lt;&gt;1,"",IF(I627="SBJ","CB","?"))</f>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428</v>
      </c>
      <c r="B628" s="20" t="s">
        <v>149</v>
      </c>
      <c r="C628" s="20" t="s">
        <v>150</v>
      </c>
      <c r="E628" s="21" t="str">
        <f t="shared" si="58"/>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59"/>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202</v>
      </c>
      <c r="E629" s="21" t="str">
        <f t="shared" si="58"/>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59"/>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475</v>
      </c>
      <c r="E630" s="21" t="str">
        <f t="shared" si="58"/>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59"/>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242</v>
      </c>
      <c r="B631" s="20" t="s">
        <v>222</v>
      </c>
      <c r="C631" s="20" t="s">
        <v>201</v>
      </c>
      <c r="D631" s="20" t="s">
        <v>146</v>
      </c>
      <c r="E631" s="21" t="s">
        <v>480</v>
      </c>
      <c r="F631" s="22" t="str">
        <f>IF(OR(E631="",E631="!!!"),"",IF(NOT(ISNA(VLOOKUP(E631,E$1:E630,1,FALSE()))),"OLD",IF(AND(E631&lt;&gt;"",E631&lt;&gt;"!!!"),"NEW","")))</f>
        <v>OLD</v>
      </c>
      <c r="G631" s="23" t="s">
        <v>527</v>
      </c>
      <c r="H631" s="24" t="str">
        <f t="shared" ca="1" si="59"/>
        <v/>
      </c>
      <c r="I631" s="25">
        <f>IF(OR(E631="",E631="!!!",F631="NEW"),"",INDEX(B$2:B630,-1+SUMPRODUCT(MAX(ROW(E$2:E630)*(E631=E$2:E630)))))</f>
        <v>0</v>
      </c>
      <c r="J631" s="25">
        <f ca="1">IF(OR(E631="",E631="!!!",F631="NEW"),"",COUNTBLANK(OFFSET(A$1,,,SUMPRODUCT(MAX(ROW(E$2:E631)*(E631=E$2:E631)))))-COUNTBLANK(OFFSET(A$1,,,SUMPRODUCT(MAX(ROW(E$1:E630)*(E2=E$1:E630))))))</f>
        <v>0</v>
      </c>
      <c r="K631" s="25">
        <f ca="1">IF(OR(E631="",E631="!!!",F631="NEW"),"",INDEX(J$1:J630,SUMPRODUCT(MAX(ROW(E$1:E630)*(E631=E$1:E630)))))</f>
        <v>0</v>
      </c>
      <c r="L631" s="26"/>
    </row>
    <row r="632" spans="1:12" x14ac:dyDescent="0.3">
      <c r="A632" t="s">
        <v>476</v>
      </c>
      <c r="E632" s="21" t="str">
        <f t="shared" si="58"/>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59"/>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171</v>
      </c>
      <c r="B633" s="20" t="s">
        <v>165</v>
      </c>
      <c r="C633" s="20" t="s">
        <v>172</v>
      </c>
      <c r="E633" s="21" t="str">
        <f t="shared" si="58"/>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59"/>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264</v>
      </c>
      <c r="E634" s="21" t="str">
        <f t="shared" si="58"/>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59"/>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477</v>
      </c>
      <c r="E635" s="21" t="str">
        <f t="shared" si="58"/>
        <v/>
      </c>
      <c r="F635" s="22" t="str">
        <f>IF(OR(E635="",E635="!!!"),"",IF(NOT(ISNA(VLOOKUP(E635,E$1:E634,1,FALSE()))),"OLD",IF(AND(E635&lt;&gt;"",E635&lt;&gt;"!!!"),"NEW","")))</f>
        <v/>
      </c>
      <c r="G635" s="23" t="str">
        <f>IF(OR(E635="",E635="!!!"),"",IF(OR(J635=0,AND(J635=1,K635=1),AND(J635=1,I635="SBJ"),AND(J635=1,I635=0)),"?IN_FOCUS",IF(J635&lt;=2,"?ACTIVATED",IF(J635&lt;&gt;"","?FAMILIAR",IF(F635="NEW",IF(ISNA(VLOOKUP(E635,#REF!,1,FALSE())),"?TYPE_IDENTIFIABLE","?REFERENTIAL"),"_")))))</f>
        <v/>
      </c>
      <c r="H635" s="24" t="str">
        <f t="shared" ca="1" si="59"/>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183</v>
      </c>
      <c r="B636" s="20" t="s">
        <v>285</v>
      </c>
      <c r="C636" s="20" t="s">
        <v>184</v>
      </c>
      <c r="E636" s="21" t="str">
        <f t="shared" si="58"/>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59"/>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185</v>
      </c>
      <c r="E637" s="21" t="str">
        <f t="shared" si="58"/>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59"/>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478</v>
      </c>
      <c r="B638" s="20" t="s">
        <v>165</v>
      </c>
      <c r="C638" s="20" t="s">
        <v>158</v>
      </c>
      <c r="D638" s="20" t="s">
        <v>146</v>
      </c>
      <c r="E638" s="21"/>
      <c r="F638" s="22" t="s">
        <v>484</v>
      </c>
      <c r="G638" s="23" t="str">
        <f>IF(OR(E638="",E638="!!!"),"",IF(OR(J638=0,AND(J638=1,K638=1),AND(J638=1,I638="SBJ"),AND(J638=1,I638=0)),"?IN_FOCUS",IF(J638&lt;=2,"?ACTIVATED",IF(J638&lt;&gt;"","?FAMILIAR",IF(F638="NEW",IF(ISNA(VLOOKUP(E638,#REF!,1,FALSE())),"?TYPE_IDENTIFIABLE","?REFERENTIAL"),"_")))))</f>
        <v/>
      </c>
      <c r="H638" s="24" t="str">
        <f t="shared" ca="1" si="59"/>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182</v>
      </c>
      <c r="E639" s="21" t="str">
        <f t="shared" si="58"/>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59"/>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0" spans="1:12" x14ac:dyDescent="0.3">
      <c r="A640" t="s">
        <v>167</v>
      </c>
      <c r="E640" s="21" t="str">
        <f t="shared" si="58"/>
        <v/>
      </c>
      <c r="F640" s="22" t="str">
        <f>IF(OR(E640="",E640="!!!"),"",IF(NOT(ISNA(VLOOKUP(E640,E$1:E639,1,FALSE()))),"OLD",IF(AND(E640&lt;&gt;"",E640&lt;&gt;"!!!"),"NEW","")))</f>
        <v/>
      </c>
      <c r="G640" s="23" t="str">
        <f>IF(OR(E640="",E640="!!!"),"",IF(OR(J640=0,AND(J640=1,K640=1),AND(J640=1,I640="SBJ"),AND(J640=1,I640=0)),"?IN_FOCUS",IF(J640&lt;=2,"?ACTIVATED",IF(J640&lt;&gt;"","?FAMILIAR",IF(F640="NEW",IF(ISNA(VLOOKUP(E640,#REF!,1,FALSE())),"?TYPE_IDENTIFIABLE","?REFERENTIAL"),"_")))))</f>
        <v/>
      </c>
      <c r="H640" s="24" t="str">
        <f t="shared" ca="1" si="59"/>
        <v/>
      </c>
      <c r="I640" s="25" t="str">
        <f>IF(OR(E640="",E640="!!!",F640="NEW"),"",INDEX(B$2:B639,-1+SUMPRODUCT(MAX(ROW(E$2:E639)*(E640=E$2:E639)))))</f>
        <v/>
      </c>
      <c r="J640" s="25" t="str">
        <f ca="1">IF(OR(E640="",E640="!!!",F640="NEW"),"",COUNTBLANK(OFFSET(A$1,,,SUMPRODUCT(MAX(ROW(E$2:E640)*(E640=E$2:E640)))))-COUNTBLANK(OFFSET(A$1,,,SUMPRODUCT(MAX(ROW(E$1:E639)*(E2=E$1:E639))))))</f>
        <v/>
      </c>
      <c r="K640" s="25" t="str">
        <f>IF(OR(E640="",E640="!!!",F640="NEW"),"",INDEX(J$1:J639,SUMPRODUCT(MAX(ROW(E$1:E639)*(E640=E$1:E639)))))</f>
        <v/>
      </c>
      <c r="L640"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2024-12-05T17:52:25Z</dcterms:created>
  <dcterms:modified xsi:type="dcterms:W3CDTF">2025-09-17T10:14:14Z</dcterms:modified>
</cp:coreProperties>
</file>