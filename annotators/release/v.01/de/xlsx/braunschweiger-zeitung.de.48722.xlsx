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bea\Desktop\Git\AURIS\annotators\team\tg\de\in-progress\"/>
    </mc:Choice>
  </mc:AlternateContent>
  <xr:revisionPtr revIDLastSave="0" documentId="13_ncr:1_{661C8436-86A8-4D38-BD21-30CC3D89A2A6}" xr6:coauthVersionLast="47" xr6:coauthVersionMax="47" xr10:uidLastSave="{00000000-0000-0000-0000-000000000000}"/>
  <bookViews>
    <workbookView xWindow="-96" yWindow="0" windowWidth="16356" windowHeight="12336" xr2:uid="{00000000-000D-0000-FFFF-FFFF00000000}"/>
  </bookViews>
  <sheets>
    <sheet name="sentence-level annotation" sheetId="1" r:id="rId1"/>
    <sheet name="word-level annotation" sheetId="2" r:id="rId2"/>
  </sheets>
  <calcPr calcId="191029"/>
</workbook>
</file>

<file path=xl/calcChain.xml><?xml version="1.0" encoding="utf-8"?>
<calcChain xmlns="http://schemas.openxmlformats.org/spreadsheetml/2006/main">
  <c r="F609" i="2" l="1"/>
  <c r="E609" i="2"/>
  <c r="E608" i="2"/>
  <c r="E607" i="2"/>
  <c r="E606" i="2"/>
  <c r="G606" i="2" s="1"/>
  <c r="G604" i="2"/>
  <c r="E604" i="2"/>
  <c r="F604" i="2" s="1"/>
  <c r="F603" i="2"/>
  <c r="E603" i="2"/>
  <c r="E602" i="2"/>
  <c r="G601" i="2"/>
  <c r="F601" i="2"/>
  <c r="K601" i="2" s="1"/>
  <c r="E601" i="2"/>
  <c r="E600" i="2"/>
  <c r="E599" i="2"/>
  <c r="G598" i="2"/>
  <c r="F598" i="2"/>
  <c r="I598" i="2" s="1"/>
  <c r="E598" i="2"/>
  <c r="F597" i="2"/>
  <c r="E597" i="2"/>
  <c r="G597" i="2" s="1"/>
  <c r="E596" i="2"/>
  <c r="F595" i="2"/>
  <c r="E592" i="2"/>
  <c r="F591" i="2"/>
  <c r="K591" i="2" s="1"/>
  <c r="E590" i="2"/>
  <c r="E589" i="2"/>
  <c r="G588" i="2"/>
  <c r="F588" i="2"/>
  <c r="I588" i="2" s="1"/>
  <c r="E588" i="2"/>
  <c r="F587" i="2"/>
  <c r="J587" i="2" s="1"/>
  <c r="H587" i="2" s="1"/>
  <c r="E587" i="2"/>
  <c r="G587" i="2" s="1"/>
  <c r="E586" i="2"/>
  <c r="F585" i="2"/>
  <c r="E585" i="2"/>
  <c r="E584" i="2"/>
  <c r="G583" i="2"/>
  <c r="F583" i="2"/>
  <c r="K583" i="2" s="1"/>
  <c r="E583" i="2"/>
  <c r="E579" i="2"/>
  <c r="G578" i="2"/>
  <c r="F578" i="2"/>
  <c r="K578" i="2" s="1"/>
  <c r="E578" i="2"/>
  <c r="J577" i="2"/>
  <c r="H577" i="2" s="1"/>
  <c r="G577" i="2"/>
  <c r="E576" i="2"/>
  <c r="F575" i="2"/>
  <c r="E575" i="2"/>
  <c r="E574" i="2"/>
  <c r="F573" i="2"/>
  <c r="E572" i="2"/>
  <c r="E571" i="2"/>
  <c r="G570" i="2"/>
  <c r="F570" i="2"/>
  <c r="J570" i="2" s="1"/>
  <c r="H570" i="2" s="1"/>
  <c r="E570" i="2"/>
  <c r="F569" i="2"/>
  <c r="K569" i="2" s="1"/>
  <c r="E569" i="2"/>
  <c r="G569" i="2" s="1"/>
  <c r="G568" i="2"/>
  <c r="E568" i="2"/>
  <c r="F567" i="2"/>
  <c r="E567" i="2"/>
  <c r="E566" i="2"/>
  <c r="G565" i="2"/>
  <c r="F565" i="2"/>
  <c r="E565" i="2"/>
  <c r="E564" i="2"/>
  <c r="E563" i="2"/>
  <c r="F562" i="2"/>
  <c r="K562" i="2" s="1"/>
  <c r="F561" i="2"/>
  <c r="J561" i="2" s="1"/>
  <c r="H561" i="2" s="1"/>
  <c r="E561" i="2"/>
  <c r="G561" i="2" s="1"/>
  <c r="G559" i="2"/>
  <c r="E559" i="2"/>
  <c r="F557" i="2"/>
  <c r="E557" i="2"/>
  <c r="E556" i="2"/>
  <c r="G555" i="2"/>
  <c r="F555" i="2"/>
  <c r="E555" i="2"/>
  <c r="E553" i="2"/>
  <c r="G552" i="2"/>
  <c r="F552" i="2"/>
  <c r="I552" i="2" s="1"/>
  <c r="E552" i="2"/>
  <c r="F551" i="2"/>
  <c r="K551" i="2" s="1"/>
  <c r="E551" i="2"/>
  <c r="G551" i="2" s="1"/>
  <c r="G550" i="2"/>
  <c r="E550" i="2"/>
  <c r="G549" i="2"/>
  <c r="K549" i="2"/>
  <c r="E548" i="2"/>
  <c r="G547" i="2"/>
  <c r="F547" i="2"/>
  <c r="J547" i="2" s="1"/>
  <c r="H547" i="2" s="1"/>
  <c r="E547" i="2"/>
  <c r="E546" i="2"/>
  <c r="E545" i="2"/>
  <c r="F544" i="2"/>
  <c r="E543" i="2"/>
  <c r="E540" i="2"/>
  <c r="G539" i="2"/>
  <c r="F539" i="2"/>
  <c r="K539" i="2" s="1"/>
  <c r="E539" i="2"/>
  <c r="F538" i="2"/>
  <c r="J538" i="2" s="1"/>
  <c r="H538" i="2" s="1"/>
  <c r="E538" i="2"/>
  <c r="F537" i="2"/>
  <c r="J537" i="2" s="1"/>
  <c r="H537" i="2" s="1"/>
  <c r="E537" i="2"/>
  <c r="E535" i="2"/>
  <c r="G534" i="2"/>
  <c r="F534" i="2"/>
  <c r="K534" i="2" s="1"/>
  <c r="E534" i="2"/>
  <c r="F533" i="2"/>
  <c r="I533" i="2" s="1"/>
  <c r="E533" i="2"/>
  <c r="G533" i="2" s="1"/>
  <c r="G532" i="2"/>
  <c r="E532" i="2"/>
  <c r="G531" i="2"/>
  <c r="F531" i="2"/>
  <c r="K531" i="2" s="1"/>
  <c r="E531" i="2"/>
  <c r="E530" i="2"/>
  <c r="G529" i="2"/>
  <c r="E529" i="2"/>
  <c r="F528" i="2"/>
  <c r="K528" i="2" s="1"/>
  <c r="E528" i="2"/>
  <c r="G527" i="2"/>
  <c r="E527" i="2"/>
  <c r="G524" i="2"/>
  <c r="F524" i="2"/>
  <c r="J524" i="2" s="1"/>
  <c r="H524" i="2" s="1"/>
  <c r="E524" i="2"/>
  <c r="E522" i="2"/>
  <c r="G521" i="2"/>
  <c r="F521" i="2"/>
  <c r="K521" i="2" s="1"/>
  <c r="E521" i="2"/>
  <c r="J520" i="2"/>
  <c r="H520" i="2" s="1"/>
  <c r="F519" i="2"/>
  <c r="J519" i="2" s="1"/>
  <c r="H519" i="2" s="1"/>
  <c r="E519" i="2"/>
  <c r="E518" i="2"/>
  <c r="E517" i="2"/>
  <c r="G516" i="2"/>
  <c r="F516" i="2"/>
  <c r="K516" i="2" s="1"/>
  <c r="E516" i="2"/>
  <c r="F515" i="2"/>
  <c r="I515" i="2" s="1"/>
  <c r="E515" i="2"/>
  <c r="G515" i="2" s="1"/>
  <c r="G514" i="2"/>
  <c r="E514" i="2"/>
  <c r="G513" i="2"/>
  <c r="F513" i="2"/>
  <c r="I513" i="2" s="1"/>
  <c r="E513" i="2"/>
  <c r="E512" i="2"/>
  <c r="G511" i="2"/>
  <c r="E511" i="2"/>
  <c r="F510" i="2"/>
  <c r="I510" i="2" s="1"/>
  <c r="G509" i="2"/>
  <c r="E509" i="2"/>
  <c r="G508" i="2"/>
  <c r="F508" i="2"/>
  <c r="J508" i="2" s="1"/>
  <c r="H508" i="2" s="1"/>
  <c r="E508" i="2"/>
  <c r="E506" i="2"/>
  <c r="G505" i="2"/>
  <c r="K505" i="2"/>
  <c r="F504" i="2"/>
  <c r="J504" i="2" s="1"/>
  <c r="H504" i="2" s="1"/>
  <c r="E504" i="2"/>
  <c r="F503" i="2"/>
  <c r="J503" i="2" s="1"/>
  <c r="H503" i="2" s="1"/>
  <c r="E503" i="2"/>
  <c r="E502" i="2"/>
  <c r="E499" i="2"/>
  <c r="G498" i="2"/>
  <c r="F498" i="2"/>
  <c r="K498" i="2" s="1"/>
  <c r="E498" i="2"/>
  <c r="F497" i="2"/>
  <c r="I497" i="2" s="1"/>
  <c r="G496" i="2"/>
  <c r="E496" i="2"/>
  <c r="G495" i="2"/>
  <c r="F495" i="2"/>
  <c r="K495" i="2" s="1"/>
  <c r="E495" i="2"/>
  <c r="G493" i="2"/>
  <c r="E493" i="2"/>
  <c r="F492" i="2"/>
  <c r="I492" i="2" s="1"/>
  <c r="E492" i="2"/>
  <c r="G490" i="2"/>
  <c r="F490" i="2"/>
  <c r="J490" i="2" s="1"/>
  <c r="H490" i="2" s="1"/>
  <c r="E490" i="2"/>
  <c r="E489" i="2"/>
  <c r="E486" i="2"/>
  <c r="G485" i="2"/>
  <c r="F485" i="2"/>
  <c r="K485" i="2" s="1"/>
  <c r="E485" i="2"/>
  <c r="F484" i="2"/>
  <c r="J484" i="2" s="1"/>
  <c r="H484" i="2" s="1"/>
  <c r="E484" i="2"/>
  <c r="F483" i="2"/>
  <c r="J483" i="2" s="1"/>
  <c r="H483" i="2" s="1"/>
  <c r="E483" i="2"/>
  <c r="E482" i="2"/>
  <c r="F481" i="2"/>
  <c r="E480" i="2"/>
  <c r="G479" i="2"/>
  <c r="E479" i="2"/>
  <c r="F479" i="2" s="1"/>
  <c r="J479" i="2" s="1"/>
  <c r="H479" i="2" s="1"/>
  <c r="F478" i="2"/>
  <c r="K478" i="2" s="1"/>
  <c r="E478" i="2"/>
  <c r="E477" i="2"/>
  <c r="G476" i="2"/>
  <c r="F476" i="2"/>
  <c r="K476" i="2" s="1"/>
  <c r="E476" i="2"/>
  <c r="F475" i="2"/>
  <c r="K475" i="2" s="1"/>
  <c r="E475" i="2"/>
  <c r="G475" i="2" s="1"/>
  <c r="G474" i="2"/>
  <c r="E474" i="2"/>
  <c r="G473" i="2"/>
  <c r="F473" i="2"/>
  <c r="K473" i="2" s="1"/>
  <c r="E473" i="2"/>
  <c r="E472" i="2"/>
  <c r="G469" i="2"/>
  <c r="E469" i="2"/>
  <c r="F469" i="2" s="1"/>
  <c r="J469" i="2" s="1"/>
  <c r="H469" i="2" s="1"/>
  <c r="F468" i="2"/>
  <c r="I468" i="2" s="1"/>
  <c r="E468" i="2"/>
  <c r="G466" i="2"/>
  <c r="J466" i="2"/>
  <c r="H466" i="2" s="1"/>
  <c r="F465" i="2"/>
  <c r="K465" i="2" s="1"/>
  <c r="E465" i="2"/>
  <c r="G465" i="2" s="1"/>
  <c r="E464" i="2"/>
  <c r="G463" i="2"/>
  <c r="F463" i="2"/>
  <c r="K463" i="2" s="1"/>
  <c r="E463" i="2"/>
  <c r="F462" i="2"/>
  <c r="G461" i="2"/>
  <c r="F461" i="2"/>
  <c r="J461" i="2" s="1"/>
  <c r="H461" i="2" s="1"/>
  <c r="E461" i="2"/>
  <c r="F460" i="2"/>
  <c r="K460" i="2" s="1"/>
  <c r="E460" i="2"/>
  <c r="E459" i="2"/>
  <c r="G456" i="2"/>
  <c r="F456" i="2"/>
  <c r="K456" i="2" s="1"/>
  <c r="E456" i="2"/>
  <c r="F455" i="2"/>
  <c r="K455" i="2" s="1"/>
  <c r="E455" i="2"/>
  <c r="G455" i="2" s="1"/>
  <c r="G453" i="2"/>
  <c r="F453" i="2"/>
  <c r="K453" i="2" s="1"/>
  <c r="E453" i="2"/>
  <c r="F452" i="2"/>
  <c r="E452" i="2"/>
  <c r="G451" i="2"/>
  <c r="F451" i="2"/>
  <c r="E451" i="2"/>
  <c r="F450" i="2"/>
  <c r="E450" i="2"/>
  <c r="E449" i="2"/>
  <c r="G448" i="2"/>
  <c r="F448" i="2"/>
  <c r="J448" i="2" s="1"/>
  <c r="H448" i="2" s="1"/>
  <c r="E448" i="2"/>
  <c r="F445" i="2"/>
  <c r="E445" i="2"/>
  <c r="G445" i="2" s="1"/>
  <c r="G444" i="2"/>
  <c r="E444" i="2"/>
  <c r="F443" i="2"/>
  <c r="K443" i="2" s="1"/>
  <c r="G442" i="2"/>
  <c r="F442" i="2"/>
  <c r="K442" i="2" s="1"/>
  <c r="E442" i="2"/>
  <c r="E441" i="2"/>
  <c r="F440" i="2"/>
  <c r="K440" i="2" s="1"/>
  <c r="E440" i="2"/>
  <c r="G436" i="2"/>
  <c r="F436" i="2"/>
  <c r="K436" i="2" s="1"/>
  <c r="E436" i="2"/>
  <c r="F435" i="2"/>
  <c r="K435" i="2" s="1"/>
  <c r="G434" i="2"/>
  <c r="E434" i="2"/>
  <c r="F433" i="2"/>
  <c r="I433" i="2" s="1"/>
  <c r="G432" i="2"/>
  <c r="F432" i="2"/>
  <c r="J432" i="2" s="1"/>
  <c r="H432" i="2" s="1"/>
  <c r="E432" i="2"/>
  <c r="E431" i="2"/>
  <c r="E430" i="2"/>
  <c r="G429" i="2"/>
  <c r="E429" i="2"/>
  <c r="G428" i="2"/>
  <c r="F428" i="2"/>
  <c r="K428" i="2" s="1"/>
  <c r="E428" i="2"/>
  <c r="F427" i="2"/>
  <c r="E427" i="2"/>
  <c r="G426" i="2"/>
  <c r="E426" i="2"/>
  <c r="G425" i="2"/>
  <c r="F425" i="2"/>
  <c r="K425" i="2" s="1"/>
  <c r="E425" i="2"/>
  <c r="G424" i="2"/>
  <c r="F424" i="2"/>
  <c r="K424" i="2" s="1"/>
  <c r="E424" i="2"/>
  <c r="E423" i="2"/>
  <c r="G422" i="2"/>
  <c r="F422" i="2"/>
  <c r="I422" i="2" s="1"/>
  <c r="E422" i="2"/>
  <c r="G419" i="2"/>
  <c r="E419" i="2"/>
  <c r="F419" i="2" s="1"/>
  <c r="J419" i="2" s="1"/>
  <c r="H419" i="2" s="1"/>
  <c r="F418" i="2"/>
  <c r="I418" i="2" s="1"/>
  <c r="E418" i="2"/>
  <c r="G418" i="2" s="1"/>
  <c r="E417" i="2"/>
  <c r="F416" i="2"/>
  <c r="E415" i="2"/>
  <c r="E414" i="2"/>
  <c r="G413" i="2"/>
  <c r="E413" i="2"/>
  <c r="G412" i="2"/>
  <c r="F412" i="2"/>
  <c r="I412" i="2" s="1"/>
  <c r="E412" i="2"/>
  <c r="G411" i="2"/>
  <c r="E411" i="2"/>
  <c r="F411" i="2" s="1"/>
  <c r="J411" i="2" s="1"/>
  <c r="H411" i="2" s="1"/>
  <c r="F410" i="2"/>
  <c r="I410" i="2" s="1"/>
  <c r="E410" i="2"/>
  <c r="G410" i="2" s="1"/>
  <c r="E409" i="2"/>
  <c r="G408" i="2"/>
  <c r="F408" i="2"/>
  <c r="E408" i="2"/>
  <c r="G405" i="2"/>
  <c r="E405" i="2"/>
  <c r="G404" i="2"/>
  <c r="F404" i="2"/>
  <c r="E404" i="2"/>
  <c r="E403" i="2"/>
  <c r="E402" i="2"/>
  <c r="E401" i="2"/>
  <c r="G400" i="2"/>
  <c r="F400" i="2"/>
  <c r="K400" i="2" s="1"/>
  <c r="E400" i="2"/>
  <c r="E398" i="2"/>
  <c r="G395" i="2"/>
  <c r="E395" i="2"/>
  <c r="G394" i="2"/>
  <c r="F394" i="2"/>
  <c r="I394" i="2" s="1"/>
  <c r="E394" i="2"/>
  <c r="E393" i="2"/>
  <c r="G393" i="2" s="1"/>
  <c r="E392" i="2"/>
  <c r="G390" i="2"/>
  <c r="F390" i="2"/>
  <c r="K390" i="2" s="1"/>
  <c r="E390" i="2"/>
  <c r="F389" i="2"/>
  <c r="J389" i="2" s="1"/>
  <c r="H389" i="2" s="1"/>
  <c r="E387" i="2"/>
  <c r="G386" i="2"/>
  <c r="F386" i="2"/>
  <c r="I386" i="2" s="1"/>
  <c r="E386" i="2"/>
  <c r="G385" i="2"/>
  <c r="F385" i="2"/>
  <c r="E385" i="2"/>
  <c r="E384" i="2"/>
  <c r="G381" i="2"/>
  <c r="E381" i="2"/>
  <c r="G380" i="2"/>
  <c r="F380" i="2"/>
  <c r="E380" i="2"/>
  <c r="F379" i="2"/>
  <c r="K379" i="2" s="1"/>
  <c r="G377" i="2"/>
  <c r="E377" i="2"/>
  <c r="G376" i="2"/>
  <c r="F376" i="2"/>
  <c r="J376" i="2" s="1"/>
  <c r="H376" i="2" s="1"/>
  <c r="E376" i="2"/>
  <c r="E375" i="2"/>
  <c r="G375" i="2" s="1"/>
  <c r="G372" i="2"/>
  <c r="F372" i="2"/>
  <c r="K372" i="2" s="1"/>
  <c r="E372" i="2"/>
  <c r="G371" i="2"/>
  <c r="F371" i="2"/>
  <c r="J371" i="2" s="1"/>
  <c r="H371" i="2" s="1"/>
  <c r="E371" i="2"/>
  <c r="E369" i="2"/>
  <c r="G368" i="2"/>
  <c r="F368" i="2"/>
  <c r="J368" i="2" s="1"/>
  <c r="H368" i="2" s="1"/>
  <c r="E368" i="2"/>
  <c r="F367" i="2"/>
  <c r="I367" i="2" s="1"/>
  <c r="E367" i="2"/>
  <c r="E366" i="2"/>
  <c r="G365" i="2"/>
  <c r="E365" i="2"/>
  <c r="F363" i="2"/>
  <c r="K363" i="2" s="1"/>
  <c r="E363" i="2"/>
  <c r="E362" i="2"/>
  <c r="G361" i="2"/>
  <c r="E361" i="2"/>
  <c r="G360" i="2"/>
  <c r="F360" i="2"/>
  <c r="J360" i="2" s="1"/>
  <c r="H360" i="2" s="1"/>
  <c r="E360" i="2"/>
  <c r="E359" i="2"/>
  <c r="G359" i="2" s="1"/>
  <c r="E356" i="2"/>
  <c r="G355" i="2"/>
  <c r="E355" i="2"/>
  <c r="G354" i="2"/>
  <c r="F354" i="2"/>
  <c r="K354" i="2" s="1"/>
  <c r="E354" i="2"/>
  <c r="G353" i="2"/>
  <c r="F353" i="2"/>
  <c r="J353" i="2" s="1"/>
  <c r="H353" i="2" s="1"/>
  <c r="E353" i="2"/>
  <c r="E352" i="2"/>
  <c r="G350" i="2"/>
  <c r="F350" i="2"/>
  <c r="J350" i="2" s="1"/>
  <c r="H350" i="2" s="1"/>
  <c r="E350" i="2"/>
  <c r="F349" i="2"/>
  <c r="I349" i="2" s="1"/>
  <c r="E348" i="2"/>
  <c r="G347" i="2"/>
  <c r="E347" i="2"/>
  <c r="G346" i="2"/>
  <c r="F346" i="2"/>
  <c r="E346" i="2"/>
  <c r="G345" i="2"/>
  <c r="F345" i="2"/>
  <c r="K345" i="2" s="1"/>
  <c r="E345" i="2"/>
  <c r="E344" i="2"/>
  <c r="G343" i="2"/>
  <c r="E343" i="2"/>
  <c r="G342" i="2"/>
  <c r="F342" i="2"/>
  <c r="K342" i="2" s="1"/>
  <c r="E342" i="2"/>
  <c r="E341" i="2"/>
  <c r="G339" i="2"/>
  <c r="E339" i="2"/>
  <c r="F339" i="2" s="1"/>
  <c r="G338" i="2"/>
  <c r="F338" i="2"/>
  <c r="J338" i="2" s="1"/>
  <c r="H338" i="2" s="1"/>
  <c r="E338" i="2"/>
  <c r="E337" i="2"/>
  <c r="F336" i="2"/>
  <c r="E336" i="2"/>
  <c r="G333" i="2"/>
  <c r="E333" i="2"/>
  <c r="G332" i="2"/>
  <c r="F332" i="2"/>
  <c r="K332" i="2" s="1"/>
  <c r="E332" i="2"/>
  <c r="E331" i="2"/>
  <c r="G329" i="2"/>
  <c r="E329" i="2"/>
  <c r="F329" i="2" s="1"/>
  <c r="J329" i="2" s="1"/>
  <c r="H329" i="2" s="1"/>
  <c r="G328" i="2"/>
  <c r="E327" i="2"/>
  <c r="E326" i="2"/>
  <c r="G325" i="2"/>
  <c r="E325" i="2"/>
  <c r="G324" i="2"/>
  <c r="F324" i="2"/>
  <c r="K324" i="2" s="1"/>
  <c r="E324" i="2"/>
  <c r="G323" i="2"/>
  <c r="E320" i="2"/>
  <c r="G319" i="2"/>
  <c r="E319" i="2"/>
  <c r="F319" i="2" s="1"/>
  <c r="J319" i="2" s="1"/>
  <c r="H319" i="2" s="1"/>
  <c r="G318" i="2"/>
  <c r="F318" i="2"/>
  <c r="I318" i="2" s="1"/>
  <c r="E318" i="2"/>
  <c r="F317" i="2"/>
  <c r="J317" i="2" s="1"/>
  <c r="H317" i="2" s="1"/>
  <c r="E317" i="2"/>
  <c r="E316" i="2"/>
  <c r="G313" i="2"/>
  <c r="E313" i="2"/>
  <c r="G312" i="2"/>
  <c r="F312" i="2"/>
  <c r="J312" i="2" s="1"/>
  <c r="H312" i="2" s="1"/>
  <c r="E312" i="2"/>
  <c r="F311" i="2"/>
  <c r="I311" i="2" s="1"/>
  <c r="E310" i="2"/>
  <c r="G309" i="2"/>
  <c r="E309" i="2"/>
  <c r="F309" i="2" s="1"/>
  <c r="J309" i="2" s="1"/>
  <c r="H309" i="2" s="1"/>
  <c r="G308" i="2"/>
  <c r="F308" i="2"/>
  <c r="I308" i="2" s="1"/>
  <c r="E308" i="2"/>
  <c r="G307" i="2"/>
  <c r="E307" i="2"/>
  <c r="E306" i="2"/>
  <c r="G306" i="2" s="1"/>
  <c r="F305" i="2"/>
  <c r="G304" i="2"/>
  <c r="F304" i="2"/>
  <c r="E304" i="2"/>
  <c r="F303" i="2"/>
  <c r="K303" i="2" s="1"/>
  <c r="E303" i="2"/>
  <c r="G303" i="2" s="1"/>
  <c r="F301" i="2"/>
  <c r="I301" i="2" s="1"/>
  <c r="G300" i="2"/>
  <c r="F300" i="2"/>
  <c r="K300" i="2" s="1"/>
  <c r="E300" i="2"/>
  <c r="G299" i="2"/>
  <c r="F299" i="2"/>
  <c r="J299" i="2" s="1"/>
  <c r="H299" i="2" s="1"/>
  <c r="E299" i="2"/>
  <c r="E296" i="2"/>
  <c r="E295" i="2"/>
  <c r="F294" i="2"/>
  <c r="K294" i="2" s="1"/>
  <c r="E293" i="2"/>
  <c r="G293" i="2" s="1"/>
  <c r="E292" i="2"/>
  <c r="G291" i="2"/>
  <c r="J291" i="2"/>
  <c r="H291" i="2" s="1"/>
  <c r="G290" i="2"/>
  <c r="F290" i="2"/>
  <c r="E290" i="2"/>
  <c r="G289" i="2"/>
  <c r="E289" i="2"/>
  <c r="E288" i="2"/>
  <c r="G288" i="2" s="1"/>
  <c r="F287" i="2"/>
  <c r="E287" i="2"/>
  <c r="G286" i="2"/>
  <c r="F286" i="2"/>
  <c r="E286" i="2"/>
  <c r="F285" i="2"/>
  <c r="I285" i="2" s="1"/>
  <c r="E285" i="2"/>
  <c r="G285" i="2" s="1"/>
  <c r="G283" i="2"/>
  <c r="E283" i="2"/>
  <c r="F283" i="2" s="1"/>
  <c r="I283" i="2" s="1"/>
  <c r="G282" i="2"/>
  <c r="F282" i="2"/>
  <c r="J282" i="2" s="1"/>
  <c r="H282" i="2" s="1"/>
  <c r="E282" i="2"/>
  <c r="F281" i="2"/>
  <c r="J281" i="2" s="1"/>
  <c r="H281" i="2" s="1"/>
  <c r="E280" i="2"/>
  <c r="E277" i="2"/>
  <c r="F276" i="2"/>
  <c r="E275" i="2"/>
  <c r="G275" i="2" s="1"/>
  <c r="E274" i="2"/>
  <c r="G273" i="2"/>
  <c r="E273" i="2"/>
  <c r="F273" i="2" s="1"/>
  <c r="K273" i="2" s="1"/>
  <c r="G272" i="2"/>
  <c r="F272" i="2"/>
  <c r="E272" i="2"/>
  <c r="E271" i="2"/>
  <c r="F270" i="2"/>
  <c r="J270" i="2" s="1"/>
  <c r="H270" i="2" s="1"/>
  <c r="E269" i="2"/>
  <c r="G269" i="2" s="1"/>
  <c r="G266" i="2"/>
  <c r="F266" i="2"/>
  <c r="K266" i="2" s="1"/>
  <c r="E266" i="2"/>
  <c r="E265" i="2"/>
  <c r="F264" i="2"/>
  <c r="K264" i="2" s="1"/>
  <c r="E264" i="2"/>
  <c r="G264" i="2" s="1"/>
  <c r="E263" i="2"/>
  <c r="F263" i="2" s="1"/>
  <c r="I263" i="2" s="1"/>
  <c r="G262" i="2"/>
  <c r="F262" i="2"/>
  <c r="J262" i="2" s="1"/>
  <c r="H262" i="2" s="1"/>
  <c r="E262" i="2"/>
  <c r="F261" i="2"/>
  <c r="E260" i="2"/>
  <c r="F259" i="2"/>
  <c r="K259" i="2" s="1"/>
  <c r="E258" i="2"/>
  <c r="G258" i="2" s="1"/>
  <c r="G255" i="2"/>
  <c r="F255" i="2"/>
  <c r="K255" i="2" s="1"/>
  <c r="E255" i="2"/>
  <c r="E254" i="2"/>
  <c r="F253" i="2"/>
  <c r="K253" i="2" s="1"/>
  <c r="G252" i="2"/>
  <c r="F252" i="2"/>
  <c r="J252" i="2" s="1"/>
  <c r="H252" i="2" s="1"/>
  <c r="E252" i="2"/>
  <c r="E251" i="2"/>
  <c r="F251" i="2" s="1"/>
  <c r="J251" i="2" s="1"/>
  <c r="H251" i="2" s="1"/>
  <c r="G250" i="2"/>
  <c r="F250" i="2"/>
  <c r="J250" i="2" s="1"/>
  <c r="H250" i="2" s="1"/>
  <c r="E250" i="2"/>
  <c r="G248" i="2"/>
  <c r="F248" i="2"/>
  <c r="K248" i="2" s="1"/>
  <c r="E248" i="2"/>
  <c r="E247" i="2"/>
  <c r="F247" i="2" s="1"/>
  <c r="F246" i="2"/>
  <c r="K246" i="2" s="1"/>
  <c r="E246" i="2"/>
  <c r="G246" i="2" s="1"/>
  <c r="E245" i="2"/>
  <c r="G244" i="2"/>
  <c r="F244" i="2"/>
  <c r="I244" i="2" s="1"/>
  <c r="E244" i="2"/>
  <c r="G243" i="2"/>
  <c r="F243" i="2"/>
  <c r="K243" i="2" s="1"/>
  <c r="E243" i="2"/>
  <c r="G241" i="2"/>
  <c r="F241" i="2"/>
  <c r="K241" i="2" s="1"/>
  <c r="E241" i="2"/>
  <c r="E240" i="2"/>
  <c r="G238" i="2"/>
  <c r="F238" i="2"/>
  <c r="J238" i="2" s="1"/>
  <c r="H238" i="2" s="1"/>
  <c r="E238" i="2"/>
  <c r="E236" i="2"/>
  <c r="G236" i="2" s="1"/>
  <c r="E234" i="2"/>
  <c r="F234" i="2" s="1"/>
  <c r="I234" i="2" s="1"/>
  <c r="G233" i="2"/>
  <c r="F233" i="2"/>
  <c r="J233" i="2" s="1"/>
  <c r="H233" i="2" s="1"/>
  <c r="E233" i="2"/>
  <c r="G232" i="2"/>
  <c r="F232" i="2"/>
  <c r="E232" i="2"/>
  <c r="F231" i="2"/>
  <c r="E231" i="2"/>
  <c r="E230" i="2"/>
  <c r="E229" i="2"/>
  <c r="G228" i="2"/>
  <c r="F228" i="2"/>
  <c r="K228" i="2" s="1"/>
  <c r="E228" i="2"/>
  <c r="E227" i="2"/>
  <c r="G227" i="2" s="1"/>
  <c r="E226" i="2"/>
  <c r="F226" i="2" s="1"/>
  <c r="J226" i="2" s="1"/>
  <c r="H226" i="2" s="1"/>
  <c r="G225" i="2"/>
  <c r="F225" i="2"/>
  <c r="J225" i="2" s="1"/>
  <c r="H225" i="2" s="1"/>
  <c r="E225" i="2"/>
  <c r="G224" i="2"/>
  <c r="F224" i="2"/>
  <c r="E224" i="2"/>
  <c r="F223" i="2"/>
  <c r="I223" i="2" s="1"/>
  <c r="E223" i="2"/>
  <c r="E222" i="2"/>
  <c r="G221" i="2"/>
  <c r="E221" i="2"/>
  <c r="G220" i="2"/>
  <c r="F220" i="2"/>
  <c r="J220" i="2" s="1"/>
  <c r="H220" i="2" s="1"/>
  <c r="E220" i="2"/>
  <c r="E219" i="2"/>
  <c r="E218" i="2"/>
  <c r="F218" i="2" s="1"/>
  <c r="G217" i="2"/>
  <c r="F217" i="2"/>
  <c r="J217" i="2" s="1"/>
  <c r="H217" i="2" s="1"/>
  <c r="E217" i="2"/>
  <c r="F216" i="2"/>
  <c r="E215" i="2"/>
  <c r="E214" i="2"/>
  <c r="E213" i="2"/>
  <c r="G210" i="2"/>
  <c r="F210" i="2"/>
  <c r="K210" i="2" s="1"/>
  <c r="E210" i="2"/>
  <c r="E209" i="2"/>
  <c r="G209" i="2" s="1"/>
  <c r="E208" i="2"/>
  <c r="G207" i="2"/>
  <c r="F207" i="2"/>
  <c r="J207" i="2" s="1"/>
  <c r="H207" i="2" s="1"/>
  <c r="E207" i="2"/>
  <c r="G206" i="2"/>
  <c r="F206" i="2"/>
  <c r="K206" i="2" s="1"/>
  <c r="E206" i="2"/>
  <c r="F204" i="2"/>
  <c r="I204" i="2" s="1"/>
  <c r="E204" i="2"/>
  <c r="E203" i="2"/>
  <c r="G202" i="2"/>
  <c r="F202" i="2"/>
  <c r="I202" i="2" s="1"/>
  <c r="E202" i="2"/>
  <c r="F201" i="2"/>
  <c r="I201" i="2" s="1"/>
  <c r="E201" i="2"/>
  <c r="G201" i="2" s="1"/>
  <c r="E200" i="2"/>
  <c r="G199" i="2"/>
  <c r="F199" i="2"/>
  <c r="J199" i="2" s="1"/>
  <c r="H199" i="2" s="1"/>
  <c r="E199" i="2"/>
  <c r="G198" i="2"/>
  <c r="F198" i="2"/>
  <c r="E198" i="2"/>
  <c r="G197" i="2"/>
  <c r="E197" i="2"/>
  <c r="E196" i="2"/>
  <c r="G194" i="2"/>
  <c r="F194" i="2"/>
  <c r="I194" i="2" s="1"/>
  <c r="E194" i="2"/>
  <c r="E193" i="2"/>
  <c r="G191" i="2"/>
  <c r="F191" i="2"/>
  <c r="J191" i="2" s="1"/>
  <c r="H191" i="2" s="1"/>
  <c r="E191" i="2"/>
  <c r="G190" i="2"/>
  <c r="F190" i="2"/>
  <c r="K190" i="2" s="1"/>
  <c r="E190" i="2"/>
  <c r="F189" i="2"/>
  <c r="J189" i="2" s="1"/>
  <c r="H189" i="2" s="1"/>
  <c r="E189" i="2"/>
  <c r="F188" i="2"/>
  <c r="G187" i="2"/>
  <c r="E187" i="2"/>
  <c r="G185" i="2"/>
  <c r="F185" i="2"/>
  <c r="I185" i="2" s="1"/>
  <c r="E185" i="2"/>
  <c r="E183" i="2"/>
  <c r="G183" i="2" s="1"/>
  <c r="E182" i="2"/>
  <c r="G181" i="2"/>
  <c r="F181" i="2"/>
  <c r="J181" i="2" s="1"/>
  <c r="H181" i="2" s="1"/>
  <c r="E181" i="2"/>
  <c r="G180" i="2"/>
  <c r="F180" i="2"/>
  <c r="J180" i="2" s="1"/>
  <c r="H180" i="2" s="1"/>
  <c r="E180" i="2"/>
  <c r="E178" i="2"/>
  <c r="E177" i="2"/>
  <c r="G176" i="2"/>
  <c r="F176" i="2"/>
  <c r="E176" i="2"/>
  <c r="E175" i="2"/>
  <c r="G175" i="2" s="1"/>
  <c r="E174" i="2"/>
  <c r="F173" i="2"/>
  <c r="J173" i="2" s="1"/>
  <c r="H173" i="2" s="1"/>
  <c r="G172" i="2"/>
  <c r="E172" i="2"/>
  <c r="G171" i="2"/>
  <c r="F171" i="2"/>
  <c r="J171" i="2" s="1"/>
  <c r="H171" i="2" s="1"/>
  <c r="E171" i="2"/>
  <c r="E170" i="2"/>
  <c r="G169" i="2"/>
  <c r="E169" i="2"/>
  <c r="G168" i="2"/>
  <c r="F168" i="2"/>
  <c r="K168" i="2" s="1"/>
  <c r="E168" i="2"/>
  <c r="F167" i="2"/>
  <c r="K167" i="2" s="1"/>
  <c r="E167" i="2"/>
  <c r="G167" i="2" s="1"/>
  <c r="F166" i="2"/>
  <c r="G165" i="2"/>
  <c r="F165" i="2"/>
  <c r="K165" i="2" s="1"/>
  <c r="E165" i="2"/>
  <c r="F164" i="2"/>
  <c r="J164" i="2" s="1"/>
  <c r="H164" i="2" s="1"/>
  <c r="E164" i="2"/>
  <c r="G164" i="2" s="1"/>
  <c r="G163" i="2"/>
  <c r="F163" i="2"/>
  <c r="J163" i="2" s="1"/>
  <c r="H163" i="2" s="1"/>
  <c r="E163" i="2"/>
  <c r="G162" i="2"/>
  <c r="F162" i="2"/>
  <c r="K162" i="2" s="1"/>
  <c r="E162" i="2"/>
  <c r="F160" i="2"/>
  <c r="E160" i="2"/>
  <c r="G160" i="2" s="1"/>
  <c r="F159" i="2"/>
  <c r="K159" i="2" s="1"/>
  <c r="E159" i="2"/>
  <c r="G159" i="2" s="1"/>
  <c r="F158" i="2"/>
  <c r="K158" i="2" s="1"/>
  <c r="G157" i="2"/>
  <c r="F157" i="2"/>
  <c r="J157" i="2" s="1"/>
  <c r="H157" i="2" s="1"/>
  <c r="E157" i="2"/>
  <c r="E156" i="2"/>
  <c r="F154" i="2"/>
  <c r="I154" i="2" s="1"/>
  <c r="E154" i="2"/>
  <c r="G152" i="2"/>
  <c r="F152" i="2"/>
  <c r="K152" i="2" s="1"/>
  <c r="E152" i="2"/>
  <c r="G151" i="2"/>
  <c r="E151" i="2"/>
  <c r="G150" i="2"/>
  <c r="J150" i="2"/>
  <c r="H150" i="2" s="1"/>
  <c r="E149" i="2"/>
  <c r="E148" i="2"/>
  <c r="G147" i="2"/>
  <c r="E147" i="2"/>
  <c r="F147" i="2" s="1"/>
  <c r="K147" i="2" s="1"/>
  <c r="F146" i="2"/>
  <c r="I146" i="2" s="1"/>
  <c r="E146" i="2"/>
  <c r="G146" i="2" s="1"/>
  <c r="E145" i="2"/>
  <c r="F144" i="2"/>
  <c r="E143" i="2"/>
  <c r="G142" i="2"/>
  <c r="F142" i="2"/>
  <c r="J142" i="2" s="1"/>
  <c r="H142" i="2" s="1"/>
  <c r="E142" i="2"/>
  <c r="E139" i="2"/>
  <c r="E138" i="2"/>
  <c r="G137" i="2"/>
  <c r="E137" i="2"/>
  <c r="F137" i="2" s="1"/>
  <c r="J137" i="2" s="1"/>
  <c r="H137" i="2" s="1"/>
  <c r="F136" i="2"/>
  <c r="I136" i="2" s="1"/>
  <c r="E136" i="2"/>
  <c r="G136" i="2" s="1"/>
  <c r="E135" i="2"/>
  <c r="G134" i="2"/>
  <c r="F134" i="2"/>
  <c r="E134" i="2"/>
  <c r="E133" i="2"/>
  <c r="G132" i="2"/>
  <c r="F132" i="2"/>
  <c r="J132" i="2" s="1"/>
  <c r="H132" i="2" s="1"/>
  <c r="E132" i="2"/>
  <c r="E131" i="2"/>
  <c r="E130" i="2"/>
  <c r="G129" i="2"/>
  <c r="E129" i="2"/>
  <c r="F129" i="2" s="1"/>
  <c r="J129" i="2" s="1"/>
  <c r="H129" i="2" s="1"/>
  <c r="F128" i="2"/>
  <c r="I128" i="2" s="1"/>
  <c r="E128" i="2"/>
  <c r="G128" i="2" s="1"/>
  <c r="E127" i="2"/>
  <c r="G126" i="2"/>
  <c r="F126" i="2"/>
  <c r="I126" i="2" s="1"/>
  <c r="E126" i="2"/>
  <c r="G125" i="2"/>
  <c r="E125" i="2"/>
  <c r="G124" i="2"/>
  <c r="F124" i="2"/>
  <c r="J124" i="2" s="1"/>
  <c r="H124" i="2" s="1"/>
  <c r="E124" i="2"/>
  <c r="F123" i="2"/>
  <c r="E123" i="2"/>
  <c r="E122" i="2"/>
  <c r="G121" i="2"/>
  <c r="E121" i="2"/>
  <c r="F121" i="2" s="1"/>
  <c r="J121" i="2" s="1"/>
  <c r="H121" i="2" s="1"/>
  <c r="F120" i="2"/>
  <c r="I120" i="2" s="1"/>
  <c r="G119" i="2"/>
  <c r="E119" i="2"/>
  <c r="G118" i="2"/>
  <c r="F118" i="2"/>
  <c r="E118" i="2"/>
  <c r="E117" i="2"/>
  <c r="G117" i="2" s="1"/>
  <c r="G116" i="2"/>
  <c r="E115" i="2"/>
  <c r="G113" i="2"/>
  <c r="E113" i="2"/>
  <c r="F113" i="2" s="1"/>
  <c r="I113" i="2" s="1"/>
  <c r="F112" i="2"/>
  <c r="J112" i="2" s="1"/>
  <c r="H112" i="2" s="1"/>
  <c r="E112" i="2"/>
  <c r="G112" i="2" s="1"/>
  <c r="E111" i="2"/>
  <c r="G110" i="2"/>
  <c r="F110" i="2"/>
  <c r="E110" i="2"/>
  <c r="F109" i="2"/>
  <c r="K109" i="2" s="1"/>
  <c r="G108" i="2"/>
  <c r="E108" i="2"/>
  <c r="F107" i="2"/>
  <c r="E107" i="2"/>
  <c r="G104" i="2"/>
  <c r="E104" i="2"/>
  <c r="F104" i="2" s="1"/>
  <c r="K104" i="2" s="1"/>
  <c r="F102" i="2"/>
  <c r="J102" i="2" s="1"/>
  <c r="H102" i="2" s="1"/>
  <c r="E102" i="2"/>
  <c r="G102" i="2" s="1"/>
  <c r="E101" i="2"/>
  <c r="G100" i="2"/>
  <c r="F100" i="2"/>
  <c r="E100" i="2"/>
  <c r="G99" i="2"/>
  <c r="E99" i="2"/>
  <c r="E98" i="2"/>
  <c r="E95" i="2"/>
  <c r="E94" i="2"/>
  <c r="G93" i="2"/>
  <c r="E93" i="2"/>
  <c r="F93" i="2" s="1"/>
  <c r="I93" i="2" s="1"/>
  <c r="F92" i="2"/>
  <c r="E91" i="2"/>
  <c r="G90" i="2"/>
  <c r="F90" i="2"/>
  <c r="I90" i="2" s="1"/>
  <c r="E90" i="2"/>
  <c r="G89" i="2"/>
  <c r="E89" i="2"/>
  <c r="G88" i="2"/>
  <c r="F88" i="2"/>
  <c r="E88" i="2"/>
  <c r="G87" i="2"/>
  <c r="E87" i="2"/>
  <c r="F86" i="2"/>
  <c r="K86" i="2" s="1"/>
  <c r="G85" i="2"/>
  <c r="E85" i="2"/>
  <c r="F85" i="2" s="1"/>
  <c r="K85" i="2" s="1"/>
  <c r="E84" i="2"/>
  <c r="G84" i="2" s="1"/>
  <c r="K83" i="2"/>
  <c r="G82" i="2"/>
  <c r="F82" i="2"/>
  <c r="K82" i="2" s="1"/>
  <c r="E82" i="2"/>
  <c r="E81" i="2"/>
  <c r="F80" i="2"/>
  <c r="I80" i="2" s="1"/>
  <c r="E80" i="2"/>
  <c r="G79" i="2"/>
  <c r="E79" i="2"/>
  <c r="G76" i="2"/>
  <c r="E76" i="2"/>
  <c r="E75" i="2"/>
  <c r="F74" i="2"/>
  <c r="J74" i="2" s="1"/>
  <c r="H74" i="2" s="1"/>
  <c r="G74" i="2"/>
  <c r="F73" i="2"/>
  <c r="J73" i="2" s="1"/>
  <c r="H73" i="2" s="1"/>
  <c r="G72" i="2"/>
  <c r="F72" i="2"/>
  <c r="J72" i="2" s="1"/>
  <c r="H72" i="2" s="1"/>
  <c r="E72" i="2"/>
  <c r="G69" i="2"/>
  <c r="E69" i="2"/>
  <c r="E68" i="2"/>
  <c r="G67" i="2"/>
  <c r="F67" i="2"/>
  <c r="K67" i="2" s="1"/>
  <c r="E67" i="2"/>
  <c r="F66" i="2"/>
  <c r="I66" i="2" s="1"/>
  <c r="E66" i="2"/>
  <c r="G66" i="2" s="1"/>
  <c r="G64" i="2"/>
  <c r="E64" i="2"/>
  <c r="F64" i="2" s="1"/>
  <c r="K64" i="2" s="1"/>
  <c r="G63" i="2"/>
  <c r="F63" i="2"/>
  <c r="J63" i="2" s="1"/>
  <c r="H63" i="2" s="1"/>
  <c r="E63" i="2"/>
  <c r="F61" i="2"/>
  <c r="E61" i="2"/>
  <c r="E60" i="2"/>
  <c r="G59" i="2"/>
  <c r="F59" i="2"/>
  <c r="K59" i="2" s="1"/>
  <c r="E59" i="2"/>
  <c r="F58" i="2"/>
  <c r="I58" i="2" s="1"/>
  <c r="E58" i="2"/>
  <c r="G58" i="2" s="1"/>
  <c r="G56" i="2"/>
  <c r="E56" i="2"/>
  <c r="F56" i="2" s="1"/>
  <c r="K56" i="2" s="1"/>
  <c r="G54" i="2"/>
  <c r="F54" i="2"/>
  <c r="J54" i="2" s="1"/>
  <c r="H54" i="2" s="1"/>
  <c r="E54" i="2"/>
  <c r="G52" i="2"/>
  <c r="E52" i="2"/>
  <c r="F51" i="2"/>
  <c r="E51" i="2"/>
  <c r="E50" i="2"/>
  <c r="F49" i="2"/>
  <c r="K49" i="2" s="1"/>
  <c r="F48" i="2"/>
  <c r="I48" i="2" s="1"/>
  <c r="E48" i="2"/>
  <c r="G48" i="2" s="1"/>
  <c r="E47" i="2"/>
  <c r="G47" i="2" s="1"/>
  <c r="G46" i="2"/>
  <c r="E46" i="2"/>
  <c r="F46" i="2" s="1"/>
  <c r="K46" i="2" s="1"/>
  <c r="J45" i="2"/>
  <c r="H45" i="2" s="1"/>
  <c r="G44" i="2"/>
  <c r="E44" i="2"/>
  <c r="F43" i="2"/>
  <c r="E43" i="2"/>
  <c r="E42" i="2"/>
  <c r="F41" i="2"/>
  <c r="F40" i="2"/>
  <c r="I40" i="2" s="1"/>
  <c r="E40" i="2"/>
  <c r="G40" i="2" s="1"/>
  <c r="E39" i="2"/>
  <c r="G39" i="2" s="1"/>
  <c r="F38" i="2"/>
  <c r="K38" i="2" s="1"/>
  <c r="G37" i="2"/>
  <c r="F37" i="2"/>
  <c r="J37" i="2" s="1"/>
  <c r="H37" i="2" s="1"/>
  <c r="E37" i="2"/>
  <c r="G36" i="2"/>
  <c r="E36" i="2"/>
  <c r="F35" i="2"/>
  <c r="E35" i="2"/>
  <c r="E34" i="2"/>
  <c r="G33" i="2"/>
  <c r="F33" i="2"/>
  <c r="K33" i="2" s="1"/>
  <c r="E33" i="2"/>
  <c r="F32" i="2"/>
  <c r="I32" i="2" s="1"/>
  <c r="E32" i="2"/>
  <c r="G32" i="2" s="1"/>
  <c r="E29" i="2"/>
  <c r="G29" i="2" s="1"/>
  <c r="G28" i="2"/>
  <c r="E28" i="2"/>
  <c r="F28" i="2" s="1"/>
  <c r="K28" i="2" s="1"/>
  <c r="G27" i="2"/>
  <c r="F27" i="2"/>
  <c r="J27" i="2" s="1"/>
  <c r="H27" i="2" s="1"/>
  <c r="E27" i="2"/>
  <c r="G26" i="2"/>
  <c r="F25" i="2"/>
  <c r="E25" i="2"/>
  <c r="E24" i="2"/>
  <c r="G23" i="2"/>
  <c r="F23" i="2"/>
  <c r="K23" i="2" s="1"/>
  <c r="E23" i="2"/>
  <c r="F22" i="2"/>
  <c r="I22" i="2" s="1"/>
  <c r="E22" i="2"/>
  <c r="G22" i="2" s="1"/>
  <c r="E21" i="2"/>
  <c r="G21" i="2" s="1"/>
  <c r="G20" i="2"/>
  <c r="E20" i="2"/>
  <c r="F20" i="2" s="1"/>
  <c r="K20" i="2" s="1"/>
  <c r="F19" i="2"/>
  <c r="J19" i="2" s="1"/>
  <c r="H19" i="2" s="1"/>
  <c r="G16" i="2"/>
  <c r="E16" i="2"/>
  <c r="F15" i="2"/>
  <c r="I15" i="2" s="1"/>
  <c r="G13" i="2"/>
  <c r="F13" i="2"/>
  <c r="K13" i="2" s="1"/>
  <c r="E13" i="2"/>
  <c r="F12" i="2"/>
  <c r="I12" i="2" s="1"/>
  <c r="E11" i="2"/>
  <c r="G11" i="2" s="1"/>
  <c r="G8" i="2"/>
  <c r="E8" i="2"/>
  <c r="F8" i="2" s="1"/>
  <c r="K8" i="2" s="1"/>
  <c r="F7" i="2"/>
  <c r="J7" i="2" s="1"/>
  <c r="H7" i="2" s="1"/>
  <c r="I7" i="2"/>
  <c r="G6" i="2"/>
  <c r="E6" i="2"/>
  <c r="F5" i="2"/>
  <c r="I5" i="2" s="1"/>
  <c r="E4" i="2"/>
  <c r="J3" i="2"/>
  <c r="H3" i="2" s="1"/>
  <c r="G3" i="2"/>
  <c r="F3" i="2"/>
  <c r="K3" i="2" s="1"/>
  <c r="E3" i="2"/>
  <c r="I3" i="2" s="1"/>
  <c r="I390" i="2" l="1"/>
  <c r="K238" i="2"/>
  <c r="J442" i="2"/>
  <c r="H442" i="2" s="1"/>
  <c r="K92" i="2"/>
  <c r="J23" i="2"/>
  <c r="H23" i="2" s="1"/>
  <c r="K311" i="2"/>
  <c r="I353" i="2"/>
  <c r="I456" i="2"/>
  <c r="K353" i="2"/>
  <c r="I371" i="2"/>
  <c r="K102" i="2"/>
  <c r="K588" i="2"/>
  <c r="K282" i="2"/>
  <c r="I498" i="2"/>
  <c r="I181" i="2"/>
  <c r="I463" i="2"/>
  <c r="I199" i="2"/>
  <c r="I228" i="2"/>
  <c r="I190" i="2"/>
  <c r="I206" i="2"/>
  <c r="K513" i="2"/>
  <c r="J562" i="2"/>
  <c r="I45" i="2"/>
  <c r="K66" i="2"/>
  <c r="I152" i="2"/>
  <c r="J190" i="2"/>
  <c r="H190" i="2" s="1"/>
  <c r="J552" i="2"/>
  <c r="H552" i="2" s="1"/>
  <c r="I92" i="2"/>
  <c r="J318" i="2"/>
  <c r="H318" i="2" s="1"/>
  <c r="J324" i="2"/>
  <c r="H324" i="2" s="1"/>
  <c r="J505" i="2"/>
  <c r="H505" i="2" s="1"/>
  <c r="K508" i="2"/>
  <c r="I173" i="2"/>
  <c r="K181" i="2"/>
  <c r="I503" i="2"/>
  <c r="J41" i="2"/>
  <c r="K416" i="2" s="1"/>
  <c r="I129" i="2"/>
  <c r="I281" i="2"/>
  <c r="K448" i="2"/>
  <c r="K466" i="2"/>
  <c r="I38" i="2"/>
  <c r="K142" i="2"/>
  <c r="K150" i="2"/>
  <c r="J598" i="2"/>
  <c r="H598" i="2" s="1"/>
  <c r="J456" i="2"/>
  <c r="H456" i="2" s="1"/>
  <c r="K552" i="2"/>
  <c r="I165" i="2"/>
  <c r="K262" i="2"/>
  <c r="K285" i="2"/>
  <c r="I299" i="2"/>
  <c r="K468" i="2"/>
  <c r="J165" i="2"/>
  <c r="H165" i="2" s="1"/>
  <c r="J255" i="2"/>
  <c r="H255" i="2" s="1"/>
  <c r="I282" i="2"/>
  <c r="K286" i="2"/>
  <c r="J311" i="2"/>
  <c r="K598" i="2"/>
  <c r="K48" i="2"/>
  <c r="I137" i="2"/>
  <c r="K146" i="2"/>
  <c r="J194" i="2"/>
  <c r="H194" i="2" s="1"/>
  <c r="K207" i="2"/>
  <c r="K233" i="2"/>
  <c r="I246" i="2"/>
  <c r="I562" i="2"/>
  <c r="J567" i="2"/>
  <c r="H567" i="2" s="1"/>
  <c r="K124" i="2"/>
  <c r="K137" i="2"/>
  <c r="I171" i="2"/>
  <c r="I220" i="2"/>
  <c r="K304" i="2"/>
  <c r="K350" i="2"/>
  <c r="I354" i="2"/>
  <c r="I440" i="2"/>
  <c r="K492" i="2"/>
  <c r="J59" i="2"/>
  <c r="H59" i="2" s="1"/>
  <c r="K72" i="2"/>
  <c r="J136" i="2"/>
  <c r="H136" i="2" s="1"/>
  <c r="I144" i="2"/>
  <c r="J202" i="2"/>
  <c r="H202" i="2" s="1"/>
  <c r="K220" i="2"/>
  <c r="K244" i="2"/>
  <c r="K386" i="2"/>
  <c r="J412" i="2"/>
  <c r="H412" i="2" s="1"/>
  <c r="I453" i="2"/>
  <c r="J515" i="2"/>
  <c r="H515" i="2" s="1"/>
  <c r="K12" i="2"/>
  <c r="I27" i="2"/>
  <c r="K32" i="2"/>
  <c r="I102" i="2"/>
  <c r="K136" i="2"/>
  <c r="I157" i="2"/>
  <c r="I166" i="2"/>
  <c r="K199" i="2"/>
  <c r="K202" i="2"/>
  <c r="J263" i="2"/>
  <c r="H263" i="2" s="1"/>
  <c r="K291" i="2"/>
  <c r="I324" i="2"/>
  <c r="J390" i="2"/>
  <c r="H390" i="2" s="1"/>
  <c r="J400" i="2"/>
  <c r="H400" i="2" s="1"/>
  <c r="K412" i="2"/>
  <c r="I476" i="2"/>
  <c r="J583" i="2"/>
  <c r="H583" i="2" s="1"/>
  <c r="K252" i="2"/>
  <c r="I255" i="2"/>
  <c r="K263" i="2"/>
  <c r="I270" i="2"/>
  <c r="J285" i="2"/>
  <c r="H285" i="2" s="1"/>
  <c r="J363" i="2"/>
  <c r="H363" i="2" s="1"/>
  <c r="K367" i="2"/>
  <c r="K433" i="2"/>
  <c r="J476" i="2"/>
  <c r="H476" i="2" s="1"/>
  <c r="K524" i="2"/>
  <c r="J533" i="2"/>
  <c r="H533" i="2" s="1"/>
  <c r="J549" i="2"/>
  <c r="H549" i="2" s="1"/>
  <c r="J573" i="2"/>
  <c r="I13" i="2"/>
  <c r="K27" i="2"/>
  <c r="I33" i="2"/>
  <c r="I49" i="2"/>
  <c r="K63" i="2"/>
  <c r="I67" i="2"/>
  <c r="K112" i="2"/>
  <c r="I168" i="2"/>
  <c r="I225" i="2"/>
  <c r="J228" i="2"/>
  <c r="H228" i="2" s="1"/>
  <c r="I252" i="2"/>
  <c r="I262" i="2"/>
  <c r="K283" i="2"/>
  <c r="I300" i="2"/>
  <c r="I303" i="2"/>
  <c r="I309" i="2"/>
  <c r="K329" i="2"/>
  <c r="J372" i="2"/>
  <c r="H372" i="2" s="1"/>
  <c r="I389" i="2"/>
  <c r="I428" i="2"/>
  <c r="I443" i="2"/>
  <c r="I448" i="2"/>
  <c r="I466" i="2"/>
  <c r="I483" i="2"/>
  <c r="K504" i="2"/>
  <c r="K7" i="2"/>
  <c r="I19" i="2"/>
  <c r="I37" i="2"/>
  <c r="K45" i="2"/>
  <c r="I54" i="2"/>
  <c r="I104" i="2"/>
  <c r="K180" i="2"/>
  <c r="K225" i="2"/>
  <c r="J234" i="2"/>
  <c r="H234" i="2" s="1"/>
  <c r="J243" i="2"/>
  <c r="H243" i="2" s="1"/>
  <c r="I273" i="2"/>
  <c r="J300" i="2"/>
  <c r="H300" i="2" s="1"/>
  <c r="J303" i="2"/>
  <c r="H303" i="2" s="1"/>
  <c r="K309" i="2"/>
  <c r="J345" i="2"/>
  <c r="H345" i="2" s="1"/>
  <c r="I408" i="2"/>
  <c r="K422" i="2"/>
  <c r="J428" i="2"/>
  <c r="H428" i="2" s="1"/>
  <c r="I436" i="2"/>
  <c r="K452" i="2"/>
  <c r="I495" i="2"/>
  <c r="J578" i="2"/>
  <c r="H578" i="2" s="1"/>
  <c r="J588" i="2"/>
  <c r="H588" i="2" s="1"/>
  <c r="J436" i="2"/>
  <c r="H436" i="2" s="1"/>
  <c r="J13" i="2"/>
  <c r="H13" i="2" s="1"/>
  <c r="K22" i="2"/>
  <c r="I28" i="2"/>
  <c r="J33" i="2"/>
  <c r="H33" i="2" s="1"/>
  <c r="K40" i="2"/>
  <c r="J49" i="2"/>
  <c r="K58" i="2"/>
  <c r="I64" i="2"/>
  <c r="J67" i="2"/>
  <c r="H67" i="2" s="1"/>
  <c r="J113" i="2"/>
  <c r="H113" i="2" s="1"/>
  <c r="I159" i="2"/>
  <c r="I191" i="2"/>
  <c r="I226" i="2"/>
  <c r="I238" i="2"/>
  <c r="J354" i="2"/>
  <c r="H354" i="2" s="1"/>
  <c r="K371" i="2"/>
  <c r="J424" i="2"/>
  <c r="H424" i="2" s="1"/>
  <c r="J433" i="2"/>
  <c r="K481" i="2" s="1"/>
  <c r="I460" i="2"/>
  <c r="I465" i="2"/>
  <c r="I478" i="2"/>
  <c r="I531" i="2"/>
  <c r="J539" i="2"/>
  <c r="H539" i="2" s="1"/>
  <c r="I570" i="2"/>
  <c r="J104" i="2"/>
  <c r="H104" i="2" s="1"/>
  <c r="K432" i="2"/>
  <c r="I23" i="2"/>
  <c r="K37" i="2"/>
  <c r="I41" i="2"/>
  <c r="I59" i="2"/>
  <c r="J80" i="2"/>
  <c r="H80" i="2" s="1"/>
  <c r="K113" i="2"/>
  <c r="J159" i="2"/>
  <c r="H159" i="2" s="1"/>
  <c r="J185" i="2"/>
  <c r="H185" i="2" s="1"/>
  <c r="K191" i="2"/>
  <c r="I207" i="2"/>
  <c r="I217" i="2"/>
  <c r="J248" i="2"/>
  <c r="H248" i="2" s="1"/>
  <c r="I259" i="2"/>
  <c r="K318" i="2"/>
  <c r="K368" i="2"/>
  <c r="I372" i="2"/>
  <c r="J379" i="2"/>
  <c r="H379" i="2" s="1"/>
  <c r="I419" i="2"/>
  <c r="J435" i="2"/>
  <c r="J465" i="2"/>
  <c r="H465" i="2" s="1"/>
  <c r="I481" i="2"/>
  <c r="J485" i="2"/>
  <c r="H485" i="2" s="1"/>
  <c r="K490" i="2"/>
  <c r="I544" i="2"/>
  <c r="K570" i="2"/>
  <c r="I578" i="2"/>
  <c r="J591" i="2"/>
  <c r="K595" i="2" s="1"/>
  <c r="K19" i="2"/>
  <c r="K54" i="2"/>
  <c r="K217" i="2"/>
  <c r="I233" i="2"/>
  <c r="I291" i="2"/>
  <c r="J544" i="2"/>
  <c r="J146" i="2"/>
  <c r="H146" i="2" s="1"/>
  <c r="I180" i="2"/>
  <c r="I243" i="2"/>
  <c r="J521" i="2"/>
  <c r="H521" i="2" s="1"/>
  <c r="K609" i="2"/>
  <c r="F14" i="2"/>
  <c r="J14" i="2" s="1"/>
  <c r="H14" i="2" s="1"/>
  <c r="I25" i="2"/>
  <c r="J25" i="2"/>
  <c r="H25" i="2" s="1"/>
  <c r="G50" i="2"/>
  <c r="F50" i="2"/>
  <c r="I50" i="2" s="1"/>
  <c r="J61" i="2"/>
  <c r="H61" i="2" s="1"/>
  <c r="I61" i="2"/>
  <c r="G42" i="2"/>
  <c r="F42" i="2"/>
  <c r="I42" i="2" s="1"/>
  <c r="K15" i="2"/>
  <c r="K51" i="2"/>
  <c r="K5" i="2"/>
  <c r="K43" i="2"/>
  <c r="G4" i="2"/>
  <c r="F4" i="2"/>
  <c r="J4" i="2" s="1"/>
  <c r="H4" i="2" s="1"/>
  <c r="I20" i="2"/>
  <c r="G34" i="2"/>
  <c r="F34" i="2"/>
  <c r="J34" i="2" s="1"/>
  <c r="H34" i="2" s="1"/>
  <c r="I43" i="2"/>
  <c r="J43" i="2"/>
  <c r="H43" i="2" s="1"/>
  <c r="I56" i="2"/>
  <c r="J51" i="2"/>
  <c r="H51" i="2" s="1"/>
  <c r="I51" i="2"/>
  <c r="K35" i="2"/>
  <c r="I8" i="2"/>
  <c r="G24" i="2"/>
  <c r="F24" i="2"/>
  <c r="I24" i="2" s="1"/>
  <c r="J35" i="2"/>
  <c r="H35" i="2" s="1"/>
  <c r="I35" i="2"/>
  <c r="I46" i="2"/>
  <c r="G60" i="2"/>
  <c r="F60" i="2"/>
  <c r="I60" i="2" s="1"/>
  <c r="K25" i="2"/>
  <c r="K61" i="2"/>
  <c r="G94" i="2"/>
  <c r="F94" i="2"/>
  <c r="K94" i="2" s="1"/>
  <c r="J93" i="2"/>
  <c r="H93" i="2" s="1"/>
  <c r="F101" i="2"/>
  <c r="K101" i="2" s="1"/>
  <c r="F106" i="2"/>
  <c r="J106" i="2" s="1"/>
  <c r="H106" i="2" s="1"/>
  <c r="K118" i="2"/>
  <c r="J118" i="2"/>
  <c r="H118" i="2" s="1"/>
  <c r="K121" i="2"/>
  <c r="G193" i="2"/>
  <c r="F193" i="2"/>
  <c r="K193" i="2" s="1"/>
  <c r="K290" i="2"/>
  <c r="J290" i="2"/>
  <c r="H290" i="2" s="1"/>
  <c r="I290" i="2"/>
  <c r="F91" i="2"/>
  <c r="K91" i="2" s="1"/>
  <c r="F6" i="2"/>
  <c r="J6" i="2" s="1"/>
  <c r="H6" i="2" s="1"/>
  <c r="J12" i="2"/>
  <c r="F16" i="2"/>
  <c r="J16" i="2" s="1"/>
  <c r="H16" i="2" s="1"/>
  <c r="J22" i="2"/>
  <c r="H22" i="2" s="1"/>
  <c r="J26" i="2"/>
  <c r="H26" i="2" s="1"/>
  <c r="J32" i="2"/>
  <c r="H32" i="2" s="1"/>
  <c r="F36" i="2"/>
  <c r="J36" i="2" s="1"/>
  <c r="H36" i="2" s="1"/>
  <c r="J40" i="2"/>
  <c r="H40" i="2" s="1"/>
  <c r="F44" i="2"/>
  <c r="J44" i="2" s="1"/>
  <c r="H44" i="2" s="1"/>
  <c r="J48" i="2"/>
  <c r="H48" i="2" s="1"/>
  <c r="F52" i="2"/>
  <c r="J52" i="2" s="1"/>
  <c r="H52" i="2" s="1"/>
  <c r="J58" i="2"/>
  <c r="H58" i="2" s="1"/>
  <c r="J62" i="2"/>
  <c r="J66" i="2"/>
  <c r="H66" i="2" s="1"/>
  <c r="F69" i="2"/>
  <c r="J69" i="2" s="1"/>
  <c r="H69" i="2" s="1"/>
  <c r="I73" i="2"/>
  <c r="K74" i="2"/>
  <c r="F76" i="2"/>
  <c r="K76" i="2" s="1"/>
  <c r="G83" i="2"/>
  <c r="I86" i="2"/>
  <c r="F89" i="2"/>
  <c r="I89" i="2" s="1"/>
  <c r="K93" i="2"/>
  <c r="G101" i="2"/>
  <c r="F108" i="2"/>
  <c r="J108" i="2" s="1"/>
  <c r="H108" i="2" s="1"/>
  <c r="G122" i="2"/>
  <c r="F122" i="2"/>
  <c r="K122" i="2" s="1"/>
  <c r="K126" i="2"/>
  <c r="J126" i="2"/>
  <c r="H126" i="2" s="1"/>
  <c r="K129" i="2"/>
  <c r="K132" i="2"/>
  <c r="G148" i="2"/>
  <c r="F148" i="2"/>
  <c r="K148" i="2" s="1"/>
  <c r="I176" i="2"/>
  <c r="K176" i="2"/>
  <c r="J176" i="2"/>
  <c r="H176" i="2" s="1"/>
  <c r="G215" i="2"/>
  <c r="F215" i="2"/>
  <c r="I215" i="2" s="1"/>
  <c r="G240" i="2"/>
  <c r="F240" i="2"/>
  <c r="I240" i="2" s="1"/>
  <c r="G280" i="2"/>
  <c r="F280" i="2"/>
  <c r="K280" i="2" s="1"/>
  <c r="F284" i="2"/>
  <c r="J284" i="2" s="1"/>
  <c r="H284" i="2" s="1"/>
  <c r="K110" i="2"/>
  <c r="J110" i="2"/>
  <c r="H110" i="2" s="1"/>
  <c r="K134" i="2"/>
  <c r="J134" i="2"/>
  <c r="H134" i="2" s="1"/>
  <c r="J160" i="2"/>
  <c r="H160" i="2" s="1"/>
  <c r="I160" i="2"/>
  <c r="G170" i="2"/>
  <c r="F170" i="2"/>
  <c r="J170" i="2" s="1"/>
  <c r="H170" i="2" s="1"/>
  <c r="G553" i="2"/>
  <c r="F553" i="2"/>
  <c r="I553" i="2" s="1"/>
  <c r="J8" i="2"/>
  <c r="H8" i="2" s="1"/>
  <c r="G15" i="2"/>
  <c r="J20" i="2"/>
  <c r="H20" i="2" s="1"/>
  <c r="G25" i="2"/>
  <c r="J28" i="2"/>
  <c r="H28" i="2" s="1"/>
  <c r="G35" i="2"/>
  <c r="J38" i="2"/>
  <c r="K364" i="2" s="1"/>
  <c r="G43" i="2"/>
  <c r="J46" i="2"/>
  <c r="H46" i="2" s="1"/>
  <c r="G51" i="2"/>
  <c r="J56" i="2"/>
  <c r="H56" i="2" s="1"/>
  <c r="G61" i="2"/>
  <c r="I63" i="2"/>
  <c r="J64" i="2"/>
  <c r="H64" i="2" s="1"/>
  <c r="F68" i="2"/>
  <c r="K68" i="2" s="1"/>
  <c r="I72" i="2"/>
  <c r="K73" i="2"/>
  <c r="F75" i="2"/>
  <c r="I75" i="2" s="1"/>
  <c r="F81" i="2"/>
  <c r="K81" i="2" s="1"/>
  <c r="I83" i="2"/>
  <c r="K88" i="2"/>
  <c r="I88" i="2"/>
  <c r="G91" i="2"/>
  <c r="J92" i="2"/>
  <c r="K144" i="2" s="1"/>
  <c r="F98" i="2"/>
  <c r="K98" i="2" s="1"/>
  <c r="F115" i="2"/>
  <c r="I115" i="2" s="1"/>
  <c r="F117" i="2"/>
  <c r="K117" i="2" s="1"/>
  <c r="I118" i="2"/>
  <c r="J120" i="2"/>
  <c r="K544" i="2" s="1"/>
  <c r="G138" i="2"/>
  <c r="F138" i="2"/>
  <c r="J138" i="2" s="1"/>
  <c r="H138" i="2" s="1"/>
  <c r="G149" i="2"/>
  <c r="F149" i="2"/>
  <c r="I149" i="2" s="1"/>
  <c r="J154" i="2"/>
  <c r="H154" i="2" s="1"/>
  <c r="K160" i="2"/>
  <c r="K198" i="2"/>
  <c r="J198" i="2"/>
  <c r="H198" i="2" s="1"/>
  <c r="J218" i="2"/>
  <c r="H218" i="2" s="1"/>
  <c r="I218" i="2"/>
  <c r="G222" i="2"/>
  <c r="F222" i="2"/>
  <c r="K222" i="2" s="1"/>
  <c r="G271" i="2"/>
  <c r="F271" i="2"/>
  <c r="J271" i="2" s="1"/>
  <c r="H271" i="2" s="1"/>
  <c r="I6" i="2"/>
  <c r="G68" i="2"/>
  <c r="G75" i="2"/>
  <c r="K80" i="2"/>
  <c r="G81" i="2"/>
  <c r="J83" i="2"/>
  <c r="H83" i="2" s="1"/>
  <c r="J86" i="2"/>
  <c r="H86" i="2" s="1"/>
  <c r="G98" i="2"/>
  <c r="K100" i="2"/>
  <c r="J100" i="2"/>
  <c r="H100" i="2" s="1"/>
  <c r="J107" i="2"/>
  <c r="H107" i="2" s="1"/>
  <c r="G107" i="2"/>
  <c r="J109" i="2"/>
  <c r="H109" i="2" s="1"/>
  <c r="I109" i="2"/>
  <c r="F119" i="2"/>
  <c r="I119" i="2" s="1"/>
  <c r="J123" i="2"/>
  <c r="H123" i="2" s="1"/>
  <c r="G123" i="2"/>
  <c r="F125" i="2"/>
  <c r="J125" i="2" s="1"/>
  <c r="H125" i="2" s="1"/>
  <c r="J128" i="2"/>
  <c r="H128" i="2" s="1"/>
  <c r="G178" i="2"/>
  <c r="F178" i="2"/>
  <c r="J178" i="2" s="1"/>
  <c r="H178" i="2" s="1"/>
  <c r="G115" i="2"/>
  <c r="I82" i="2"/>
  <c r="I110" i="2"/>
  <c r="F127" i="2"/>
  <c r="J127" i="2" s="1"/>
  <c r="H127" i="2" s="1"/>
  <c r="K128" i="2"/>
  <c r="G131" i="2"/>
  <c r="F133" i="2"/>
  <c r="K133" i="2" s="1"/>
  <c r="I134" i="2"/>
  <c r="J5" i="2"/>
  <c r="F11" i="2"/>
  <c r="J11" i="2" s="1"/>
  <c r="H11" i="2" s="1"/>
  <c r="J15" i="2"/>
  <c r="H15" i="2" s="1"/>
  <c r="F21" i="2"/>
  <c r="J21" i="2" s="1"/>
  <c r="H21" i="2" s="1"/>
  <c r="F29" i="2"/>
  <c r="J29" i="2" s="1"/>
  <c r="H29" i="2" s="1"/>
  <c r="F39" i="2"/>
  <c r="J39" i="2" s="1"/>
  <c r="H39" i="2" s="1"/>
  <c r="F47" i="2"/>
  <c r="J47" i="2" s="1"/>
  <c r="H47" i="2" s="1"/>
  <c r="F57" i="2"/>
  <c r="J57" i="2" s="1"/>
  <c r="F65" i="2"/>
  <c r="J65" i="2" s="1"/>
  <c r="G80" i="2"/>
  <c r="J82" i="2"/>
  <c r="H82" i="2" s="1"/>
  <c r="I85" i="2"/>
  <c r="K90" i="2"/>
  <c r="J90" i="2"/>
  <c r="H90" i="2" s="1"/>
  <c r="G95" i="2"/>
  <c r="I107" i="2"/>
  <c r="F111" i="2"/>
  <c r="I112" i="2"/>
  <c r="F114" i="2"/>
  <c r="I114" i="2" s="1"/>
  <c r="I123" i="2"/>
  <c r="G127" i="2"/>
  <c r="F131" i="2"/>
  <c r="K131" i="2" s="1"/>
  <c r="G133" i="2"/>
  <c r="F135" i="2"/>
  <c r="I135" i="2" s="1"/>
  <c r="G139" i="2"/>
  <c r="F143" i="2"/>
  <c r="J143" i="2" s="1"/>
  <c r="H143" i="2" s="1"/>
  <c r="J147" i="2"/>
  <c r="H147" i="2" s="1"/>
  <c r="I147" i="2"/>
  <c r="G130" i="2"/>
  <c r="F130" i="2"/>
  <c r="J130" i="2" s="1"/>
  <c r="H130" i="2" s="1"/>
  <c r="I74" i="2"/>
  <c r="F79" i="2"/>
  <c r="I79" i="2" s="1"/>
  <c r="F84" i="2"/>
  <c r="J84" i="2" s="1"/>
  <c r="H84" i="2" s="1"/>
  <c r="J85" i="2"/>
  <c r="H85" i="2" s="1"/>
  <c r="F87" i="2"/>
  <c r="K87" i="2" s="1"/>
  <c r="J88" i="2"/>
  <c r="H88" i="2" s="1"/>
  <c r="F95" i="2"/>
  <c r="I95" i="2" s="1"/>
  <c r="F99" i="2"/>
  <c r="K99" i="2" s="1"/>
  <c r="I100" i="2"/>
  <c r="K107" i="2"/>
  <c r="G111" i="2"/>
  <c r="J116" i="2"/>
  <c r="H116" i="2" s="1"/>
  <c r="I121" i="2"/>
  <c r="K123" i="2"/>
  <c r="G135" i="2"/>
  <c r="F139" i="2"/>
  <c r="I139" i="2" s="1"/>
  <c r="G143" i="2"/>
  <c r="F145" i="2"/>
  <c r="K145" i="2" s="1"/>
  <c r="G145" i="2"/>
  <c r="K164" i="2"/>
  <c r="I164" i="2"/>
  <c r="F213" i="2"/>
  <c r="I213" i="2" s="1"/>
  <c r="G213" i="2"/>
  <c r="K224" i="2"/>
  <c r="J224" i="2"/>
  <c r="H224" i="2" s="1"/>
  <c r="K157" i="2"/>
  <c r="F174" i="2"/>
  <c r="I174" i="2" s="1"/>
  <c r="G174" i="2"/>
  <c r="I189" i="2"/>
  <c r="G196" i="2"/>
  <c r="J210" i="2"/>
  <c r="H210" i="2" s="1"/>
  <c r="G265" i="2"/>
  <c r="F265" i="2"/>
  <c r="K265" i="2" s="1"/>
  <c r="F302" i="2"/>
  <c r="K302" i="2" s="1"/>
  <c r="F151" i="2"/>
  <c r="K151" i="2" s="1"/>
  <c r="J162" i="2"/>
  <c r="H162" i="2" s="1"/>
  <c r="J188" i="2"/>
  <c r="H188" i="2" s="1"/>
  <c r="F196" i="2"/>
  <c r="K196" i="2" s="1"/>
  <c r="I198" i="2"/>
  <c r="F209" i="2"/>
  <c r="I209" i="2" s="1"/>
  <c r="I224" i="2"/>
  <c r="G229" i="2"/>
  <c r="F229" i="2"/>
  <c r="K229" i="2" s="1"/>
  <c r="K232" i="2"/>
  <c r="J232" i="2"/>
  <c r="H232" i="2" s="1"/>
  <c r="I232" i="2"/>
  <c r="F245" i="2"/>
  <c r="K245" i="2" s="1"/>
  <c r="G245" i="2"/>
  <c r="I251" i="2"/>
  <c r="G296" i="2"/>
  <c r="F296" i="2"/>
  <c r="I296" i="2" s="1"/>
  <c r="K328" i="2"/>
  <c r="I328" i="2"/>
  <c r="J328" i="2"/>
  <c r="H328" i="2" s="1"/>
  <c r="I163" i="2"/>
  <c r="J168" i="2"/>
  <c r="H168" i="2" s="1"/>
  <c r="K194" i="2"/>
  <c r="F203" i="2"/>
  <c r="K203" i="2" s="1"/>
  <c r="J216" i="2"/>
  <c r="K301" i="2" s="1"/>
  <c r="G230" i="2"/>
  <c r="G254" i="2"/>
  <c r="F254" i="2"/>
  <c r="J254" i="2" s="1"/>
  <c r="H254" i="2" s="1"/>
  <c r="F370" i="2"/>
  <c r="J144" i="2"/>
  <c r="F156" i="2"/>
  <c r="I156" i="2" s="1"/>
  <c r="I158" i="2"/>
  <c r="F161" i="2"/>
  <c r="K161" i="2" s="1"/>
  <c r="I167" i="2"/>
  <c r="F183" i="2"/>
  <c r="J183" i="2" s="1"/>
  <c r="H183" i="2" s="1"/>
  <c r="K185" i="2"/>
  <c r="I188" i="2"/>
  <c r="F195" i="2"/>
  <c r="J201" i="2"/>
  <c r="H201" i="2" s="1"/>
  <c r="G203" i="2"/>
  <c r="I205" i="2"/>
  <c r="J206" i="2"/>
  <c r="H206" i="2" s="1"/>
  <c r="F208" i="2"/>
  <c r="I208" i="2" s="1"/>
  <c r="G208" i="2"/>
  <c r="F230" i="2"/>
  <c r="K230" i="2" s="1"/>
  <c r="G249" i="2"/>
  <c r="F249" i="2"/>
  <c r="J249" i="2" s="1"/>
  <c r="H249" i="2" s="1"/>
  <c r="K272" i="2"/>
  <c r="J272" i="2"/>
  <c r="H272" i="2" s="1"/>
  <c r="I272" i="2"/>
  <c r="J339" i="2"/>
  <c r="H339" i="2" s="1"/>
  <c r="K339" i="2"/>
  <c r="I339" i="2"/>
  <c r="I124" i="2"/>
  <c r="I132" i="2"/>
  <c r="I142" i="2"/>
  <c r="I150" i="2"/>
  <c r="K154" i="2"/>
  <c r="G156" i="2"/>
  <c r="J158" i="2"/>
  <c r="I162" i="2"/>
  <c r="J167" i="2"/>
  <c r="H167" i="2" s="1"/>
  <c r="F169" i="2"/>
  <c r="F172" i="2"/>
  <c r="F175" i="2"/>
  <c r="J175" i="2" s="1"/>
  <c r="H175" i="2" s="1"/>
  <c r="F187" i="2"/>
  <c r="K187" i="2" s="1"/>
  <c r="K189" i="2"/>
  <c r="F197" i="2"/>
  <c r="J197" i="2" s="1"/>
  <c r="H197" i="2" s="1"/>
  <c r="F200" i="2"/>
  <c r="J200" i="2" s="1"/>
  <c r="H200" i="2" s="1"/>
  <c r="G200" i="2"/>
  <c r="K201" i="2"/>
  <c r="I210" i="2"/>
  <c r="K223" i="2"/>
  <c r="J223" i="2"/>
  <c r="H223" i="2" s="1"/>
  <c r="K231" i="2"/>
  <c r="J231" i="2"/>
  <c r="H231" i="2" s="1"/>
  <c r="I231" i="2"/>
  <c r="F177" i="2"/>
  <c r="K177" i="2" s="1"/>
  <c r="F192" i="2"/>
  <c r="J192" i="2" s="1"/>
  <c r="G214" i="2"/>
  <c r="G219" i="2"/>
  <c r="F219" i="2"/>
  <c r="J219" i="2" s="1"/>
  <c r="H219" i="2" s="1"/>
  <c r="K247" i="2"/>
  <c r="I247" i="2"/>
  <c r="G260" i="2"/>
  <c r="F260" i="2"/>
  <c r="J260" i="2" s="1"/>
  <c r="H260" i="2" s="1"/>
  <c r="G326" i="2"/>
  <c r="F326" i="2"/>
  <c r="J326" i="2" s="1"/>
  <c r="H326" i="2" s="1"/>
  <c r="J152" i="2"/>
  <c r="H152" i="2" s="1"/>
  <c r="G154" i="2"/>
  <c r="K163" i="2"/>
  <c r="J166" i="2"/>
  <c r="H166" i="2" s="1"/>
  <c r="K171" i="2"/>
  <c r="K173" i="2"/>
  <c r="G177" i="2"/>
  <c r="F179" i="2"/>
  <c r="J179" i="2" s="1"/>
  <c r="H179" i="2" s="1"/>
  <c r="F182" i="2"/>
  <c r="K182" i="2" s="1"/>
  <c r="G182" i="2"/>
  <c r="G189" i="2"/>
  <c r="J204" i="2"/>
  <c r="H204" i="2" s="1"/>
  <c r="G204" i="2"/>
  <c r="K204" i="2"/>
  <c r="F214" i="2"/>
  <c r="J214" i="2" s="1"/>
  <c r="H214" i="2" s="1"/>
  <c r="I216" i="2"/>
  <c r="F221" i="2"/>
  <c r="K221" i="2" s="1"/>
  <c r="G223" i="2"/>
  <c r="G231" i="2"/>
  <c r="J247" i="2"/>
  <c r="H247" i="2" s="1"/>
  <c r="F337" i="2"/>
  <c r="K337" i="2" s="1"/>
  <c r="G337" i="2"/>
  <c r="G218" i="2"/>
  <c r="G226" i="2"/>
  <c r="G234" i="2"/>
  <c r="J241" i="2"/>
  <c r="H241" i="2" s="1"/>
  <c r="J244" i="2"/>
  <c r="H244" i="2" s="1"/>
  <c r="G247" i="2"/>
  <c r="K250" i="2"/>
  <c r="G251" i="2"/>
  <c r="J253" i="2"/>
  <c r="J264" i="2"/>
  <c r="H264" i="2" s="1"/>
  <c r="I266" i="2"/>
  <c r="I276" i="2"/>
  <c r="J283" i="2"/>
  <c r="H283" i="2" s="1"/>
  <c r="I294" i="2"/>
  <c r="J301" i="2"/>
  <c r="K312" i="2"/>
  <c r="K319" i="2"/>
  <c r="I329" i="2"/>
  <c r="I332" i="2"/>
  <c r="G341" i="2"/>
  <c r="F341" i="2"/>
  <c r="K341" i="2" s="1"/>
  <c r="G423" i="2"/>
  <c r="F423" i="2"/>
  <c r="J423" i="2" s="1"/>
  <c r="H423" i="2" s="1"/>
  <c r="J287" i="2"/>
  <c r="H287" i="2" s="1"/>
  <c r="I287" i="2"/>
  <c r="J305" i="2"/>
  <c r="H305" i="2" s="1"/>
  <c r="I305" i="2"/>
  <c r="F313" i="2"/>
  <c r="I313" i="2" s="1"/>
  <c r="K317" i="2"/>
  <c r="G320" i="2"/>
  <c r="F320" i="2"/>
  <c r="K320" i="2" s="1"/>
  <c r="J276" i="2"/>
  <c r="G287" i="2"/>
  <c r="J294" i="2"/>
  <c r="G310" i="2"/>
  <c r="F310" i="2"/>
  <c r="K310" i="2" s="1"/>
  <c r="G317" i="2"/>
  <c r="J332" i="2"/>
  <c r="H332" i="2" s="1"/>
  <c r="G430" i="2"/>
  <c r="F430" i="2"/>
  <c r="I430" i="2" s="1"/>
  <c r="K218" i="2"/>
  <c r="K226" i="2"/>
  <c r="K234" i="2"/>
  <c r="F239" i="2"/>
  <c r="K239" i="2" s="1"/>
  <c r="I241" i="2"/>
  <c r="J246" i="2"/>
  <c r="H246" i="2" s="1"/>
  <c r="I248" i="2"/>
  <c r="I250" i="2"/>
  <c r="K251" i="2"/>
  <c r="J259" i="2"/>
  <c r="K573" i="2" s="1"/>
  <c r="I261" i="2"/>
  <c r="J266" i="2"/>
  <c r="H266" i="2" s="1"/>
  <c r="K270" i="2"/>
  <c r="J273" i="2"/>
  <c r="H273" i="2" s="1"/>
  <c r="F275" i="2"/>
  <c r="K275" i="2" s="1"/>
  <c r="I286" i="2"/>
  <c r="F289" i="2"/>
  <c r="K289" i="2" s="1"/>
  <c r="F293" i="2"/>
  <c r="K293" i="2" s="1"/>
  <c r="I304" i="2"/>
  <c r="F307" i="2"/>
  <c r="I307" i="2" s="1"/>
  <c r="J308" i="2"/>
  <c r="H308" i="2" s="1"/>
  <c r="I312" i="2"/>
  <c r="I317" i="2"/>
  <c r="F333" i="2"/>
  <c r="K333" i="2" s="1"/>
  <c r="G348" i="2"/>
  <c r="F348" i="2"/>
  <c r="J348" i="2" s="1"/>
  <c r="H348" i="2" s="1"/>
  <c r="J364" i="2"/>
  <c r="K385" i="2"/>
  <c r="F417" i="2"/>
  <c r="J417" i="2" s="1"/>
  <c r="H417" i="2" s="1"/>
  <c r="G417" i="2"/>
  <c r="J261" i="2"/>
  <c r="K276" i="2" s="1"/>
  <c r="K287" i="2"/>
  <c r="K308" i="2"/>
  <c r="G316" i="2"/>
  <c r="G331" i="2"/>
  <c r="F331" i="2"/>
  <c r="K331" i="2" s="1"/>
  <c r="J385" i="2"/>
  <c r="H385" i="2" s="1"/>
  <c r="I385" i="2"/>
  <c r="F388" i="2"/>
  <c r="K388" i="2" s="1"/>
  <c r="F399" i="2"/>
  <c r="I399" i="2" s="1"/>
  <c r="F482" i="2"/>
  <c r="I482" i="2" s="1"/>
  <c r="G482" i="2"/>
  <c r="F227" i="2"/>
  <c r="F236" i="2"/>
  <c r="G274" i="2"/>
  <c r="F274" i="2"/>
  <c r="F277" i="2"/>
  <c r="K277" i="2" s="1"/>
  <c r="G292" i="2"/>
  <c r="F292" i="2"/>
  <c r="F295" i="2"/>
  <c r="K295" i="2" s="1"/>
  <c r="F316" i="2"/>
  <c r="I316" i="2" s="1"/>
  <c r="I323" i="2"/>
  <c r="F327" i="2"/>
  <c r="K327" i="2" s="1"/>
  <c r="K338" i="2"/>
  <c r="I338" i="2"/>
  <c r="K346" i="2"/>
  <c r="J346" i="2"/>
  <c r="H346" i="2" s="1"/>
  <c r="G352" i="2"/>
  <c r="F352" i="2"/>
  <c r="K352" i="2" s="1"/>
  <c r="K380" i="2"/>
  <c r="J380" i="2"/>
  <c r="H380" i="2" s="1"/>
  <c r="F242" i="2"/>
  <c r="I253" i="2"/>
  <c r="F258" i="2"/>
  <c r="I258" i="2" s="1"/>
  <c r="G263" i="2"/>
  <c r="I264" i="2"/>
  <c r="F269" i="2"/>
  <c r="G277" i="2"/>
  <c r="J286" i="2"/>
  <c r="H286" i="2" s="1"/>
  <c r="F288" i="2"/>
  <c r="I288" i="2" s="1"/>
  <c r="G295" i="2"/>
  <c r="K299" i="2"/>
  <c r="J304" i="2"/>
  <c r="H304" i="2" s="1"/>
  <c r="F306" i="2"/>
  <c r="I306" i="2" s="1"/>
  <c r="I319" i="2"/>
  <c r="F325" i="2"/>
  <c r="K325" i="2" s="1"/>
  <c r="G327" i="2"/>
  <c r="K336" i="2"/>
  <c r="I404" i="2"/>
  <c r="K404" i="2"/>
  <c r="J404" i="2"/>
  <c r="H404" i="2" s="1"/>
  <c r="G414" i="2"/>
  <c r="F414" i="2"/>
  <c r="J414" i="2" s="1"/>
  <c r="H414" i="2" s="1"/>
  <c r="G356" i="2"/>
  <c r="K360" i="2"/>
  <c r="K376" i="2"/>
  <c r="G392" i="2"/>
  <c r="K394" i="2"/>
  <c r="G402" i="2"/>
  <c r="J416" i="2"/>
  <c r="F596" i="2"/>
  <c r="J596" i="2" s="1"/>
  <c r="H596" i="2" s="1"/>
  <c r="G596" i="2"/>
  <c r="F343" i="2"/>
  <c r="I343" i="2" s="1"/>
  <c r="I346" i="2"/>
  <c r="F356" i="2"/>
  <c r="J356" i="2" s="1"/>
  <c r="H356" i="2" s="1"/>
  <c r="F361" i="2"/>
  <c r="I361" i="2" s="1"/>
  <c r="I364" i="2"/>
  <c r="F374" i="2"/>
  <c r="J374" i="2" s="1"/>
  <c r="H374" i="2" s="1"/>
  <c r="F377" i="2"/>
  <c r="J377" i="2" s="1"/>
  <c r="H377" i="2" s="1"/>
  <c r="I380" i="2"/>
  <c r="F392" i="2"/>
  <c r="J392" i="2" s="1"/>
  <c r="H392" i="2" s="1"/>
  <c r="F402" i="2"/>
  <c r="K402" i="2" s="1"/>
  <c r="F566" i="2"/>
  <c r="K566" i="2" s="1"/>
  <c r="G566" i="2"/>
  <c r="G336" i="2"/>
  <c r="I342" i="2"/>
  <c r="F355" i="2"/>
  <c r="J355" i="2" s="1"/>
  <c r="H355" i="2" s="1"/>
  <c r="I360" i="2"/>
  <c r="G367" i="2"/>
  <c r="F373" i="2"/>
  <c r="I376" i="2"/>
  <c r="J386" i="2"/>
  <c r="H386" i="2" s="1"/>
  <c r="I391" i="2"/>
  <c r="G406" i="2"/>
  <c r="J406" i="2"/>
  <c r="H406" i="2" s="1"/>
  <c r="K408" i="2"/>
  <c r="J408" i="2"/>
  <c r="H408" i="2" s="1"/>
  <c r="I425" i="2"/>
  <c r="F431" i="2"/>
  <c r="J431" i="2" s="1"/>
  <c r="H431" i="2" s="1"/>
  <c r="F464" i="2"/>
  <c r="K464" i="2" s="1"/>
  <c r="G464" i="2"/>
  <c r="G366" i="2"/>
  <c r="G384" i="2"/>
  <c r="F401" i="2"/>
  <c r="K401" i="2" s="1"/>
  <c r="G415" i="2"/>
  <c r="G431" i="2"/>
  <c r="G502" i="2"/>
  <c r="F502" i="2"/>
  <c r="I502" i="2" s="1"/>
  <c r="I336" i="2"/>
  <c r="J349" i="2"/>
  <c r="H349" i="2" s="1"/>
  <c r="F351" i="2"/>
  <c r="I351" i="2" s="1"/>
  <c r="G363" i="2"/>
  <c r="F366" i="2"/>
  <c r="K366" i="2" s="1"/>
  <c r="J367" i="2"/>
  <c r="H367" i="2" s="1"/>
  <c r="F369" i="2"/>
  <c r="I369" i="2" s="1"/>
  <c r="G379" i="2"/>
  <c r="F384" i="2"/>
  <c r="K384" i="2" s="1"/>
  <c r="F387" i="2"/>
  <c r="I387" i="2" s="1"/>
  <c r="G401" i="2"/>
  <c r="F403" i="2"/>
  <c r="J403" i="2" s="1"/>
  <c r="H403" i="2" s="1"/>
  <c r="F409" i="2"/>
  <c r="K409" i="2" s="1"/>
  <c r="F415" i="2"/>
  <c r="J415" i="2" s="1"/>
  <c r="H415" i="2" s="1"/>
  <c r="F439" i="2"/>
  <c r="I439" i="2" s="1"/>
  <c r="F330" i="2"/>
  <c r="K330" i="2" s="1"/>
  <c r="J336" i="2"/>
  <c r="H336" i="2" s="1"/>
  <c r="F340" i="2"/>
  <c r="G344" i="2"/>
  <c r="I345" i="2"/>
  <c r="F359" i="2"/>
  <c r="J359" i="2" s="1"/>
  <c r="H359" i="2" s="1"/>
  <c r="G362" i="2"/>
  <c r="I363" i="2"/>
  <c r="G369" i="2"/>
  <c r="F375" i="2"/>
  <c r="J375" i="2" s="1"/>
  <c r="H375" i="2" s="1"/>
  <c r="I379" i="2"/>
  <c r="G387" i="2"/>
  <c r="F393" i="2"/>
  <c r="J393" i="2" s="1"/>
  <c r="H393" i="2" s="1"/>
  <c r="G398" i="2"/>
  <c r="F398" i="2"/>
  <c r="K398" i="2" s="1"/>
  <c r="G403" i="2"/>
  <c r="G409" i="2"/>
  <c r="I411" i="2"/>
  <c r="J342" i="2"/>
  <c r="H342" i="2" s="1"/>
  <c r="F344" i="2"/>
  <c r="F347" i="2"/>
  <c r="I350" i="2"/>
  <c r="F362" i="2"/>
  <c r="K362" i="2" s="1"/>
  <c r="F365" i="2"/>
  <c r="J365" i="2" s="1"/>
  <c r="H365" i="2" s="1"/>
  <c r="I368" i="2"/>
  <c r="F378" i="2"/>
  <c r="K378" i="2" s="1"/>
  <c r="F381" i="2"/>
  <c r="J381" i="2" s="1"/>
  <c r="H381" i="2" s="1"/>
  <c r="J394" i="2"/>
  <c r="H394" i="2" s="1"/>
  <c r="I400" i="2"/>
  <c r="F407" i="2"/>
  <c r="J407" i="2" s="1"/>
  <c r="H407" i="2" s="1"/>
  <c r="I416" i="2"/>
  <c r="G427" i="2"/>
  <c r="K427" i="2"/>
  <c r="J427" i="2"/>
  <c r="H427" i="2" s="1"/>
  <c r="I427" i="2"/>
  <c r="K450" i="2"/>
  <c r="J410" i="2"/>
  <c r="H410" i="2" s="1"/>
  <c r="K411" i="2"/>
  <c r="J418" i="2"/>
  <c r="H418" i="2" s="1"/>
  <c r="K419" i="2"/>
  <c r="I450" i="2"/>
  <c r="G452" i="2"/>
  <c r="F454" i="2"/>
  <c r="J454" i="2" s="1"/>
  <c r="H454" i="2" s="1"/>
  <c r="I455" i="2"/>
  <c r="G467" i="2"/>
  <c r="J467" i="2"/>
  <c r="H467" i="2" s="1"/>
  <c r="I473" i="2"/>
  <c r="G480" i="2"/>
  <c r="F480" i="2"/>
  <c r="J480" i="2" s="1"/>
  <c r="H480" i="2" s="1"/>
  <c r="F517" i="2"/>
  <c r="J517" i="2" s="1"/>
  <c r="H517" i="2" s="1"/>
  <c r="G517" i="2"/>
  <c r="F535" i="2"/>
  <c r="J535" i="2" s="1"/>
  <c r="H535" i="2" s="1"/>
  <c r="G535" i="2"/>
  <c r="G548" i="2"/>
  <c r="F548" i="2"/>
  <c r="I548" i="2" s="1"/>
  <c r="F395" i="2"/>
  <c r="F405" i="2"/>
  <c r="J405" i="2" s="1"/>
  <c r="H405" i="2" s="1"/>
  <c r="K410" i="2"/>
  <c r="F413" i="2"/>
  <c r="K418" i="2"/>
  <c r="J422" i="2"/>
  <c r="H422" i="2" s="1"/>
  <c r="F426" i="2"/>
  <c r="I432" i="2"/>
  <c r="F441" i="2"/>
  <c r="J441" i="2" s="1"/>
  <c r="H441" i="2" s="1"/>
  <c r="F444" i="2"/>
  <c r="K444" i="2" s="1"/>
  <c r="I445" i="2"/>
  <c r="J455" i="2"/>
  <c r="H455" i="2" s="1"/>
  <c r="G459" i="2"/>
  <c r="F459" i="2"/>
  <c r="I459" i="2" s="1"/>
  <c r="K461" i="2"/>
  <c r="I461" i="2"/>
  <c r="F474" i="2"/>
  <c r="J474" i="2" s="1"/>
  <c r="H474" i="2" s="1"/>
  <c r="J478" i="2"/>
  <c r="H478" i="2" s="1"/>
  <c r="J497" i="2"/>
  <c r="F429" i="2"/>
  <c r="K429" i="2" s="1"/>
  <c r="G441" i="2"/>
  <c r="J445" i="2"/>
  <c r="H445" i="2" s="1"/>
  <c r="G449" i="2"/>
  <c r="F449" i="2"/>
  <c r="J449" i="2" s="1"/>
  <c r="H449" i="2" s="1"/>
  <c r="K451" i="2"/>
  <c r="I451" i="2"/>
  <c r="J463" i="2"/>
  <c r="H463" i="2" s="1"/>
  <c r="G472" i="2"/>
  <c r="F472" i="2"/>
  <c r="K472" i="2" s="1"/>
  <c r="K555" i="2"/>
  <c r="I555" i="2"/>
  <c r="J555" i="2"/>
  <c r="H555" i="2" s="1"/>
  <c r="J425" i="2"/>
  <c r="H425" i="2" s="1"/>
  <c r="J440" i="2"/>
  <c r="H440" i="2" s="1"/>
  <c r="G440" i="2"/>
  <c r="J443" i="2"/>
  <c r="K462" i="2" s="1"/>
  <c r="K445" i="2"/>
  <c r="J453" i="2"/>
  <c r="H453" i="2" s="1"/>
  <c r="J468" i="2"/>
  <c r="H468" i="2" s="1"/>
  <c r="J481" i="2"/>
  <c r="F486" i="2"/>
  <c r="I486" i="2" s="1"/>
  <c r="G486" i="2"/>
  <c r="F507" i="2"/>
  <c r="I507" i="2" s="1"/>
  <c r="F523" i="2"/>
  <c r="K523" i="2" s="1"/>
  <c r="G543" i="2"/>
  <c r="F543" i="2"/>
  <c r="K543" i="2" s="1"/>
  <c r="G546" i="2"/>
  <c r="F546" i="2"/>
  <c r="J546" i="2" s="1"/>
  <c r="H546" i="2" s="1"/>
  <c r="I424" i="2"/>
  <c r="F434" i="2"/>
  <c r="I434" i="2" s="1"/>
  <c r="I435" i="2"/>
  <c r="I442" i="2"/>
  <c r="J451" i="2"/>
  <c r="H451" i="2" s="1"/>
  <c r="J460" i="2"/>
  <c r="H460" i="2" s="1"/>
  <c r="G460" i="2"/>
  <c r="J462" i="2"/>
  <c r="K510" i="2" s="1"/>
  <c r="I462" i="2"/>
  <c r="J473" i="2"/>
  <c r="H473" i="2" s="1"/>
  <c r="J475" i="2"/>
  <c r="H475" i="2" s="1"/>
  <c r="I475" i="2"/>
  <c r="K484" i="2"/>
  <c r="K520" i="2"/>
  <c r="K538" i="2"/>
  <c r="F576" i="2"/>
  <c r="J576" i="2" s="1"/>
  <c r="H576" i="2" s="1"/>
  <c r="G576" i="2"/>
  <c r="J450" i="2"/>
  <c r="H450" i="2" s="1"/>
  <c r="G450" i="2"/>
  <c r="J452" i="2"/>
  <c r="H452" i="2" s="1"/>
  <c r="I452" i="2"/>
  <c r="G477" i="2"/>
  <c r="F477" i="2"/>
  <c r="K477" i="2" s="1"/>
  <c r="G489" i="2"/>
  <c r="F489" i="2"/>
  <c r="I489" i="2" s="1"/>
  <c r="F499" i="2"/>
  <c r="I499" i="2" s="1"/>
  <c r="G499" i="2"/>
  <c r="K557" i="2"/>
  <c r="I557" i="2"/>
  <c r="F586" i="2"/>
  <c r="I586" i="2" s="1"/>
  <c r="G586" i="2"/>
  <c r="G468" i="2"/>
  <c r="G478" i="2"/>
  <c r="G484" i="2"/>
  <c r="I485" i="2"/>
  <c r="I490" i="2"/>
  <c r="J492" i="2"/>
  <c r="H492" i="2" s="1"/>
  <c r="G492" i="2"/>
  <c r="J495" i="2"/>
  <c r="H495" i="2" s="1"/>
  <c r="K497" i="2"/>
  <c r="G504" i="2"/>
  <c r="I505" i="2"/>
  <c r="I508" i="2"/>
  <c r="J510" i="2"/>
  <c r="H510" i="2" s="1"/>
  <c r="J513" i="2"/>
  <c r="H513" i="2" s="1"/>
  <c r="K515" i="2"/>
  <c r="G520" i="2"/>
  <c r="I521" i="2"/>
  <c r="I524" i="2"/>
  <c r="J528" i="2"/>
  <c r="H528" i="2" s="1"/>
  <c r="G528" i="2"/>
  <c r="J531" i="2"/>
  <c r="H531" i="2" s="1"/>
  <c r="K533" i="2"/>
  <c r="G538" i="2"/>
  <c r="I539" i="2"/>
  <c r="I549" i="2"/>
  <c r="J551" i="2"/>
  <c r="H551" i="2" s="1"/>
  <c r="G564" i="2"/>
  <c r="F564" i="2"/>
  <c r="K564" i="2" s="1"/>
  <c r="G602" i="2"/>
  <c r="F602" i="2"/>
  <c r="K602" i="2" s="1"/>
  <c r="I469" i="2"/>
  <c r="I479" i="2"/>
  <c r="K483" i="2"/>
  <c r="K503" i="2"/>
  <c r="K519" i="2"/>
  <c r="K537" i="2"/>
  <c r="F550" i="2"/>
  <c r="J550" i="2" s="1"/>
  <c r="H550" i="2" s="1"/>
  <c r="F559" i="2"/>
  <c r="I559" i="2" s="1"/>
  <c r="J603" i="2"/>
  <c r="H603" i="2" s="1"/>
  <c r="F506" i="2"/>
  <c r="K506" i="2" s="1"/>
  <c r="F522" i="2"/>
  <c r="I522" i="2" s="1"/>
  <c r="F540" i="2"/>
  <c r="K540" i="2" s="1"/>
  <c r="F556" i="2"/>
  <c r="J556" i="2" s="1"/>
  <c r="H556" i="2" s="1"/>
  <c r="K597" i="2"/>
  <c r="J597" i="2"/>
  <c r="H597" i="2" s="1"/>
  <c r="K603" i="2"/>
  <c r="I603" i="2"/>
  <c r="K469" i="2"/>
  <c r="K479" i="2"/>
  <c r="G483" i="2"/>
  <c r="F491" i="2"/>
  <c r="I491" i="2" s="1"/>
  <c r="F494" i="2"/>
  <c r="K494" i="2" s="1"/>
  <c r="G503" i="2"/>
  <c r="G506" i="2"/>
  <c r="F509" i="2"/>
  <c r="I509" i="2" s="1"/>
  <c r="F512" i="2"/>
  <c r="K512" i="2" s="1"/>
  <c r="G519" i="2"/>
  <c r="G522" i="2"/>
  <c r="F527" i="2"/>
  <c r="I527" i="2" s="1"/>
  <c r="I528" i="2"/>
  <c r="F530" i="2"/>
  <c r="K530" i="2" s="1"/>
  <c r="G537" i="2"/>
  <c r="G540" i="2"/>
  <c r="G545" i="2"/>
  <c r="F545" i="2"/>
  <c r="I545" i="2" s="1"/>
  <c r="K547" i="2"/>
  <c r="I547" i="2"/>
  <c r="F554" i="2"/>
  <c r="J554" i="2" s="1"/>
  <c r="H554" i="2" s="1"/>
  <c r="G556" i="2"/>
  <c r="K567" i="2"/>
  <c r="I567" i="2"/>
  <c r="J569" i="2"/>
  <c r="H569" i="2" s="1"/>
  <c r="G574" i="2"/>
  <c r="F574" i="2"/>
  <c r="K574" i="2" s="1"/>
  <c r="G584" i="2"/>
  <c r="F584" i="2"/>
  <c r="K584" i="2" s="1"/>
  <c r="G592" i="2"/>
  <c r="F592" i="2"/>
  <c r="K592" i="2" s="1"/>
  <c r="J604" i="2"/>
  <c r="H604" i="2" s="1"/>
  <c r="I604" i="2"/>
  <c r="G512" i="2"/>
  <c r="I516" i="2"/>
  <c r="G518" i="2"/>
  <c r="I519" i="2"/>
  <c r="G530" i="2"/>
  <c r="I534" i="2"/>
  <c r="G536" i="2"/>
  <c r="I537" i="2"/>
  <c r="K565" i="2"/>
  <c r="I565" i="2"/>
  <c r="G572" i="2"/>
  <c r="F572" i="2"/>
  <c r="I572" i="2" s="1"/>
  <c r="J498" i="2"/>
  <c r="H498" i="2" s="1"/>
  <c r="J516" i="2"/>
  <c r="H516" i="2" s="1"/>
  <c r="F518" i="2"/>
  <c r="I518" i="2" s="1"/>
  <c r="J534" i="2"/>
  <c r="H534" i="2" s="1"/>
  <c r="I536" i="2"/>
  <c r="F568" i="2"/>
  <c r="I568" i="2" s="1"/>
  <c r="J575" i="2"/>
  <c r="H575" i="2" s="1"/>
  <c r="J585" i="2"/>
  <c r="H585" i="2" s="1"/>
  <c r="J595" i="2"/>
  <c r="I484" i="2"/>
  <c r="F493" i="2"/>
  <c r="I493" i="2" s="1"/>
  <c r="F496" i="2"/>
  <c r="J496" i="2" s="1"/>
  <c r="H496" i="2" s="1"/>
  <c r="I504" i="2"/>
  <c r="F511" i="2"/>
  <c r="J511" i="2" s="1"/>
  <c r="H511" i="2" s="1"/>
  <c r="F514" i="2"/>
  <c r="J514" i="2" s="1"/>
  <c r="H514" i="2" s="1"/>
  <c r="I520" i="2"/>
  <c r="F529" i="2"/>
  <c r="J529" i="2" s="1"/>
  <c r="H529" i="2" s="1"/>
  <c r="F532" i="2"/>
  <c r="J532" i="2" s="1"/>
  <c r="H532" i="2" s="1"/>
  <c r="I538" i="2"/>
  <c r="J557" i="2"/>
  <c r="H557" i="2" s="1"/>
  <c r="J565" i="2"/>
  <c r="H565" i="2" s="1"/>
  <c r="K575" i="2"/>
  <c r="I575" i="2"/>
  <c r="K585" i="2"/>
  <c r="I585" i="2"/>
  <c r="I595" i="2"/>
  <c r="I551" i="2"/>
  <c r="G557" i="2"/>
  <c r="I561" i="2"/>
  <c r="G567" i="2"/>
  <c r="I569" i="2"/>
  <c r="G575" i="2"/>
  <c r="I577" i="2"/>
  <c r="G585" i="2"/>
  <c r="I587" i="2"/>
  <c r="I597" i="2"/>
  <c r="G603" i="2"/>
  <c r="K561" i="2"/>
  <c r="K577" i="2"/>
  <c r="F582" i="2"/>
  <c r="K587" i="2"/>
  <c r="F590" i="2"/>
  <c r="J590" i="2" s="1"/>
  <c r="H590" i="2" s="1"/>
  <c r="F600" i="2"/>
  <c r="K600" i="2" s="1"/>
  <c r="F608" i="2"/>
  <c r="K608" i="2" s="1"/>
  <c r="G609" i="2"/>
  <c r="F563" i="2"/>
  <c r="J563" i="2" s="1"/>
  <c r="H563" i="2" s="1"/>
  <c r="F571" i="2"/>
  <c r="J571" i="2" s="1"/>
  <c r="H571" i="2" s="1"/>
  <c r="F579" i="2"/>
  <c r="J579" i="2" s="1"/>
  <c r="H579" i="2" s="1"/>
  <c r="F589" i="2"/>
  <c r="J589" i="2" s="1"/>
  <c r="H589" i="2" s="1"/>
  <c r="G590" i="2"/>
  <c r="F599" i="2"/>
  <c r="J599" i="2" s="1"/>
  <c r="H599" i="2" s="1"/>
  <c r="G600" i="2"/>
  <c r="K604" i="2"/>
  <c r="F607" i="2"/>
  <c r="J607" i="2" s="1"/>
  <c r="H607" i="2" s="1"/>
  <c r="G608" i="2"/>
  <c r="G563" i="2"/>
  <c r="G571" i="2"/>
  <c r="I573" i="2"/>
  <c r="G579" i="2"/>
  <c r="I583" i="2"/>
  <c r="G589" i="2"/>
  <c r="I591" i="2"/>
  <c r="G599" i="2"/>
  <c r="I601" i="2"/>
  <c r="F606" i="2"/>
  <c r="J606" i="2" s="1"/>
  <c r="H606" i="2" s="1"/>
  <c r="G607" i="2"/>
  <c r="I609" i="2"/>
  <c r="J601" i="2"/>
  <c r="H601" i="2" s="1"/>
  <c r="F605" i="2"/>
  <c r="I605" i="2" s="1"/>
  <c r="J609" i="2"/>
  <c r="H609" i="2" s="1"/>
  <c r="H65" i="2" l="1"/>
  <c r="K216" i="2"/>
  <c r="H591" i="2"/>
  <c r="I131" i="2"/>
  <c r="H49" i="2"/>
  <c r="H497" i="2"/>
  <c r="H481" i="2"/>
  <c r="H435" i="2"/>
  <c r="H433" i="2"/>
  <c r="H416" i="2"/>
  <c r="K370" i="2"/>
  <c r="H364" i="2"/>
  <c r="K340" i="2"/>
  <c r="H311" i="2"/>
  <c r="H301" i="2"/>
  <c r="H294" i="2"/>
  <c r="H261" i="2"/>
  <c r="K261" i="2"/>
  <c r="H253" i="2"/>
  <c r="H216" i="2"/>
  <c r="K195" i="2"/>
  <c r="H158" i="2"/>
  <c r="H62" i="2"/>
  <c r="H38" i="2"/>
  <c r="H573" i="2"/>
  <c r="H562" i="2"/>
  <c r="H544" i="2"/>
  <c r="H462" i="2"/>
  <c r="H443" i="2"/>
  <c r="H259" i="2"/>
  <c r="K166" i="2"/>
  <c r="H144" i="2"/>
  <c r="K120" i="2"/>
  <c r="H120" i="2"/>
  <c r="K482" i="2"/>
  <c r="I320" i="2"/>
  <c r="I277" i="2"/>
  <c r="H92" i="2"/>
  <c r="K572" i="2"/>
  <c r="I403" i="2"/>
  <c r="H57" i="2"/>
  <c r="J543" i="2"/>
  <c r="H543" i="2" s="1"/>
  <c r="J91" i="2"/>
  <c r="H91" i="2" s="1"/>
  <c r="K313" i="2"/>
  <c r="J76" i="2"/>
  <c r="H76" i="2" s="1"/>
  <c r="K41" i="2"/>
  <c r="J230" i="2"/>
  <c r="H230" i="2" s="1"/>
  <c r="I219" i="2"/>
  <c r="I91" i="2"/>
  <c r="I44" i="2"/>
  <c r="J122" i="2"/>
  <c r="H122" i="2" s="1"/>
  <c r="J187" i="2"/>
  <c r="H187" i="2" s="1"/>
  <c r="H41" i="2"/>
  <c r="J430" i="2"/>
  <c r="H430" i="2" s="1"/>
  <c r="K213" i="2"/>
  <c r="K430" i="2"/>
  <c r="J87" i="2"/>
  <c r="H87" i="2" s="1"/>
  <c r="K106" i="2"/>
  <c r="K589" i="2"/>
  <c r="I170" i="2"/>
  <c r="J506" i="2"/>
  <c r="H506" i="2" s="1"/>
  <c r="K568" i="2"/>
  <c r="I550" i="2"/>
  <c r="K550" i="2"/>
  <c r="I546" i="2"/>
  <c r="K548" i="2"/>
  <c r="I341" i="2"/>
  <c r="K125" i="2"/>
  <c r="I125" i="2"/>
  <c r="J101" i="2"/>
  <c r="H101" i="2" s="1"/>
  <c r="J540" i="2"/>
  <c r="H540" i="2" s="1"/>
  <c r="J548" i="2"/>
  <c r="H548" i="2" s="1"/>
  <c r="K361" i="2"/>
  <c r="I68" i="2"/>
  <c r="K449" i="2"/>
  <c r="K486" i="2"/>
  <c r="I200" i="2"/>
  <c r="I52" i="2"/>
  <c r="K44" i="2"/>
  <c r="K42" i="2"/>
  <c r="I517" i="2"/>
  <c r="I566" i="2"/>
  <c r="J361" i="2"/>
  <c r="H361" i="2" s="1"/>
  <c r="I384" i="2"/>
  <c r="K511" i="2"/>
  <c r="K546" i="2"/>
  <c r="K474" i="2"/>
  <c r="J439" i="2"/>
  <c r="K491" i="2" s="1"/>
  <c r="K200" i="2"/>
  <c r="K119" i="2"/>
  <c r="I454" i="2"/>
  <c r="J68" i="2"/>
  <c r="H68" i="2" s="1"/>
  <c r="I222" i="2"/>
  <c r="I592" i="2"/>
  <c r="I535" i="2"/>
  <c r="J320" i="2"/>
  <c r="H320" i="2" s="1"/>
  <c r="J208" i="2"/>
  <c r="H208" i="2" s="1"/>
  <c r="I265" i="2"/>
  <c r="J222" i="2"/>
  <c r="H222" i="2" s="1"/>
  <c r="K52" i="2"/>
  <c r="J494" i="2"/>
  <c r="I540" i="2"/>
  <c r="K480" i="2"/>
  <c r="J502" i="2"/>
  <c r="H502" i="2" s="1"/>
  <c r="J205" i="2"/>
  <c r="K349" i="2" s="1"/>
  <c r="J265" i="2"/>
  <c r="H265" i="2" s="1"/>
  <c r="I81" i="2"/>
  <c r="I16" i="2"/>
  <c r="I574" i="2"/>
  <c r="K607" i="2"/>
  <c r="I607" i="2"/>
  <c r="I543" i="2"/>
  <c r="J486" i="2"/>
  <c r="H486" i="2" s="1"/>
  <c r="K517" i="2"/>
  <c r="I130" i="2"/>
  <c r="K115" i="2"/>
  <c r="K69" i="2"/>
  <c r="K34" i="2"/>
  <c r="I355" i="2"/>
  <c r="K439" i="2"/>
  <c r="K431" i="2"/>
  <c r="K596" i="2"/>
  <c r="J213" i="2"/>
  <c r="H213" i="2" s="1"/>
  <c r="K57" i="2"/>
  <c r="K60" i="2"/>
  <c r="J277" i="2"/>
  <c r="H277" i="2" s="1"/>
  <c r="J313" i="2"/>
  <c r="H313" i="2" s="1"/>
  <c r="J341" i="2"/>
  <c r="H341" i="2" s="1"/>
  <c r="I337" i="2"/>
  <c r="I197" i="2"/>
  <c r="J370" i="2"/>
  <c r="K373" i="2" s="1"/>
  <c r="I196" i="2"/>
  <c r="I193" i="2"/>
  <c r="J493" i="2"/>
  <c r="H493" i="2" s="1"/>
  <c r="J117" i="2"/>
  <c r="H117" i="2" s="1"/>
  <c r="I275" i="2"/>
  <c r="J296" i="2"/>
  <c r="H296" i="2" s="1"/>
  <c r="H12" i="2"/>
  <c r="J193" i="2"/>
  <c r="H193" i="2" s="1"/>
  <c r="J512" i="2"/>
  <c r="H512" i="2" s="1"/>
  <c r="J586" i="2"/>
  <c r="H586" i="2" s="1"/>
  <c r="J489" i="2"/>
  <c r="H489" i="2" s="1"/>
  <c r="I464" i="2"/>
  <c r="I348" i="2"/>
  <c r="J337" i="2"/>
  <c r="H337" i="2" s="1"/>
  <c r="I133" i="2"/>
  <c r="I69" i="2"/>
  <c r="J553" i="2"/>
  <c r="H553" i="2" s="1"/>
  <c r="J323" i="2"/>
  <c r="H323" i="2" s="1"/>
  <c r="K536" i="2"/>
  <c r="J536" i="2"/>
  <c r="H536" i="2" s="1"/>
  <c r="J530" i="2"/>
  <c r="H530" i="2" s="1"/>
  <c r="K493" i="2"/>
  <c r="K586" i="2"/>
  <c r="K576" i="2"/>
  <c r="K434" i="2"/>
  <c r="K441" i="2"/>
  <c r="J477" i="2"/>
  <c r="H477" i="2" s="1"/>
  <c r="J464" i="2"/>
  <c r="H464" i="2" s="1"/>
  <c r="I414" i="2"/>
  <c r="I331" i="2"/>
  <c r="J275" i="2"/>
  <c r="H275" i="2" s="1"/>
  <c r="I302" i="2"/>
  <c r="K553" i="2"/>
  <c r="J149" i="2"/>
  <c r="H149" i="2" s="1"/>
  <c r="K149" i="2"/>
  <c r="K529" i="2"/>
  <c r="I596" i="2"/>
  <c r="K351" i="2"/>
  <c r="I417" i="2"/>
  <c r="J119" i="2"/>
  <c r="H119" i="2" s="1"/>
  <c r="I523" i="2"/>
  <c r="J568" i="2"/>
  <c r="H568" i="2" s="1"/>
  <c r="J572" i="2"/>
  <c r="H572" i="2" s="1"/>
  <c r="I429" i="2"/>
  <c r="J434" i="2"/>
  <c r="H434" i="2" s="1"/>
  <c r="I366" i="2"/>
  <c r="J566" i="2"/>
  <c r="H566" i="2" s="1"/>
  <c r="J331" i="2"/>
  <c r="H331" i="2" s="1"/>
  <c r="K417" i="2"/>
  <c r="K348" i="2"/>
  <c r="I423" i="2"/>
  <c r="K260" i="2"/>
  <c r="K192" i="2"/>
  <c r="I370" i="2"/>
  <c r="I230" i="2"/>
  <c r="K296" i="2"/>
  <c r="K174" i="2"/>
  <c r="I117" i="2"/>
  <c r="K127" i="2"/>
  <c r="J115" i="2"/>
  <c r="H115" i="2" s="1"/>
  <c r="I26" i="2"/>
  <c r="J89" i="2"/>
  <c r="H89" i="2" s="1"/>
  <c r="K514" i="2"/>
  <c r="K554" i="2"/>
  <c r="I554" i="2"/>
  <c r="I571" i="2"/>
  <c r="J564" i="2"/>
  <c r="H564" i="2" s="1"/>
  <c r="J523" i="2"/>
  <c r="I441" i="2"/>
  <c r="J472" i="2"/>
  <c r="H472" i="2" s="1"/>
  <c r="K391" i="2"/>
  <c r="J351" i="2"/>
  <c r="K356" i="2"/>
  <c r="J333" i="2"/>
  <c r="H333" i="2" s="1"/>
  <c r="I187" i="2"/>
  <c r="K209" i="2"/>
  <c r="K197" i="2"/>
  <c r="I127" i="2"/>
  <c r="J94" i="2"/>
  <c r="H94" i="2" s="1"/>
  <c r="K138" i="2"/>
  <c r="I280" i="2"/>
  <c r="I94" i="2"/>
  <c r="K355" i="2"/>
  <c r="J316" i="2"/>
  <c r="H316" i="2" s="1"/>
  <c r="J366" i="2"/>
  <c r="H366" i="2" s="1"/>
  <c r="I183" i="2"/>
  <c r="I192" i="2"/>
  <c r="K89" i="2"/>
  <c r="I214" i="2"/>
  <c r="I34" i="2"/>
  <c r="I449" i="2"/>
  <c r="I467" i="2"/>
  <c r="K571" i="2"/>
  <c r="K559" i="2"/>
  <c r="I477" i="2"/>
  <c r="K535" i="2"/>
  <c r="I480" i="2"/>
  <c r="K467" i="2"/>
  <c r="I431" i="2"/>
  <c r="I402" i="2"/>
  <c r="I356" i="2"/>
  <c r="J343" i="2"/>
  <c r="H343" i="2" s="1"/>
  <c r="I289" i="2"/>
  <c r="K316" i="2"/>
  <c r="K326" i="2"/>
  <c r="K214" i="2"/>
  <c r="K208" i="2"/>
  <c r="I151" i="2"/>
  <c r="K116" i="2"/>
  <c r="J133" i="2"/>
  <c r="H133" i="2" s="1"/>
  <c r="I62" i="2"/>
  <c r="I101" i="2"/>
  <c r="I122" i="2"/>
  <c r="K24" i="2"/>
  <c r="K26" i="2"/>
  <c r="I178" i="2"/>
  <c r="I584" i="2"/>
  <c r="I564" i="2"/>
  <c r="K532" i="2"/>
  <c r="K522" i="2"/>
  <c r="J429" i="2"/>
  <c r="H429" i="2" s="1"/>
  <c r="K502" i="2"/>
  <c r="I392" i="2"/>
  <c r="I327" i="2"/>
  <c r="K183" i="2"/>
  <c r="J174" i="2"/>
  <c r="H174" i="2" s="1"/>
  <c r="K130" i="2"/>
  <c r="I138" i="2"/>
  <c r="J240" i="2"/>
  <c r="H240" i="2" s="1"/>
  <c r="I148" i="2"/>
  <c r="I11" i="2"/>
  <c r="J426" i="2"/>
  <c r="H426" i="2" s="1"/>
  <c r="I426" i="2"/>
  <c r="K374" i="2"/>
  <c r="I563" i="2"/>
  <c r="K545" i="2"/>
  <c r="J545" i="2"/>
  <c r="H545" i="2" s="1"/>
  <c r="I529" i="2"/>
  <c r="I511" i="2"/>
  <c r="J499" i="2"/>
  <c r="H499" i="2" s="1"/>
  <c r="I576" i="2"/>
  <c r="J507" i="2"/>
  <c r="K395" i="2"/>
  <c r="I395" i="2"/>
  <c r="K347" i="2"/>
  <c r="I347" i="2"/>
  <c r="I340" i="2"/>
  <c r="J340" i="2"/>
  <c r="I406" i="2"/>
  <c r="I374" i="2"/>
  <c r="J242" i="2"/>
  <c r="K284" i="2" s="1"/>
  <c r="I242" i="2"/>
  <c r="J306" i="2"/>
  <c r="H306" i="2" s="1"/>
  <c r="J399" i="2"/>
  <c r="K454" i="2" s="1"/>
  <c r="K179" i="2"/>
  <c r="K169" i="2"/>
  <c r="J169" i="2"/>
  <c r="H169" i="2" s="1"/>
  <c r="K254" i="2"/>
  <c r="K205" i="2"/>
  <c r="K156" i="2"/>
  <c r="J139" i="2"/>
  <c r="H139" i="2" s="1"/>
  <c r="I111" i="2"/>
  <c r="J111" i="2"/>
  <c r="H111" i="2" s="1"/>
  <c r="J75" i="2"/>
  <c r="H75" i="2" s="1"/>
  <c r="K219" i="2"/>
  <c r="K39" i="2"/>
  <c r="J215" i="2"/>
  <c r="H215" i="2" s="1"/>
  <c r="I65" i="2"/>
  <c r="K143" i="2"/>
  <c r="J60" i="2"/>
  <c r="H60" i="2" s="1"/>
  <c r="J24" i="2"/>
  <c r="H24" i="2" s="1"/>
  <c r="K62" i="2"/>
  <c r="J42" i="2"/>
  <c r="H42" i="2" s="1"/>
  <c r="J50" i="2"/>
  <c r="H50" i="2" s="1"/>
  <c r="I608" i="2"/>
  <c r="K582" i="2"/>
  <c r="I582" i="2"/>
  <c r="J608" i="2"/>
  <c r="H608" i="2" s="1"/>
  <c r="I600" i="2"/>
  <c r="K563" i="2"/>
  <c r="K556" i="2"/>
  <c r="J491" i="2"/>
  <c r="I530" i="2"/>
  <c r="K499" i="2"/>
  <c r="K507" i="2"/>
  <c r="K426" i="2"/>
  <c r="I514" i="2"/>
  <c r="I344" i="2"/>
  <c r="J344" i="2"/>
  <c r="H344" i="2" s="1"/>
  <c r="I415" i="2"/>
  <c r="K406" i="2"/>
  <c r="J373" i="2"/>
  <c r="K306" i="2"/>
  <c r="J274" i="2"/>
  <c r="H274" i="2" s="1"/>
  <c r="K274" i="2"/>
  <c r="J482" i="2"/>
  <c r="H482" i="2" s="1"/>
  <c r="J310" i="2"/>
  <c r="H310" i="2" s="1"/>
  <c r="I310" i="2"/>
  <c r="K369" i="2"/>
  <c r="J239" i="2"/>
  <c r="K281" i="2" s="1"/>
  <c r="I221" i="2"/>
  <c r="I182" i="2"/>
  <c r="J182" i="2"/>
  <c r="H182" i="2" s="1"/>
  <c r="J161" i="2"/>
  <c r="J177" i="2"/>
  <c r="H177" i="2" s="1"/>
  <c r="I169" i="2"/>
  <c r="J195" i="2"/>
  <c r="J203" i="2"/>
  <c r="H203" i="2" s="1"/>
  <c r="I161" i="2"/>
  <c r="J196" i="2"/>
  <c r="H196" i="2" s="1"/>
  <c r="J156" i="2"/>
  <c r="H156" i="2" s="1"/>
  <c r="K135" i="2"/>
  <c r="I116" i="2"/>
  <c r="J98" i="2"/>
  <c r="H98" i="2" s="1"/>
  <c r="K271" i="2"/>
  <c r="K11" i="2"/>
  <c r="K215" i="2"/>
  <c r="I84" i="2"/>
  <c r="I39" i="2"/>
  <c r="K95" i="2"/>
  <c r="I506" i="2"/>
  <c r="J600" i="2"/>
  <c r="H600" i="2" s="1"/>
  <c r="J584" i="2"/>
  <c r="H584" i="2" s="1"/>
  <c r="I556" i="2"/>
  <c r="I589" i="2"/>
  <c r="I532" i="2"/>
  <c r="K365" i="2"/>
  <c r="I365" i="2"/>
  <c r="J398" i="2"/>
  <c r="H398" i="2" s="1"/>
  <c r="I398" i="2"/>
  <c r="I409" i="2"/>
  <c r="J387" i="2"/>
  <c r="H387" i="2" s="1"/>
  <c r="K403" i="2"/>
  <c r="J395" i="2"/>
  <c r="H395" i="2" s="1"/>
  <c r="J402" i="2"/>
  <c r="H402" i="2" s="1"/>
  <c r="K414" i="2"/>
  <c r="I325" i="2"/>
  <c r="K269" i="2"/>
  <c r="I269" i="2"/>
  <c r="J292" i="2"/>
  <c r="H292" i="2" s="1"/>
  <c r="K292" i="2"/>
  <c r="J269" i="2"/>
  <c r="H269" i="2" s="1"/>
  <c r="K307" i="2"/>
  <c r="K323" i="2"/>
  <c r="K423" i="2"/>
  <c r="J289" i="2"/>
  <c r="H289" i="2" s="1"/>
  <c r="I260" i="2"/>
  <c r="I177" i="2"/>
  <c r="I195" i="2"/>
  <c r="I203" i="2"/>
  <c r="J302" i="2"/>
  <c r="K305" i="2" s="1"/>
  <c r="K114" i="2"/>
  <c r="J114" i="2"/>
  <c r="K188" i="2" s="1"/>
  <c r="I99" i="2"/>
  <c r="J131" i="2"/>
  <c r="H131" i="2" s="1"/>
  <c r="K178" i="2"/>
  <c r="K29" i="2"/>
  <c r="K170" i="2"/>
  <c r="K240" i="2"/>
  <c r="I57" i="2"/>
  <c r="I108" i="2"/>
  <c r="J81" i="2"/>
  <c r="H81" i="2" s="1"/>
  <c r="K4" i="2"/>
  <c r="K14" i="2"/>
  <c r="K387" i="2"/>
  <c r="K579" i="2"/>
  <c r="K606" i="2"/>
  <c r="I606" i="2"/>
  <c r="K590" i="2"/>
  <c r="I590" i="2"/>
  <c r="J522" i="2"/>
  <c r="H522" i="2" s="1"/>
  <c r="K496" i="2"/>
  <c r="J509" i="2"/>
  <c r="H509" i="2" s="1"/>
  <c r="K509" i="2"/>
  <c r="I512" i="2"/>
  <c r="I579" i="2"/>
  <c r="I602" i="2"/>
  <c r="I474" i="2"/>
  <c r="K407" i="2"/>
  <c r="I407" i="2"/>
  <c r="I362" i="2"/>
  <c r="J362" i="2"/>
  <c r="H362" i="2" s="1"/>
  <c r="K415" i="2"/>
  <c r="I375" i="2"/>
  <c r="K375" i="2"/>
  <c r="K489" i="2"/>
  <c r="J409" i="2"/>
  <c r="H409" i="2" s="1"/>
  <c r="I401" i="2"/>
  <c r="J391" i="2"/>
  <c r="K399" i="2" s="1"/>
  <c r="J325" i="2"/>
  <c r="H325" i="2" s="1"/>
  <c r="I352" i="2"/>
  <c r="I388" i="2"/>
  <c r="I333" i="2"/>
  <c r="J384" i="2"/>
  <c r="H384" i="2" s="1"/>
  <c r="I249" i="2"/>
  <c r="I274" i="2"/>
  <c r="J229" i="2"/>
  <c r="H229" i="2" s="1"/>
  <c r="I239" i="2"/>
  <c r="J99" i="2"/>
  <c r="H99" i="2" s="1"/>
  <c r="I271" i="2"/>
  <c r="I98" i="2"/>
  <c r="I29" i="2"/>
  <c r="K108" i="2"/>
  <c r="K75" i="2"/>
  <c r="K16" i="2"/>
  <c r="K50" i="2"/>
  <c r="I599" i="2"/>
  <c r="I330" i="2"/>
  <c r="J330" i="2"/>
  <c r="J518" i="2"/>
  <c r="H518" i="2" s="1"/>
  <c r="J602" i="2"/>
  <c r="H602" i="2" s="1"/>
  <c r="K413" i="2"/>
  <c r="I413" i="2"/>
  <c r="K381" i="2"/>
  <c r="I381" i="2"/>
  <c r="J413" i="2"/>
  <c r="H413" i="2" s="1"/>
  <c r="I373" i="2"/>
  <c r="J401" i="2"/>
  <c r="H401" i="2" s="1"/>
  <c r="J352" i="2"/>
  <c r="H352" i="2" s="1"/>
  <c r="J288" i="2"/>
  <c r="H288" i="2" s="1"/>
  <c r="K242" i="2"/>
  <c r="J388" i="2"/>
  <c r="K389" i="2" s="1"/>
  <c r="I295" i="2"/>
  <c r="J293" i="2"/>
  <c r="H293" i="2" s="1"/>
  <c r="I293" i="2"/>
  <c r="K249" i="2"/>
  <c r="I245" i="2"/>
  <c r="I143" i="2"/>
  <c r="I179" i="2"/>
  <c r="I36" i="2"/>
  <c r="K47" i="2"/>
  <c r="J151" i="2"/>
  <c r="H151" i="2" s="1"/>
  <c r="K6" i="2"/>
  <c r="J444" i="2"/>
  <c r="H444" i="2" s="1"/>
  <c r="I444" i="2"/>
  <c r="I378" i="2"/>
  <c r="J378" i="2"/>
  <c r="I393" i="2"/>
  <c r="K393" i="2"/>
  <c r="K258" i="2"/>
  <c r="J258" i="2"/>
  <c r="H258" i="2" s="1"/>
  <c r="K288" i="2"/>
  <c r="J236" i="2"/>
  <c r="H236" i="2" s="1"/>
  <c r="I236" i="2"/>
  <c r="K236" i="2"/>
  <c r="J327" i="2"/>
  <c r="H327" i="2" s="1"/>
  <c r="J295" i="2"/>
  <c r="H295" i="2" s="1"/>
  <c r="I326" i="2"/>
  <c r="I175" i="2"/>
  <c r="K175" i="2"/>
  <c r="I254" i="2"/>
  <c r="J245" i="2"/>
  <c r="H245" i="2" s="1"/>
  <c r="J145" i="2"/>
  <c r="H145" i="2" s="1"/>
  <c r="I145" i="2"/>
  <c r="J95" i="2"/>
  <c r="H95" i="2" s="1"/>
  <c r="K65" i="2"/>
  <c r="K21" i="2"/>
  <c r="I284" i="2"/>
  <c r="J280" i="2"/>
  <c r="H280" i="2" s="1"/>
  <c r="J148" i="2"/>
  <c r="H148" i="2" s="1"/>
  <c r="I47" i="2"/>
  <c r="I292" i="2"/>
  <c r="I76" i="2"/>
  <c r="K36" i="2"/>
  <c r="K79" i="2"/>
  <c r="I4" i="2"/>
  <c r="I87" i="2"/>
  <c r="I14" i="2"/>
  <c r="I359" i="2"/>
  <c r="K359" i="2"/>
  <c r="J135" i="2"/>
  <c r="H135" i="2" s="1"/>
  <c r="K599" i="2"/>
  <c r="I496" i="2"/>
  <c r="K605" i="2"/>
  <c r="J605" i="2"/>
  <c r="J582" i="2"/>
  <c r="J592" i="2"/>
  <c r="H592" i="2" s="1"/>
  <c r="J574" i="2"/>
  <c r="H574" i="2" s="1"/>
  <c r="J527" i="2"/>
  <c r="H527" i="2" s="1"/>
  <c r="K527" i="2"/>
  <c r="I494" i="2"/>
  <c r="J559" i="2"/>
  <c r="H559" i="2" s="1"/>
  <c r="I472" i="2"/>
  <c r="K518" i="2"/>
  <c r="K459" i="2"/>
  <c r="J459" i="2"/>
  <c r="H459" i="2" s="1"/>
  <c r="I405" i="2"/>
  <c r="K405" i="2"/>
  <c r="J347" i="2"/>
  <c r="H347" i="2" s="1"/>
  <c r="K344" i="2"/>
  <c r="J369" i="2"/>
  <c r="H369" i="2" s="1"/>
  <c r="K343" i="2"/>
  <c r="K377" i="2"/>
  <c r="I377" i="2"/>
  <c r="K392" i="2"/>
  <c r="J307" i="2"/>
  <c r="H307" i="2" s="1"/>
  <c r="K227" i="2"/>
  <c r="I227" i="2"/>
  <c r="J227" i="2"/>
  <c r="H227" i="2" s="1"/>
  <c r="J221" i="2"/>
  <c r="H221" i="2" s="1"/>
  <c r="K172" i="2"/>
  <c r="J172" i="2"/>
  <c r="H172" i="2" s="1"/>
  <c r="I172" i="2"/>
  <c r="J209" i="2"/>
  <c r="H209" i="2" s="1"/>
  <c r="I229" i="2"/>
  <c r="K111" i="2"/>
  <c r="J79" i="2"/>
  <c r="H79" i="2" s="1"/>
  <c r="K84" i="2"/>
  <c r="I21" i="2"/>
  <c r="I106" i="2"/>
  <c r="K139" i="2"/>
  <c r="H302" i="2" l="1"/>
  <c r="H605" i="2"/>
  <c r="G62" i="2"/>
  <c r="H523" i="2"/>
  <c r="H507" i="2"/>
  <c r="H494" i="2"/>
  <c r="H491" i="2"/>
  <c r="H373" i="2"/>
  <c r="H370" i="2"/>
  <c r="H378" i="2"/>
  <c r="H351" i="2"/>
  <c r="H340" i="2"/>
  <c r="H330" i="2"/>
  <c r="H239" i="2"/>
  <c r="H205" i="2"/>
  <c r="G205" i="2"/>
  <c r="H195" i="2"/>
  <c r="H161" i="2"/>
  <c r="H388" i="2"/>
  <c r="H242" i="2"/>
  <c r="H114" i="2"/>
</calcChain>
</file>

<file path=xl/sharedStrings.xml><?xml version="1.0" encoding="utf-8"?>
<sst xmlns="http://schemas.openxmlformats.org/spreadsheetml/2006/main" count="1435" uniqueCount="552">
  <si>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</si>
  <si>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</si>
  <si>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</si>
  <si>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</si>
  <si>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</si>
  <si>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</si>
  <si>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</si>
  <si>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</si>
  <si>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</si>
  <si>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</si>
  <si>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</si>
  <si>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2</t>
  </si>
  <si>
    <t>_</t>
  </si>
  <si>
    <t>bauen</t>
  </si>
  <si>
    <t>Wer baut Braunschweigs günstige Wohnungen ?</t>
  </si>
  <si>
    <t>file://conllu/de/braunschweiger-zeitung.de.48722.conllu#s1_0</t>
  </si>
  <si>
    <t>5</t>
  </si>
  <si>
    <t>mein</t>
  </si>
  <si>
    <t>Die SPD und Grüne meinen :</t>
  </si>
  <si>
    <t>file://conllu/de/braunschweiger-zeitung.de.48722.conllu#s2_0</t>
  </si>
  <si>
    <t>3</t>
  </si>
  <si>
    <t>9</t>
  </si>
  <si>
    <t>nehmen</t>
  </si>
  <si>
    <t>Investoren sollen künftig viel stärker in die Pflicht genommen werden .</t>
  </si>
  <si>
    <t>file://conllu/de/braunschweiger-zeitung.de.48722.conllu#s3_0</t>
  </si>
  <si>
    <t>4</t>
  </si>
  <si>
    <t>reagieren</t>
  </si>
  <si>
    <t>Wie reagiert man auf die schlechte Nachricht , dass Braunschweig in den nächsten Jahren fast 1300 günstige Wohnungen verlieren wird ?</t>
  </si>
  <si>
    <t>file://conllu/de/braunschweiger-zeitung.de.48722.conllu#s4_0</t>
  </si>
  <si>
    <t>schlagen</t>
  </si>
  <si>
    <t>Die SPD schlägt zur zu der nächsten Ratssitzung ein &amp;quot; Handlungskonzept Wohnen &amp;quot; vor .</t>
  </si>
  <si>
    <t>file://conllu/de/braunschweiger-zeitung.de.48722.conllu#s5_0</t>
  </si>
  <si>
    <t>6</t>
  </si>
  <si>
    <t>sein (sein programmieren)</t>
  </si>
  <si>
    <t>Doch Streit ist programmiert .</t>
  </si>
  <si>
    <t>file://conllu/de/braunschweiger-zeitung.de.48722.conllu#s6_0</t>
  </si>
  <si>
    <t>7</t>
  </si>
  <si>
    <t>gehen</t>
  </si>
  <si>
    <t>In erster Linie geht es um die Frage : Wer soll die günstigen Wohnungen eigentlich bauen ?</t>
  </si>
  <si>
    <t>file://conllu/de/braunschweiger-zeitung.de.48722.conllu#s7_0</t>
  </si>
  <si>
    <t>8</t>
  </si>
  <si>
    <t>fehlen</t>
  </si>
  <si>
    <t>Eine Regelung fehlt bislang .</t>
  </si>
  <si>
    <t>file://conllu/de/braunschweiger-zeitung.de.48722.conllu#s8_0</t>
  </si>
  <si>
    <t>10</t>
  </si>
  <si>
    <t>sein (sein einig)</t>
  </si>
  <si>
    <t>SPD Fraktionsvorsitzender Christoph Bratmann meint : &amp;quot; Wir sind uns mit den Grünen einig : Wer auf städtischen Flächen bauen will , muss künftig 20 Prozent aller Wohnungen als Sozialwohnungen ausweisen . &amp;quot;</t>
  </si>
  <si>
    <t>file://conllu/de/braunschweiger-zeitung.de.48722.conllu#s9_0</t>
  </si>
  <si>
    <t>entstehen</t>
  </si>
  <si>
    <t>Die günstigen Wohnungen können allerdings auch im in dem Bestand entstehen .</t>
  </si>
  <si>
    <t>file://conllu/de/braunschweiger-zeitung.de.48722.conllu#s10_0</t>
  </si>
  <si>
    <t>11</t>
  </si>
  <si>
    <t>sein (sein jedoch)</t>
  </si>
  <si>
    <t>Der große Streitpunkt im in dem Rathaus sei jedoch , so Bratmann : &amp;quot; Wie geht man mit Investoren um , die auf privaten Flächen bauen wollen ? &amp;quot;</t>
  </si>
  <si>
    <t>file://conllu/de/braunschweiger-zeitung.de.48722.conllu#s11_0</t>
  </si>
  <si>
    <t>12</t>
  </si>
  <si>
    <t>wollen</t>
  </si>
  <si>
    <t>&amp;quot; Wir wollen , dass Investoren auf solchen Flächen mindestens 10 Prozent , aber möglichst 20 Prozent der Wohnungen als Sozialwohnungen bauen . &amp;quot;</t>
  </si>
  <si>
    <t>file://conllu/de/braunschweiger-zeitung.de.48722.conllu#s12_0</t>
  </si>
  <si>
    <t>13</t>
  </si>
  <si>
    <t>21</t>
  </si>
  <si>
    <t>sorgen</t>
  </si>
  <si>
    <t>Ein neues städtisches Wohnungsbau Förderprogramm , das Millionen kosten wird und noch finanziert werden muss , soll für Anreize sorgen .</t>
  </si>
  <si>
    <t>file://conllu/de/braunschweiger-zeitung.de.48722.conllu#s13_0</t>
  </si>
  <si>
    <t>14</t>
  </si>
  <si>
    <t>Problem</t>
  </si>
  <si>
    <t>Das Problem , so Bratmann : &amp;quot; Es gibt momentan noch keine Einigung zwischen den Fraktionen . &amp;quot;</t>
  </si>
  <si>
    <t>file://conllu/de/braunschweiger-zeitung.de.48722.conllu#s14_0</t>
  </si>
  <si>
    <t>15</t>
  </si>
  <si>
    <t>machen</t>
  </si>
  <si>
    <t>Die CDU möchte Investoren möglichst wenige Vorschriften machen .</t>
  </si>
  <si>
    <t>file://conllu/de/braunschweiger-zeitung.de.48722.conllu#s15_0</t>
  </si>
  <si>
    <t>16</t>
  </si>
  <si>
    <t>Die Linke will noch härte Auflagen für Investoren .</t>
  </si>
  <si>
    <t>file://conllu/de/braunschweiger-zeitung.de.48722.conllu#s16_0</t>
  </si>
  <si>
    <t>17</t>
  </si>
  <si>
    <t>ungeachtet</t>
  </si>
  <si>
    <t>Ungeachtet dessen , so Bratmann , bahne sich eine Verschärfung der Situation auf dem Wohnungsmarkt an .</t>
  </si>
  <si>
    <t>file://conllu/de/braunschweiger-zeitung.de.48722.conllu#s17_0</t>
  </si>
  <si>
    <t>18</t>
  </si>
  <si>
    <t>Wird das Handlungskonzept umgesetzt , wird das für zusätzliche Aufgaben in der Bauverwaltung sorgen .</t>
  </si>
  <si>
    <t>file://conllu/de/braunschweiger-zeitung.de.48722.conllu#s18_0</t>
  </si>
  <si>
    <t>19</t>
  </si>
  <si>
    <t>benötigen</t>
  </si>
  <si>
    <t>Mehr Personal wird benötigt .</t>
  </si>
  <si>
    <t>file://conllu/de/braunschweiger-zeitung.de.48722.conllu#s19_0</t>
  </si>
  <si>
    <t>20</t>
  </si>
  <si>
    <t>sein (sein unklar)</t>
  </si>
  <si>
    <t>Es ist unklar , ob wir die Fachkräfte bekommen werden .</t>
  </si>
  <si>
    <t>file://conllu/de/braunschweiger-zeitung.de.48722.conllu#s20_0</t>
  </si>
  <si>
    <t>stehen</t>
  </si>
  <si>
    <t>Doch noch steht das Programm nicht gänzlich : Denn die rund 1260 neuen Wohnungen , die sollten ohnehin gebaut werden .</t>
  </si>
  <si>
    <t>file://conllu/de/braunschweiger-zeitung.de.48722.conllu#s21_0</t>
  </si>
  <si>
    <t>22</t>
  </si>
  <si>
    <t>gleichen</t>
  </si>
  <si>
    <t>Wie aber gleicht man den Verlust von weiteren rund 1300 günstigen Wohnungen aus , deren Förderung in den nächsten Jahren auslaufen wird ?</t>
  </si>
  <si>
    <t>file://conllu/de/braunschweiger-zeitung.de.48722.conllu#s22_0</t>
  </si>
  <si>
    <t>23</t>
  </si>
  <si>
    <t>werden</t>
  </si>
  <si>
    <t>Allein bis zum zu dem Jahr 2020 werden es 500 Wohnungen sein .</t>
  </si>
  <si>
    <t>file://conllu/de/braunschweiger-zeitung.de.48722.conllu#s23_0</t>
  </si>
  <si>
    <t>24</t>
  </si>
  <si>
    <t>angekaufen</t>
  </si>
  <si>
    <t>Um das zu verhindern , so die planungspolitische Sprecherin Nicole Palm , sollten jetzt auslaufende Bindungen von der Stadt angekauft werden .</t>
  </si>
  <si>
    <t>file://conllu/de/braunschweiger-zeitung.de.48722.conllu#s24_0</t>
  </si>
  <si>
    <t>25</t>
  </si>
  <si>
    <t>nachdenken</t>
  </si>
  <si>
    <t>Außerdem müsste darüber nachgedacht werden , Wohnungen wieder zurück in die Preisbindung zu holen .</t>
  </si>
  <si>
    <t>file://conllu/de/braunschweiger-zeitung.de.48722.conllu#s25_0</t>
  </si>
  <si>
    <t>26</t>
  </si>
  <si>
    <t>sein (sein möglich)</t>
  </si>
  <si>
    <t>Das ist in der Weststadt möglich .</t>
  </si>
  <si>
    <t>file://conllu/de/braunschweiger-zeitung.de.48722.conllu#s26_0</t>
  </si>
  <si>
    <t>27</t>
  </si>
  <si>
    <t>lassen</t>
  </si>
  <si>
    <t>Auf einen Schlag ließe sich das Problem lösen .</t>
  </si>
  <si>
    <t>file://conllu/de/braunschweiger-zeitung.de.48722.conllu#s27_0</t>
  </si>
  <si>
    <t>28</t>
  </si>
  <si>
    <t>laufen</t>
  </si>
  <si>
    <t>Denn in der Weststadt laufen zum zu dem Jahresende Fristen aus .</t>
  </si>
  <si>
    <t>file://conllu/de/braunschweiger-zeitung.de.48722.conllu#s28_0</t>
  </si>
  <si>
    <t>29</t>
  </si>
  <si>
    <t>holen</t>
  </si>
  <si>
    <t>Rund 1800 Wohnungen könnte man dort zurück in die Preisbindung für günstige Wohnungen holen .</t>
  </si>
  <si>
    <t>file://conllu/de/braunschweiger-zeitung.de.48722.conllu#s29_0</t>
  </si>
  <si>
    <t>30</t>
  </si>
  <si>
    <t>Nur : Das wollen die Eigentümer , die Wohnungsbaugesellschaften nicht .</t>
  </si>
  <si>
    <t>file://conllu/de/braunschweiger-zeitung.de.48722.conllu#s30_0</t>
  </si>
  <si>
    <t>31</t>
  </si>
  <si>
    <t>erhöhen</t>
  </si>
  <si>
    <t>Denn wird die Zahl der Sozialwohnungen in der Weststadt wieder drastisch erhöht , entfernt man sich vom von dem Ziel der sogenannten Durchmischung .</t>
  </si>
  <si>
    <t>file://conllu/de/braunschweiger-zeitung.de.48722.conllu#s31_0</t>
  </si>
  <si>
    <t>32</t>
  </si>
  <si>
    <t>geben</t>
  </si>
  <si>
    <t>Eine Konzentration von Sozialschwachen in nur wenigen Stadtteilen soll es nicht mehr geben .</t>
  </si>
  <si>
    <t>file://conllu/de/braunschweiger-zeitung.de.48722.conllu#s32_0</t>
  </si>
  <si>
    <t>33</t>
  </si>
  <si>
    <t>rechnen</t>
  </si>
  <si>
    <t>Die Grünen rechnen damit , dass es noch Bewegung in der Diskussion geben wird .</t>
  </si>
  <si>
    <t>file://conllu/de/braunschweiger-zeitung.de.48722.conllu#s33_0</t>
  </si>
  <si>
    <t>34</t>
  </si>
  <si>
    <t>meinen</t>
  </si>
  <si>
    <t>Fraktionsvorsitzender Holger Herlitschke meint : &amp;quot; Für eine breite Mehrheit muss die CDU mit ins in das Boot . &amp;quot;</t>
  </si>
  <si>
    <t>file://conllu/de/braunschweiger-zeitung.de.48722.conllu#s34_0</t>
  </si>
  <si>
    <t>35</t>
  </si>
  <si>
    <t>konzentrieren</t>
  </si>
  <si>
    <t>Die habe sich zwar auf mehr Bauplätze für Einfamilienhäuser konzentriert .</t>
  </si>
  <si>
    <t>file://conllu/de/braunschweiger-zeitung.de.48722.conllu#s35_0</t>
  </si>
  <si>
    <t>36</t>
  </si>
  <si>
    <t>Was?</t>
  </si>
  <si>
    <t>heißen</t>
  </si>
  <si>
    <t>Was aber nicht heißt , dass nicht doch noch ein Kompromiss gefunden werden kann .</t>
  </si>
  <si>
    <t>file://conllu/de/braunschweiger-zeitung.de.48722.conllu#s36_0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</si>
  <si>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</si>
  <si>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</si>
  <si>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</si>
  <si>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</si>
  <si>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</si>
  <si>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</si>
  <si>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</si>
  <si>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</si>
  <si>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</si>
  <si>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</si>
  <si>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</si>
  <si>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Wer baut Braunschweigs günstige Wohnungen?</t>
  </si>
  <si>
    <t>Wer</t>
  </si>
  <si>
    <t>SBJ</t>
  </si>
  <si>
    <t>pron.pint</t>
  </si>
  <si>
    <t>baut</t>
  </si>
  <si>
    <t>Braunschweigs</t>
  </si>
  <si>
    <t>ne</t>
  </si>
  <si>
    <t>?OLD</t>
  </si>
  <si>
    <t>günstige</t>
  </si>
  <si>
    <t>Wohnungen</t>
  </si>
  <si>
    <t>OBJ</t>
  </si>
  <si>
    <t>indef-np.bare</t>
  </si>
  <si>
    <t>?</t>
  </si>
  <si>
    <t># text = Die SPD und Grüne meinen:</t>
  </si>
  <si>
    <t>Die</t>
  </si>
  <si>
    <t>SPD</t>
  </si>
  <si>
    <t>und</t>
  </si>
  <si>
    <t>Grüne</t>
  </si>
  <si>
    <t>other_2</t>
  </si>
  <si>
    <t>other</t>
  </si>
  <si>
    <t>pron</t>
  </si>
  <si>
    <t>:</t>
  </si>
  <si>
    <t># text = Investoren sollen künftig viel stärker in die Pflicht genommen werden.</t>
  </si>
  <si>
    <t>Investoren</t>
  </si>
  <si>
    <t>sollen</t>
  </si>
  <si>
    <t>künftig</t>
  </si>
  <si>
    <t>viel</t>
  </si>
  <si>
    <t>stärker</t>
  </si>
  <si>
    <t>in</t>
  </si>
  <si>
    <t>die</t>
  </si>
  <si>
    <t>Pflicht</t>
  </si>
  <si>
    <t>def-np.the</t>
  </si>
  <si>
    <t>genommen</t>
  </si>
  <si>
    <t>.</t>
  </si>
  <si>
    <t># text = Wie reagiert man auf die schlechte Nachricht, dass Braunschweig in den nächsten Jahren fast 1300 günstige Wohnungen verlieren wird?</t>
  </si>
  <si>
    <t>Wie</t>
  </si>
  <si>
    <t>reagiert</t>
  </si>
  <si>
    <t>man</t>
  </si>
  <si>
    <t>pron.pind</t>
  </si>
  <si>
    <t>auf</t>
  </si>
  <si>
    <t>schlechte</t>
  </si>
  <si>
    <t>Nachricht</t>
  </si>
  <si>
    <t>,</t>
  </si>
  <si>
    <t>dass</t>
  </si>
  <si>
    <t>Braunschweig</t>
  </si>
  <si>
    <t>SBJ_2</t>
  </si>
  <si>
    <t>den</t>
  </si>
  <si>
    <t>nächsten</t>
  </si>
  <si>
    <t>Jahren</t>
  </si>
  <si>
    <t>fast</t>
  </si>
  <si>
    <t>1300</t>
  </si>
  <si>
    <t>OBJ_2</t>
  </si>
  <si>
    <t>indef-np.quant</t>
  </si>
  <si>
    <t>verlieren</t>
  </si>
  <si>
    <t>wird</t>
  </si>
  <si>
    <t>--</t>
  </si>
  <si>
    <t># text = Die SPD schlägt zur nächsten Ratssitzung ein \"Handlungskonzept Wohnen\" vor.</t>
  </si>
  <si>
    <t>schlägt</t>
  </si>
  <si>
    <t>zu</t>
  </si>
  <si>
    <t>der</t>
  </si>
  <si>
    <t>Ratssitzung</t>
  </si>
  <si>
    <t>ein</t>
  </si>
  <si>
    <t>&amp;quot;</t>
  </si>
  <si>
    <t>Handlungskonzept</t>
  </si>
  <si>
    <t>Wohnen</t>
  </si>
  <si>
    <t>indef-np.a</t>
  </si>
  <si>
    <t>vor</t>
  </si>
  <si>
    <t># text = Doch Streit ist programmiert.</t>
  </si>
  <si>
    <t>Doch</t>
  </si>
  <si>
    <t>Streit</t>
  </si>
  <si>
    <t>ist</t>
  </si>
  <si>
    <t>programmiert</t>
  </si>
  <si>
    <t># text = In erster Linie geht es um die Frage: Wer soll die günstigen Wohnungen eigentlich bauen?</t>
  </si>
  <si>
    <t>In</t>
  </si>
  <si>
    <t>erster</t>
  </si>
  <si>
    <t>Linie</t>
  </si>
  <si>
    <t>geht</t>
  </si>
  <si>
    <t>es</t>
  </si>
  <si>
    <t>pron.pper</t>
  </si>
  <si>
    <t>um</t>
  </si>
  <si>
    <t>Frage</t>
  </si>
  <si>
    <t>soll</t>
  </si>
  <si>
    <t>günstigen</t>
  </si>
  <si>
    <t>eigentlich</t>
  </si>
  <si>
    <t># text = Eine Regelung fehlt bislang.</t>
  </si>
  <si>
    <t>Eine</t>
  </si>
  <si>
    <t>Regelung</t>
  </si>
  <si>
    <t>fehlt</t>
  </si>
  <si>
    <t>bislang</t>
  </si>
  <si>
    <t># text = SPD-Fraktionsvorsitzender Christoph Bratmann meint: "Wir sind uns mit den Grünen einig: Wer auf städtischen Flächen bauen will, muss künftig 20 Prozent aller Wohnungen als Sozialwohnungen ausweisen."</t>
  </si>
  <si>
    <t>Fraktionsvorsitzender</t>
  </si>
  <si>
    <t>SBJ_3</t>
  </si>
  <si>
    <t>Christoph</t>
  </si>
  <si>
    <t>other_4</t>
  </si>
  <si>
    <t>Bratmann</t>
  </si>
  <si>
    <t>meint</t>
  </si>
  <si>
    <t>Wir</t>
  </si>
  <si>
    <t>sind</t>
  </si>
  <si>
    <t>uns</t>
  </si>
  <si>
    <t>mit</t>
  </si>
  <si>
    <t>Grünen</t>
  </si>
  <si>
    <t>einig</t>
  </si>
  <si>
    <t>städtischen</t>
  </si>
  <si>
    <t>Flächen</t>
  </si>
  <si>
    <t>other_3</t>
  </si>
  <si>
    <t>will</t>
  </si>
  <si>
    <t>OBJ_3</t>
  </si>
  <si>
    <t>muss</t>
  </si>
  <si>
    <t>Prozent</t>
  </si>
  <si>
    <t>aller</t>
  </si>
  <si>
    <t>als</t>
  </si>
  <si>
    <t>Sozialwohnungen</t>
  </si>
  <si>
    <t>ausweisen</t>
  </si>
  <si>
    <t># text = Die günstigen Wohnungen können allerdings auch im Bestand entstehen.</t>
  </si>
  <si>
    <t>können</t>
  </si>
  <si>
    <t>allerdings</t>
  </si>
  <si>
    <t>auch</t>
  </si>
  <si>
    <t>dem</t>
  </si>
  <si>
    <t>Bestand</t>
  </si>
  <si>
    <t># text = Der große Streitpunkt im Rathaus sei jedoch, so Bratmann: "Wie geht man mit Investoren um, die auf privaten Flächen bauen wollen?"</t>
  </si>
  <si>
    <t>Der</t>
  </si>
  <si>
    <t>große</t>
  </si>
  <si>
    <t>Streitpunkt</t>
  </si>
  <si>
    <t>Rathaus</t>
  </si>
  <si>
    <t>sei</t>
  </si>
  <si>
    <t>jedoch</t>
  </si>
  <si>
    <t>so</t>
  </si>
  <si>
    <t>SBJ_4</t>
  </si>
  <si>
    <t>privaten</t>
  </si>
  <si>
    <t># text = \"Wir wollen, dass Investoren auf solchen Flächen mindestens 10 Prozent, aber möglichst 20 Prozent der Wohnungen als Sozialwohnungen bauen.\"</t>
  </si>
  <si>
    <t>solchen</t>
  </si>
  <si>
    <t>pron.pds</t>
  </si>
  <si>
    <t>mindestens</t>
  </si>
  <si>
    <t>aber</t>
  </si>
  <si>
    <t>möglichst</t>
  </si>
  <si>
    <t># text = Ein neues städtisches Wohnungsbau-Förderprogramm, das Millionen kosten wird und noch finanziert werden muss, soll für Anreize sorgen.</t>
  </si>
  <si>
    <t>Ein</t>
  </si>
  <si>
    <t>neues</t>
  </si>
  <si>
    <t>städtisches</t>
  </si>
  <si>
    <t>Wohnungsbau</t>
  </si>
  <si>
    <t>Förderprogramm</t>
  </si>
  <si>
    <t>das</t>
  </si>
  <si>
    <t>Millionen</t>
  </si>
  <si>
    <t>kosten</t>
  </si>
  <si>
    <t>noch</t>
  </si>
  <si>
    <t>finanziert</t>
  </si>
  <si>
    <t>für</t>
  </si>
  <si>
    <t>Anreize</t>
  </si>
  <si>
    <t># text = Das Problem, so Bratmann: "Es gibt momentan noch keine Einigung zwischen den Fraktionen."</t>
  </si>
  <si>
    <t>Das</t>
  </si>
  <si>
    <t>Es</t>
  </si>
  <si>
    <t>gibt</t>
  </si>
  <si>
    <t>momentan</t>
  </si>
  <si>
    <t>keine</t>
  </si>
  <si>
    <t>Einigung</t>
  </si>
  <si>
    <t>zwischen</t>
  </si>
  <si>
    <t>Fraktionen</t>
  </si>
  <si>
    <t># text = Die CDU möchte Investoren möglichst wenige Vorschriften machen.</t>
  </si>
  <si>
    <t>CDU</t>
  </si>
  <si>
    <t>möchte</t>
  </si>
  <si>
    <t>wenige</t>
  </si>
  <si>
    <t>Vorschriften</t>
  </si>
  <si>
    <t># text = Die Linke will noch härte Auflagen für Investoren.</t>
  </si>
  <si>
    <t>Linke</t>
  </si>
  <si>
    <t>härte</t>
  </si>
  <si>
    <t>Auflagen</t>
  </si>
  <si>
    <t># text = Ungeachtet dessen, so Bratmann, bahne sich eine Verschärfung der Situation auf dem Wohnungsmarkt an.</t>
  </si>
  <si>
    <t>Ungeachtet</t>
  </si>
  <si>
    <t>dessen</t>
  </si>
  <si>
    <t>bahne</t>
  </si>
  <si>
    <t>sich</t>
  </si>
  <si>
    <t>eine</t>
  </si>
  <si>
    <t>Verschärfung</t>
  </si>
  <si>
    <t>Situation</t>
  </si>
  <si>
    <t>Wohnungsmarkt</t>
  </si>
  <si>
    <t>an</t>
  </si>
  <si>
    <t># text = Wird das Handlungskonzept umgesetzt, wird das für zusätzliche Aufgaben in der Bauverwaltung sorgen.</t>
  </si>
  <si>
    <t>Wird</t>
  </si>
  <si>
    <t>umgesetzt</t>
  </si>
  <si>
    <t>zusätzliche</t>
  </si>
  <si>
    <t>Aufgaben</t>
  </si>
  <si>
    <t>Bauverwaltung</t>
  </si>
  <si>
    <t># text = Mehr Personal wird benötigt.</t>
  </si>
  <si>
    <t>Mehr</t>
  </si>
  <si>
    <t>Personal</t>
  </si>
  <si>
    <t>benötigt</t>
  </si>
  <si>
    <t># text = Es ist unklar, ob wir die Fachkräfte bekommen werden.</t>
  </si>
  <si>
    <t>unklar</t>
  </si>
  <si>
    <t>ob</t>
  </si>
  <si>
    <t>wir</t>
  </si>
  <si>
    <t>Fachkräfte</t>
  </si>
  <si>
    <t>bekommen</t>
  </si>
  <si>
    <t># text = Doch noch steht das Programm nicht gänzlich: Denn die rund 1260 neuen Wohnungen, die sollten ohnehin gebaut werden.</t>
  </si>
  <si>
    <t>steht</t>
  </si>
  <si>
    <t>Programm</t>
  </si>
  <si>
    <t>nicht</t>
  </si>
  <si>
    <t>gänzlich</t>
  </si>
  <si>
    <t>Denn</t>
  </si>
  <si>
    <t>rund</t>
  </si>
  <si>
    <t>1260</t>
  </si>
  <si>
    <t>neuen</t>
  </si>
  <si>
    <t>sollten</t>
  </si>
  <si>
    <t>ohnehin</t>
  </si>
  <si>
    <t>gebaut</t>
  </si>
  <si>
    <t># text = Wie aber gleicht man den Verlust von weiteren rund 1300 günstigen Wohnungen aus, deren Förderung in den nächsten Jahren auslaufen wird?</t>
  </si>
  <si>
    <t>gleicht</t>
  </si>
  <si>
    <t>Verlust</t>
  </si>
  <si>
    <t>von</t>
  </si>
  <si>
    <t>weiteren</t>
  </si>
  <si>
    <t>aus</t>
  </si>
  <si>
    <t>deren</t>
  </si>
  <si>
    <t>Förderung</t>
  </si>
  <si>
    <t>def-np.poss</t>
  </si>
  <si>
    <t>auslaufen</t>
  </si>
  <si>
    <t># text = Allein bis zum Jahr 2020 werden es 500 Wohnungen sein.</t>
  </si>
  <si>
    <t>Allein</t>
  </si>
  <si>
    <t>bis</t>
  </si>
  <si>
    <t>Jahr</t>
  </si>
  <si>
    <t>def-np.quant</t>
  </si>
  <si>
    <t>2020</t>
  </si>
  <si>
    <t>500</t>
  </si>
  <si>
    <t>sein</t>
  </si>
  <si>
    <t># text = Um das zu verhindern, so die planungspolitische Sprecherin Nicole Palm, sollten jetzt auslaufende Bindungen von der Stadt angekauft werden.</t>
  </si>
  <si>
    <t>Um</t>
  </si>
  <si>
    <t>verhindern</t>
  </si>
  <si>
    <t>planungspolitische</t>
  </si>
  <si>
    <t>Sprecherin</t>
  </si>
  <si>
    <t>Nicole</t>
  </si>
  <si>
    <t>Palm</t>
  </si>
  <si>
    <t>jetzt</t>
  </si>
  <si>
    <t>auslaufende</t>
  </si>
  <si>
    <t>Bindungen</t>
  </si>
  <si>
    <t>Stadt</t>
  </si>
  <si>
    <t>angekauft</t>
  </si>
  <si>
    <t># text = Außerdem müsste darüber nachgedacht werden, Wohnungen wieder zurück in die Preisbindung zu holen.</t>
  </si>
  <si>
    <t>Außerdem</t>
  </si>
  <si>
    <t>müsste</t>
  </si>
  <si>
    <t>darüber</t>
  </si>
  <si>
    <t>nachgedacht</t>
  </si>
  <si>
    <t>wieder</t>
  </si>
  <si>
    <t>zurück</t>
  </si>
  <si>
    <t>Preisbindung</t>
  </si>
  <si>
    <t># text = Das ist in der Weststadt möglich.</t>
  </si>
  <si>
    <t>Weststadt</t>
  </si>
  <si>
    <t>möglich</t>
  </si>
  <si>
    <t># text = Auf einen Schlag ließe sich das Problem lösen.</t>
  </si>
  <si>
    <t>Auf</t>
  </si>
  <si>
    <t>einen</t>
  </si>
  <si>
    <t>Schlag</t>
  </si>
  <si>
    <t>ließe</t>
  </si>
  <si>
    <t>lösen</t>
  </si>
  <si>
    <t># text = Denn in der Weststadt laufen zum Jahresende Fristen aus.</t>
  </si>
  <si>
    <t>Jahresende</t>
  </si>
  <si>
    <t>Fristen</t>
  </si>
  <si>
    <t># text = Rund 1800 Wohnungen könnte man dort zurück in die Preisbindung für günstige Wohnungen holen.</t>
  </si>
  <si>
    <t>Rund</t>
  </si>
  <si>
    <t>1800</t>
  </si>
  <si>
    <t>könnte</t>
  </si>
  <si>
    <t>dort</t>
  </si>
  <si>
    <t># text = Nur: Das wollen die Eigentümer, die Wohnungsbaugesellschaften nicht.</t>
  </si>
  <si>
    <t>Nur</t>
  </si>
  <si>
    <t>Eigentümer</t>
  </si>
  <si>
    <t>Wohnungsbaugesellschaften</t>
  </si>
  <si>
    <t># text = Denn wird die Zahl der Sozialwohnungen in der Weststadt wieder drastisch erhöht, entfernt man sich vom Ziel der sogenannten Durchmischung.</t>
  </si>
  <si>
    <t>Zahl</t>
  </si>
  <si>
    <t>drastisch</t>
  </si>
  <si>
    <t>erhöht</t>
  </si>
  <si>
    <t>entfernt</t>
  </si>
  <si>
    <t>Ziel</t>
  </si>
  <si>
    <t>sogenannten</t>
  </si>
  <si>
    <t>Durchmischung</t>
  </si>
  <si>
    <t># text = Eine Konzentration von Sozialschwachen in nur wenigen Stadtteilen soll es nicht mehr geben.</t>
  </si>
  <si>
    <t>Konzentration</t>
  </si>
  <si>
    <t>Sozialschwachen</t>
  </si>
  <si>
    <t>nur</t>
  </si>
  <si>
    <t>wenigen</t>
  </si>
  <si>
    <t>Stadtteilen</t>
  </si>
  <si>
    <t>mehr</t>
  </si>
  <si>
    <t># text = Die Grünen rechnen damit, dass es noch Bewegung in der Diskussion geben wird.</t>
  </si>
  <si>
    <t>damit</t>
  </si>
  <si>
    <t>Bewegung</t>
  </si>
  <si>
    <t>Diskussion</t>
  </si>
  <si>
    <t># text = Fraktionsvorsitzender Holger Herlitschke meint: "Für eine breite Mehrheit muss die CDU mit ins Boot."</t>
  </si>
  <si>
    <t>Holger</t>
  </si>
  <si>
    <t>Herlitschke</t>
  </si>
  <si>
    <t>Für</t>
  </si>
  <si>
    <t>breite</t>
  </si>
  <si>
    <t>Mehrheit</t>
  </si>
  <si>
    <t>Boot</t>
  </si>
  <si>
    <t># text = Die habe sich zwar auf mehr Bauplätze für Einfamilienhäuser konzentriert.</t>
  </si>
  <si>
    <t>habe</t>
  </si>
  <si>
    <t>zwar</t>
  </si>
  <si>
    <t>Bauplätze</t>
  </si>
  <si>
    <t>Einfamilienhäuser</t>
  </si>
  <si>
    <t>konzentriert</t>
  </si>
  <si>
    <t># text = Was aber nicht heißt, dass nicht doch noch ein Kompromiss gefunden werden kann.</t>
  </si>
  <si>
    <t>Was</t>
  </si>
  <si>
    <t>heißt</t>
  </si>
  <si>
    <t>doch</t>
  </si>
  <si>
    <t>Kompromiss</t>
  </si>
  <si>
    <t>gefunden</t>
  </si>
  <si>
    <t>kann</t>
  </si>
  <si>
    <t>braunschweig</t>
  </si>
  <si>
    <t>spd</t>
  </si>
  <si>
    <t>gruene</t>
  </si>
  <si>
    <t>parser error: verb</t>
  </si>
  <si>
    <t>IDIOM</t>
  </si>
  <si>
    <t>EXPL</t>
  </si>
  <si>
    <t>guenstige_wohnungen</t>
  </si>
  <si>
    <t>Antezedens</t>
  </si>
  <si>
    <t>christoph_bratmann</t>
  </si>
  <si>
    <t>BOUND</t>
  </si>
  <si>
    <t>cdu</t>
  </si>
  <si>
    <t>linke</t>
  </si>
  <si>
    <t>PRED</t>
  </si>
  <si>
    <t>nicole_palm</t>
  </si>
  <si>
    <t>weststadt</t>
  </si>
  <si>
    <t>holger_herlitschke</t>
  </si>
  <si>
    <t>kein auto ref</t>
  </si>
  <si>
    <t>SIT</t>
  </si>
  <si>
    <t>naechste_jahre</t>
  </si>
  <si>
    <t>frage_wohnungsbau</t>
  </si>
  <si>
    <t>GEN</t>
  </si>
  <si>
    <t>rathaus</t>
  </si>
  <si>
    <t>umgang_investoren</t>
  </si>
  <si>
    <t>private_flaechen</t>
  </si>
  <si>
    <t>investoren</t>
  </si>
  <si>
    <t>wohnungsbau_programm</t>
  </si>
  <si>
    <t>parser error</t>
  </si>
  <si>
    <t>fraktionen</t>
  </si>
  <si>
    <t>wohnungsmarkt</t>
  </si>
  <si>
    <t>bauverwaltung</t>
  </si>
  <si>
    <t>fachkraefte</t>
  </si>
  <si>
    <t>1260_neue_wohnungen</t>
  </si>
  <si>
    <t>verlust_guenstige_wohnungen</t>
  </si>
  <si>
    <t>foerderung_guenstige_wohnungen</t>
  </si>
  <si>
    <t>1300_guenstige_wohnungen</t>
  </si>
  <si>
    <t>preisbindung</t>
  </si>
  <si>
    <t>zurueck_in_preisbindung</t>
  </si>
  <si>
    <t>eigentuemer</t>
  </si>
  <si>
    <t>wohnungsbaugesellschaften</t>
  </si>
  <si>
    <t>durchmischung</t>
  </si>
  <si>
    <t>OLD</t>
  </si>
  <si>
    <t>einigung_wohnungsbau</t>
  </si>
  <si>
    <t>fokus_cdu</t>
  </si>
  <si>
    <t>FAMILIAR</t>
  </si>
  <si>
    <t>UNIQUE</t>
  </si>
  <si>
    <t>streit_wohnungsbau</t>
  </si>
  <si>
    <t>siehe log</t>
  </si>
  <si>
    <t>FOCUS</t>
  </si>
  <si>
    <t>ACTIVATED</t>
  </si>
  <si>
    <t>neue Wohnungen im Allgemeinen</t>
  </si>
  <si>
    <t>umsetzung_programm</t>
  </si>
  <si>
    <t>syntaktischer Kopf</t>
  </si>
  <si>
    <t>hypophora</t>
  </si>
  <si>
    <t>wer</t>
  </si>
  <si>
    <t>wie</t>
  </si>
  <si>
    <t>contrast</t>
  </si>
  <si>
    <t>instance</t>
  </si>
  <si>
    <t>(zum Beispiel)</t>
  </si>
  <si>
    <t>specific</t>
  </si>
  <si>
    <t>in erster Linie</t>
  </si>
  <si>
    <t>contra-expectation</t>
  </si>
  <si>
    <t>(konkret)</t>
  </si>
  <si>
    <t>das Problem (allerdings)</t>
  </si>
  <si>
    <t>(dagegen)</t>
  </si>
  <si>
    <t>(allerdings)</t>
  </si>
  <si>
    <t>wie aber</t>
  </si>
  <si>
    <t>enablement</t>
  </si>
  <si>
    <t>um das zu verhindern (zu diesem Zweck)</t>
  </si>
  <si>
    <t>außerdem</t>
  </si>
  <si>
    <t>conjunction</t>
  </si>
  <si>
    <t>reason</t>
  </si>
  <si>
    <t>denn</t>
  </si>
  <si>
    <t>consequence</t>
  </si>
  <si>
    <t>(dann)</t>
  </si>
  <si>
    <t>expectation-raiser</t>
  </si>
  <si>
    <t>fragment</t>
  </si>
  <si>
    <t>offer</t>
  </si>
  <si>
    <t>(denn)</t>
  </si>
  <si>
    <t>Marker in ID 2</t>
  </si>
  <si>
    <t>broad</t>
  </si>
  <si>
    <t>ungeachtet dessen (insgesamt)</t>
  </si>
  <si>
    <t>(in dem Fall)</t>
  </si>
  <si>
    <t>(so)</t>
  </si>
  <si>
    <t>(und)</t>
  </si>
  <si>
    <t>(aber)</t>
  </si>
  <si>
    <t>wir wollen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</si>
</sst>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workbookViewId="0">
      <pane xSplit="5" ySplit="1" topLeftCell="G35" activePane="bottomRight" state="frozen"/>
      <selection pane="topRight" activeCell="F1" sqref="F1"/>
      <selection pane="bottomLeft" activeCell="A2" sqref="A2"/>
      <selection pane="bottomRight" activeCell="I37" sqref="I37"/>
    </sheetView>
  </sheetViews>
  <sheetFormatPr baseColWidth="10" defaultColWidth="8.88671875" defaultRowHeight="60" customHeight="1" x14ac:dyDescent="0.3"/>
  <cols>
    <col min="2" max="3" width="0" hidden="1" customWidth="1"/>
    <col min="4" max="4" width="10.6640625" customWidth="1"/>
    <col min="5" max="5" width="80.6640625" customWidth="1"/>
    <col min="6" max="6" width="0" hidden="1" customWidth="1"/>
    <col min="7" max="7" width="10.6640625" customWidth="1"/>
    <col min="9" max="9" width="10.6640625" customWidth="1"/>
    <col min="10" max="10" width="40.6640625" customWidth="1"/>
  </cols>
  <sheetData>
    <row r="1" spans="1:10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 x14ac:dyDescent="0.3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519</v>
      </c>
      <c r="H2" s="10">
        <v>2</v>
      </c>
      <c r="I2" s="11" t="s">
        <v>518</v>
      </c>
      <c r="J2" s="12"/>
    </row>
    <row r="3" spans="1:10" ht="60" customHeight="1" x14ac:dyDescent="0.3">
      <c r="A3" s="6" t="s">
        <v>11</v>
      </c>
      <c r="B3" s="6" t="s">
        <v>16</v>
      </c>
      <c r="C3" s="6" t="s">
        <v>12</v>
      </c>
      <c r="D3" s="7" t="s">
        <v>17</v>
      </c>
      <c r="E3" s="8" t="s">
        <v>18</v>
      </c>
      <c r="F3" s="6" t="s">
        <v>19</v>
      </c>
      <c r="G3" s="9" t="s">
        <v>12</v>
      </c>
      <c r="H3" s="10">
        <v>3</v>
      </c>
      <c r="I3" s="11" t="s">
        <v>541</v>
      </c>
      <c r="J3" s="12"/>
    </row>
    <row r="4" spans="1:10" ht="60" customHeight="1" x14ac:dyDescent="0.3">
      <c r="A4" s="6" t="s">
        <v>20</v>
      </c>
      <c r="B4" s="6" t="s">
        <v>21</v>
      </c>
      <c r="C4" s="6" t="s">
        <v>12</v>
      </c>
      <c r="D4" s="7" t="s">
        <v>22</v>
      </c>
      <c r="E4" s="8" t="s">
        <v>23</v>
      </c>
      <c r="F4" s="6" t="s">
        <v>24</v>
      </c>
      <c r="G4" s="9" t="s">
        <v>141</v>
      </c>
      <c r="H4" s="10">
        <v>1</v>
      </c>
      <c r="I4" s="11" t="s">
        <v>542</v>
      </c>
      <c r="J4" s="12" t="s">
        <v>544</v>
      </c>
    </row>
    <row r="5" spans="1:10" ht="60" customHeight="1" x14ac:dyDescent="0.3">
      <c r="A5" s="6" t="s">
        <v>25</v>
      </c>
      <c r="B5" s="6" t="s">
        <v>11</v>
      </c>
      <c r="C5" s="6" t="s">
        <v>12</v>
      </c>
      <c r="D5" s="7" t="s">
        <v>26</v>
      </c>
      <c r="E5" s="8" t="s">
        <v>27</v>
      </c>
      <c r="F5" s="6" t="s">
        <v>28</v>
      </c>
      <c r="G5" s="9" t="s">
        <v>520</v>
      </c>
      <c r="H5" s="10">
        <v>5</v>
      </c>
      <c r="I5" s="11" t="s">
        <v>518</v>
      </c>
      <c r="J5" s="12"/>
    </row>
    <row r="6" spans="1:10" ht="60" customHeight="1" x14ac:dyDescent="0.3">
      <c r="A6" s="6" t="s">
        <v>16</v>
      </c>
      <c r="B6" s="6" t="s">
        <v>20</v>
      </c>
      <c r="C6" s="6" t="s">
        <v>12</v>
      </c>
      <c r="D6" s="7" t="s">
        <v>29</v>
      </c>
      <c r="E6" s="8" t="s">
        <v>30</v>
      </c>
      <c r="F6" s="6" t="s">
        <v>31</v>
      </c>
      <c r="G6" s="9" t="s">
        <v>523</v>
      </c>
      <c r="H6" s="10">
        <v>4</v>
      </c>
      <c r="I6" s="11" t="s">
        <v>522</v>
      </c>
      <c r="J6" s="12"/>
    </row>
    <row r="7" spans="1:10" ht="60" customHeight="1" x14ac:dyDescent="0.3">
      <c r="A7" s="6" t="s">
        <v>32</v>
      </c>
      <c r="B7" s="6" t="s">
        <v>20</v>
      </c>
      <c r="C7" s="6" t="s">
        <v>12</v>
      </c>
      <c r="D7" s="7" t="s">
        <v>33</v>
      </c>
      <c r="E7" s="8" t="s">
        <v>34</v>
      </c>
      <c r="F7" s="6" t="s">
        <v>35</v>
      </c>
      <c r="G7" s="9" t="s">
        <v>462</v>
      </c>
      <c r="H7" s="10">
        <v>5</v>
      </c>
      <c r="I7" s="11" t="s">
        <v>521</v>
      </c>
      <c r="J7" s="12"/>
    </row>
    <row r="8" spans="1:10" ht="60" customHeight="1" x14ac:dyDescent="0.3">
      <c r="A8" s="6" t="s">
        <v>36</v>
      </c>
      <c r="B8" s="6" t="s">
        <v>25</v>
      </c>
      <c r="C8" s="6" t="s">
        <v>12</v>
      </c>
      <c r="D8" s="7" t="s">
        <v>37</v>
      </c>
      <c r="E8" s="8" t="s">
        <v>38</v>
      </c>
      <c r="F8" s="6" t="s">
        <v>39</v>
      </c>
      <c r="G8" s="9" t="s">
        <v>525</v>
      </c>
      <c r="H8" s="10">
        <v>6</v>
      </c>
      <c r="I8" s="11" t="s">
        <v>524</v>
      </c>
      <c r="J8" s="12"/>
    </row>
    <row r="9" spans="1:10" ht="60" customHeight="1" x14ac:dyDescent="0.3">
      <c r="A9" s="6" t="s">
        <v>40</v>
      </c>
      <c r="B9" s="6" t="s">
        <v>20</v>
      </c>
      <c r="C9" s="6" t="s">
        <v>12</v>
      </c>
      <c r="D9" s="7" t="s">
        <v>41</v>
      </c>
      <c r="E9" s="8" t="s">
        <v>42</v>
      </c>
      <c r="F9" s="6" t="s">
        <v>43</v>
      </c>
      <c r="G9" s="9" t="s">
        <v>543</v>
      </c>
      <c r="H9" s="10">
        <v>7</v>
      </c>
      <c r="I9" s="11" t="s">
        <v>536</v>
      </c>
      <c r="J9" s="12"/>
    </row>
    <row r="10" spans="1:10" ht="60" customHeight="1" x14ac:dyDescent="0.3">
      <c r="A10" s="6" t="s">
        <v>21</v>
      </c>
      <c r="B10" s="6" t="s">
        <v>44</v>
      </c>
      <c r="C10" s="6" t="s">
        <v>12</v>
      </c>
      <c r="D10" s="7" t="s">
        <v>45</v>
      </c>
      <c r="E10" s="8" t="s">
        <v>46</v>
      </c>
      <c r="F10" s="6" t="s">
        <v>47</v>
      </c>
      <c r="G10" s="9" t="s">
        <v>259</v>
      </c>
      <c r="H10" s="10">
        <v>7</v>
      </c>
      <c r="I10" s="11" t="s">
        <v>542</v>
      </c>
      <c r="J10" s="12"/>
    </row>
    <row r="11" spans="1:10" ht="60" customHeight="1" x14ac:dyDescent="0.3">
      <c r="A11" s="6" t="s">
        <v>44</v>
      </c>
      <c r="B11" s="6" t="s">
        <v>44</v>
      </c>
      <c r="C11" s="6" t="s">
        <v>12</v>
      </c>
      <c r="D11" s="7" t="s">
        <v>48</v>
      </c>
      <c r="E11" s="8" t="s">
        <v>49</v>
      </c>
      <c r="F11" s="6" t="s">
        <v>50</v>
      </c>
      <c r="G11" s="9" t="s">
        <v>279</v>
      </c>
      <c r="H11" s="10">
        <v>9</v>
      </c>
      <c r="I11" s="11" t="s">
        <v>526</v>
      </c>
      <c r="J11" s="12"/>
    </row>
    <row r="12" spans="1:10" ht="60" customHeight="1" x14ac:dyDescent="0.3">
      <c r="A12" s="6" t="s">
        <v>51</v>
      </c>
      <c r="B12" s="6" t="s">
        <v>36</v>
      </c>
      <c r="C12" s="6" t="s">
        <v>12</v>
      </c>
      <c r="D12" s="7" t="s">
        <v>52</v>
      </c>
      <c r="E12" s="8" t="s">
        <v>53</v>
      </c>
      <c r="F12" s="6" t="s">
        <v>54</v>
      </c>
      <c r="G12" s="9" t="s">
        <v>289</v>
      </c>
      <c r="H12" s="10">
        <v>10</v>
      </c>
      <c r="I12" s="11" t="s">
        <v>526</v>
      </c>
      <c r="J12" s="12"/>
    </row>
    <row r="13" spans="1:10" ht="60" customHeight="1" x14ac:dyDescent="0.3">
      <c r="A13" s="6" t="s">
        <v>55</v>
      </c>
      <c r="B13" s="6" t="s">
        <v>20</v>
      </c>
      <c r="C13" s="6" t="s">
        <v>12</v>
      </c>
      <c r="D13" s="7" t="s">
        <v>56</v>
      </c>
      <c r="E13" s="8" t="s">
        <v>57</v>
      </c>
      <c r="F13" s="6" t="s">
        <v>58</v>
      </c>
      <c r="G13" s="9" t="s">
        <v>551</v>
      </c>
      <c r="H13" s="10">
        <v>11</v>
      </c>
      <c r="I13" s="11" t="s">
        <v>542</v>
      </c>
      <c r="J13" s="12"/>
    </row>
    <row r="14" spans="1:10" ht="60" customHeight="1" x14ac:dyDescent="0.3">
      <c r="A14" s="6" t="s">
        <v>59</v>
      </c>
      <c r="B14" s="6" t="s">
        <v>60</v>
      </c>
      <c r="C14" s="6" t="s">
        <v>12</v>
      </c>
      <c r="D14" s="7" t="s">
        <v>61</v>
      </c>
      <c r="E14" s="8" t="s">
        <v>62</v>
      </c>
      <c r="F14" s="6" t="s">
        <v>63</v>
      </c>
      <c r="G14" s="9" t="s">
        <v>527</v>
      </c>
      <c r="H14" s="10">
        <v>12</v>
      </c>
      <c r="I14" s="11" t="s">
        <v>524</v>
      </c>
      <c r="J14" s="12"/>
    </row>
    <row r="15" spans="1:10" ht="60" customHeight="1" x14ac:dyDescent="0.3">
      <c r="A15" s="6" t="s">
        <v>64</v>
      </c>
      <c r="B15" s="6" t="s">
        <v>11</v>
      </c>
      <c r="C15" s="6" t="s">
        <v>12</v>
      </c>
      <c r="D15" s="7" t="s">
        <v>65</v>
      </c>
      <c r="E15" s="8" t="s">
        <v>66</v>
      </c>
      <c r="F15" s="6" t="s">
        <v>67</v>
      </c>
      <c r="G15" s="9" t="s">
        <v>528</v>
      </c>
      <c r="H15" s="10">
        <v>13</v>
      </c>
      <c r="I15" s="11" t="s">
        <v>526</v>
      </c>
      <c r="J15" s="12"/>
    </row>
    <row r="16" spans="1:10" ht="60" customHeight="1" x14ac:dyDescent="0.3">
      <c r="A16" s="6" t="s">
        <v>68</v>
      </c>
      <c r="B16" s="6" t="s">
        <v>40</v>
      </c>
      <c r="C16" s="6" t="s">
        <v>12</v>
      </c>
      <c r="D16" s="7" t="s">
        <v>69</v>
      </c>
      <c r="E16" s="8" t="s">
        <v>70</v>
      </c>
      <c r="F16" s="6" t="s">
        <v>71</v>
      </c>
      <c r="G16" s="9" t="s">
        <v>523</v>
      </c>
      <c r="H16" s="10">
        <v>14</v>
      </c>
      <c r="I16" s="11" t="s">
        <v>522</v>
      </c>
      <c r="J16" s="12"/>
    </row>
    <row r="17" spans="1:10" ht="60" customHeight="1" x14ac:dyDescent="0.3">
      <c r="A17" s="6" t="s">
        <v>72</v>
      </c>
      <c r="B17" s="6" t="s">
        <v>20</v>
      </c>
      <c r="C17" s="6" t="s">
        <v>12</v>
      </c>
      <c r="D17" s="7" t="s">
        <v>56</v>
      </c>
      <c r="E17" s="8" t="s">
        <v>73</v>
      </c>
      <c r="F17" s="6" t="s">
        <v>74</v>
      </c>
      <c r="G17" s="9" t="s">
        <v>529</v>
      </c>
      <c r="H17" s="10">
        <v>15</v>
      </c>
      <c r="I17" s="11" t="s">
        <v>521</v>
      </c>
      <c r="J17" s="12"/>
    </row>
    <row r="18" spans="1:10" ht="60" customHeight="1" x14ac:dyDescent="0.3">
      <c r="A18" s="6" t="s">
        <v>75</v>
      </c>
      <c r="B18" s="6" t="s">
        <v>10</v>
      </c>
      <c r="C18" s="6" t="s">
        <v>12</v>
      </c>
      <c r="D18" s="7" t="s">
        <v>76</v>
      </c>
      <c r="E18" s="8" t="s">
        <v>77</v>
      </c>
      <c r="F18" s="6" t="s">
        <v>78</v>
      </c>
      <c r="G18" s="9" t="s">
        <v>546</v>
      </c>
      <c r="H18" s="10">
        <v>16</v>
      </c>
      <c r="I18" s="11" t="s">
        <v>545</v>
      </c>
      <c r="J18" s="12"/>
    </row>
    <row r="19" spans="1:10" ht="60" customHeight="1" x14ac:dyDescent="0.3">
      <c r="A19" s="6" t="s">
        <v>79</v>
      </c>
      <c r="B19" s="6" t="s">
        <v>64</v>
      </c>
      <c r="C19" s="6" t="s">
        <v>12</v>
      </c>
      <c r="D19" s="7" t="s">
        <v>61</v>
      </c>
      <c r="E19" s="8" t="s">
        <v>80</v>
      </c>
      <c r="F19" s="6" t="s">
        <v>81</v>
      </c>
      <c r="G19" s="9" t="s">
        <v>547</v>
      </c>
      <c r="H19" s="10">
        <v>13</v>
      </c>
      <c r="I19" s="11" t="s">
        <v>538</v>
      </c>
      <c r="J19" s="12"/>
    </row>
    <row r="20" spans="1:10" ht="60" customHeight="1" x14ac:dyDescent="0.3">
      <c r="A20" s="6" t="s">
        <v>82</v>
      </c>
      <c r="B20" s="6" t="s">
        <v>25</v>
      </c>
      <c r="C20" s="6" t="s">
        <v>12</v>
      </c>
      <c r="D20" s="7" t="s">
        <v>83</v>
      </c>
      <c r="E20" s="8" t="s">
        <v>84</v>
      </c>
      <c r="F20" s="6" t="s">
        <v>85</v>
      </c>
      <c r="G20" s="9" t="s">
        <v>539</v>
      </c>
      <c r="H20" s="10">
        <v>18</v>
      </c>
      <c r="I20" s="11" t="s">
        <v>538</v>
      </c>
      <c r="J20" s="12"/>
    </row>
    <row r="21" spans="1:10" ht="60" customHeight="1" x14ac:dyDescent="0.3">
      <c r="A21" s="6" t="s">
        <v>86</v>
      </c>
      <c r="B21" s="6" t="s">
        <v>11</v>
      </c>
      <c r="C21" s="6" t="s">
        <v>12</v>
      </c>
      <c r="D21" s="7" t="s">
        <v>87</v>
      </c>
      <c r="E21" s="8" t="s">
        <v>88</v>
      </c>
      <c r="F21" s="6" t="s">
        <v>89</v>
      </c>
      <c r="G21" s="9" t="s">
        <v>530</v>
      </c>
      <c r="H21" s="10">
        <v>19</v>
      </c>
      <c r="I21" s="11" t="s">
        <v>526</v>
      </c>
      <c r="J21" s="12"/>
    </row>
    <row r="22" spans="1:10" ht="60" customHeight="1" x14ac:dyDescent="0.3">
      <c r="A22" s="6" t="s">
        <v>60</v>
      </c>
      <c r="B22" s="6" t="s">
        <v>20</v>
      </c>
      <c r="C22" s="6" t="s">
        <v>12</v>
      </c>
      <c r="D22" s="7" t="s">
        <v>90</v>
      </c>
      <c r="E22" s="8" t="s">
        <v>91</v>
      </c>
      <c r="F22" s="6" t="s">
        <v>92</v>
      </c>
      <c r="G22" s="9" t="s">
        <v>462</v>
      </c>
      <c r="H22" s="10">
        <v>13</v>
      </c>
      <c r="I22" s="11" t="s">
        <v>521</v>
      </c>
      <c r="J22" s="12"/>
    </row>
    <row r="23" spans="1:10" ht="60" customHeight="1" x14ac:dyDescent="0.3">
      <c r="A23" s="6" t="s">
        <v>93</v>
      </c>
      <c r="B23" s="6" t="s">
        <v>20</v>
      </c>
      <c r="C23" s="6" t="s">
        <v>12</v>
      </c>
      <c r="D23" s="7" t="s">
        <v>94</v>
      </c>
      <c r="E23" s="8" t="s">
        <v>95</v>
      </c>
      <c r="F23" s="6" t="s">
        <v>96</v>
      </c>
      <c r="G23" s="9" t="s">
        <v>531</v>
      </c>
      <c r="H23" s="10">
        <v>23</v>
      </c>
      <c r="I23" s="11" t="s">
        <v>518</v>
      </c>
      <c r="J23" s="12"/>
    </row>
    <row r="24" spans="1:10" ht="60" customHeight="1" x14ac:dyDescent="0.3">
      <c r="A24" s="6" t="s">
        <v>97</v>
      </c>
      <c r="B24" s="6" t="s">
        <v>36</v>
      </c>
      <c r="C24" s="6" t="s">
        <v>12</v>
      </c>
      <c r="D24" s="7" t="s">
        <v>98</v>
      </c>
      <c r="E24" s="8" t="s">
        <v>99</v>
      </c>
      <c r="F24" s="6" t="s">
        <v>100</v>
      </c>
      <c r="G24" s="9" t="s">
        <v>527</v>
      </c>
      <c r="H24" s="10">
        <v>22</v>
      </c>
      <c r="I24" s="11" t="s">
        <v>524</v>
      </c>
      <c r="J24" s="12"/>
    </row>
    <row r="25" spans="1:10" ht="60" customHeight="1" x14ac:dyDescent="0.3">
      <c r="A25" s="6" t="s">
        <v>101</v>
      </c>
      <c r="B25" s="6" t="s">
        <v>86</v>
      </c>
      <c r="C25" s="6" t="s">
        <v>12</v>
      </c>
      <c r="D25" s="7" t="s">
        <v>102</v>
      </c>
      <c r="E25" s="8" t="s">
        <v>103</v>
      </c>
      <c r="F25" s="6" t="s">
        <v>104</v>
      </c>
      <c r="G25" s="9" t="s">
        <v>533</v>
      </c>
      <c r="H25" s="10">
        <v>22</v>
      </c>
      <c r="I25" s="11" t="s">
        <v>532</v>
      </c>
      <c r="J25" s="12"/>
    </row>
    <row r="26" spans="1:10" ht="60" customHeight="1" x14ac:dyDescent="0.3">
      <c r="A26" s="6" t="s">
        <v>105</v>
      </c>
      <c r="B26" s="6" t="s">
        <v>25</v>
      </c>
      <c r="C26" s="6" t="s">
        <v>12</v>
      </c>
      <c r="D26" s="7" t="s">
        <v>106</v>
      </c>
      <c r="E26" s="8" t="s">
        <v>107</v>
      </c>
      <c r="F26" s="6" t="s">
        <v>108</v>
      </c>
      <c r="G26" s="9" t="s">
        <v>534</v>
      </c>
      <c r="H26" s="10">
        <v>24</v>
      </c>
      <c r="I26" s="11" t="s">
        <v>535</v>
      </c>
      <c r="J26" s="12"/>
    </row>
    <row r="27" spans="1:10" ht="60" customHeight="1" x14ac:dyDescent="0.3">
      <c r="A27" s="6" t="s">
        <v>109</v>
      </c>
      <c r="B27" s="6" t="s">
        <v>11</v>
      </c>
      <c r="C27" s="6" t="s">
        <v>12</v>
      </c>
      <c r="D27" s="7" t="s">
        <v>110</v>
      </c>
      <c r="E27" s="8" t="s">
        <v>111</v>
      </c>
      <c r="F27" s="6" t="s">
        <v>112</v>
      </c>
      <c r="G27" s="9" t="s">
        <v>527</v>
      </c>
      <c r="H27" s="10">
        <v>25</v>
      </c>
      <c r="I27" s="11" t="s">
        <v>524</v>
      </c>
      <c r="J27" s="12"/>
    </row>
    <row r="28" spans="1:10" ht="60" customHeight="1" x14ac:dyDescent="0.3">
      <c r="A28" s="6" t="s">
        <v>113</v>
      </c>
      <c r="B28" s="6" t="s">
        <v>25</v>
      </c>
      <c r="C28" s="6" t="s">
        <v>12</v>
      </c>
      <c r="D28" s="7" t="s">
        <v>114</v>
      </c>
      <c r="E28" s="8" t="s">
        <v>115</v>
      </c>
      <c r="F28" s="6" t="s">
        <v>116</v>
      </c>
      <c r="G28" s="9" t="s">
        <v>548</v>
      </c>
      <c r="H28" s="10">
        <v>25</v>
      </c>
      <c r="I28" s="11" t="s">
        <v>538</v>
      </c>
      <c r="J28" s="12"/>
    </row>
    <row r="29" spans="1:10" ht="60" customHeight="1" x14ac:dyDescent="0.3">
      <c r="A29" s="6" t="s">
        <v>117</v>
      </c>
      <c r="B29" s="6" t="s">
        <v>16</v>
      </c>
      <c r="C29" s="6" t="s">
        <v>12</v>
      </c>
      <c r="D29" s="7" t="s">
        <v>118</v>
      </c>
      <c r="E29" s="8" t="s">
        <v>119</v>
      </c>
      <c r="F29" s="6" t="s">
        <v>120</v>
      </c>
      <c r="G29" s="9" t="s">
        <v>537</v>
      </c>
      <c r="H29" s="10">
        <v>26</v>
      </c>
      <c r="I29" s="11" t="s">
        <v>536</v>
      </c>
      <c r="J29" s="12"/>
    </row>
    <row r="30" spans="1:10" ht="60" customHeight="1" x14ac:dyDescent="0.3">
      <c r="A30" s="6" t="s">
        <v>121</v>
      </c>
      <c r="B30" s="6" t="s">
        <v>64</v>
      </c>
      <c r="C30" s="6" t="s">
        <v>12</v>
      </c>
      <c r="D30" s="7" t="s">
        <v>122</v>
      </c>
      <c r="E30" s="8" t="s">
        <v>123</v>
      </c>
      <c r="F30" s="6" t="s">
        <v>124</v>
      </c>
      <c r="G30" s="9" t="s">
        <v>539</v>
      </c>
      <c r="H30" s="10">
        <v>28</v>
      </c>
      <c r="I30" s="11" t="s">
        <v>538</v>
      </c>
      <c r="J30" s="12"/>
    </row>
    <row r="31" spans="1:10" ht="60" customHeight="1" x14ac:dyDescent="0.3">
      <c r="A31" s="6" t="s">
        <v>125</v>
      </c>
      <c r="B31" s="6" t="s">
        <v>25</v>
      </c>
      <c r="C31" s="6" t="s">
        <v>12</v>
      </c>
      <c r="D31" s="7" t="s">
        <v>56</v>
      </c>
      <c r="E31" s="8" t="s">
        <v>126</v>
      </c>
      <c r="F31" s="6" t="s">
        <v>127</v>
      </c>
      <c r="G31" s="9" t="s">
        <v>438</v>
      </c>
      <c r="H31" s="10">
        <v>29</v>
      </c>
      <c r="I31" s="11" t="s">
        <v>526</v>
      </c>
      <c r="J31" s="12"/>
    </row>
    <row r="32" spans="1:10" ht="60" customHeight="1" x14ac:dyDescent="0.3">
      <c r="A32" s="6" t="s">
        <v>128</v>
      </c>
      <c r="B32" s="6" t="s">
        <v>55</v>
      </c>
      <c r="C32" s="6" t="s">
        <v>12</v>
      </c>
      <c r="D32" s="7" t="s">
        <v>129</v>
      </c>
      <c r="E32" s="8" t="s">
        <v>130</v>
      </c>
      <c r="F32" s="6" t="s">
        <v>131</v>
      </c>
      <c r="G32" s="9" t="s">
        <v>537</v>
      </c>
      <c r="H32" s="10">
        <v>30</v>
      </c>
      <c r="I32" s="11" t="s">
        <v>536</v>
      </c>
      <c r="J32" s="12"/>
    </row>
    <row r="33" spans="1:10" ht="60" customHeight="1" x14ac:dyDescent="0.3">
      <c r="A33" s="6" t="s">
        <v>132</v>
      </c>
      <c r="B33" s="6" t="s">
        <v>59</v>
      </c>
      <c r="C33" s="6" t="s">
        <v>12</v>
      </c>
      <c r="D33" s="7" t="s">
        <v>133</v>
      </c>
      <c r="E33" s="8" t="s">
        <v>134</v>
      </c>
      <c r="F33" s="6" t="s">
        <v>135</v>
      </c>
      <c r="G33" s="9" t="s">
        <v>549</v>
      </c>
      <c r="H33" s="10">
        <v>31</v>
      </c>
      <c r="I33" s="11" t="s">
        <v>535</v>
      </c>
      <c r="J33" s="12"/>
    </row>
    <row r="34" spans="1:10" ht="60" customHeight="1" x14ac:dyDescent="0.3">
      <c r="A34" s="6" t="s">
        <v>136</v>
      </c>
      <c r="B34" s="6" t="s">
        <v>20</v>
      </c>
      <c r="C34" s="6" t="s">
        <v>12</v>
      </c>
      <c r="D34" s="7" t="s">
        <v>137</v>
      </c>
      <c r="E34" s="8" t="s">
        <v>138</v>
      </c>
      <c r="F34" s="6" t="s">
        <v>139</v>
      </c>
      <c r="G34" s="9" t="s">
        <v>550</v>
      </c>
      <c r="H34" s="10">
        <v>14</v>
      </c>
      <c r="I34" s="11" t="s">
        <v>521</v>
      </c>
      <c r="J34" s="12"/>
    </row>
    <row r="35" spans="1:10" ht="60" customHeight="1" x14ac:dyDescent="0.3">
      <c r="A35" s="6" t="s">
        <v>140</v>
      </c>
      <c r="B35" s="6" t="s">
        <v>25</v>
      </c>
      <c r="C35" s="6" t="s">
        <v>12</v>
      </c>
      <c r="D35" s="7" t="s">
        <v>141</v>
      </c>
      <c r="E35" s="8" t="s">
        <v>142</v>
      </c>
      <c r="F35" s="6" t="s">
        <v>143</v>
      </c>
      <c r="G35" s="9" t="s">
        <v>543</v>
      </c>
      <c r="H35" s="10">
        <v>33</v>
      </c>
      <c r="I35" s="11" t="s">
        <v>536</v>
      </c>
      <c r="J35" s="12"/>
    </row>
    <row r="36" spans="1:10" ht="60" customHeight="1" x14ac:dyDescent="0.3">
      <c r="A36" s="6" t="s">
        <v>144</v>
      </c>
      <c r="B36" s="6" t="s">
        <v>44</v>
      </c>
      <c r="C36" s="6" t="s">
        <v>12</v>
      </c>
      <c r="D36" s="7" t="s">
        <v>145</v>
      </c>
      <c r="E36" s="8" t="s">
        <v>146</v>
      </c>
      <c r="F36" s="6" t="s">
        <v>147</v>
      </c>
      <c r="G36" s="9" t="s">
        <v>455</v>
      </c>
      <c r="H36" s="10">
        <v>36</v>
      </c>
      <c r="I36" s="11" t="s">
        <v>540</v>
      </c>
      <c r="J36" s="12"/>
    </row>
    <row r="37" spans="1:10" ht="60" customHeight="1" x14ac:dyDescent="0.3">
      <c r="A37" s="6" t="s">
        <v>148</v>
      </c>
      <c r="B37" s="6" t="s">
        <v>25</v>
      </c>
      <c r="C37" s="6" t="s">
        <v>149</v>
      </c>
      <c r="D37" s="7" t="s">
        <v>150</v>
      </c>
      <c r="E37" s="8" t="s">
        <v>151</v>
      </c>
      <c r="F37" s="6" t="s">
        <v>152</v>
      </c>
      <c r="G37" s="9" t="s">
        <v>297</v>
      </c>
      <c r="H37" s="10">
        <v>35</v>
      </c>
      <c r="I37" s="11" t="s">
        <v>526</v>
      </c>
      <c r="J37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09"/>
  <sheetViews>
    <sheetView workbookViewId="0">
      <pane xSplit="1" ySplit="1" topLeftCell="B105" activePane="bottomRight" state="frozen"/>
      <selection pane="topRight" activeCell="B1" sqref="B1"/>
      <selection pane="bottomLeft" activeCell="A2" sqref="A2"/>
      <selection pane="bottomRight" activeCell="G109" sqref="G109"/>
    </sheetView>
  </sheetViews>
  <sheetFormatPr baseColWidth="10" defaultColWidth="8.88671875" defaultRowHeight="14.4" x14ac:dyDescent="0.3"/>
  <cols>
    <col min="1" max="1" width="20.6640625" customWidth="1"/>
    <col min="3" max="3" width="15.6640625" customWidth="1"/>
    <col min="4" max="4" width="10.6640625" customWidth="1"/>
    <col min="9" max="11" width="0" hidden="1" customWidth="1"/>
    <col min="12" max="12" width="40.6640625" customWidth="1"/>
  </cols>
  <sheetData>
    <row r="1" spans="1:12" x14ac:dyDescent="0.3">
      <c r="A1" s="13" t="s">
        <v>153</v>
      </c>
      <c r="B1" s="13" t="s">
        <v>154</v>
      </c>
      <c r="C1" s="13" t="s">
        <v>155</v>
      </c>
      <c r="D1" s="13" t="s">
        <v>156</v>
      </c>
      <c r="E1" s="14" t="s">
        <v>157</v>
      </c>
      <c r="F1" s="15" t="s">
        <v>158</v>
      </c>
      <c r="G1" s="16" t="s">
        <v>159</v>
      </c>
      <c r="H1" s="17" t="s">
        <v>160</v>
      </c>
      <c r="I1" s="18" t="s">
        <v>161</v>
      </c>
      <c r="J1" s="18" t="s">
        <v>162</v>
      </c>
      <c r="K1" s="18" t="s">
        <v>163</v>
      </c>
      <c r="L1" s="19" t="s">
        <v>9</v>
      </c>
    </row>
    <row r="2" spans="1:12" x14ac:dyDescent="0.3">
      <c r="A2" t="s">
        <v>164</v>
      </c>
    </row>
    <row r="3" spans="1:12" x14ac:dyDescent="0.3">
      <c r="A3" t="s">
        <v>165</v>
      </c>
      <c r="B3" s="20" t="s">
        <v>166</v>
      </c>
      <c r="C3" s="20" t="s">
        <v>167</v>
      </c>
      <c r="E3" s="21" t="str">
        <f t="shared" ref="E3:E8" si="0">IF(D3="?OLD","!!!","")</f>
        <v/>
      </c>
      <c r="F3" s="22" t="str">
        <f>IF(OR(E3="",E3="!!!"),"",IF(NOT(ISNA(VLOOKUP(E3,E$1:E2,1,FALSE()))),"OLD",IF(AND(E3&lt;&gt;"",E3&lt;&gt;"!!!"),"NEW","")))</f>
        <v/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/>
      </c>
      <c r="H3" s="24" t="str">
        <f t="shared" ref="H3:H8" ca="1" si="1">IF(J3&lt;&gt;1,"",IF(I3="SBJ","CB","?"))</f>
        <v/>
      </c>
      <c r="I3" s="25" t="str">
        <f>IF(OR(E3="",E3="!!!",F3="NEW"),"",INDEX(B2:B$2,-1+SUMPRODUCT(MAX(ROW(E2:E$2)*(E3=E2:E$2)))))</f>
        <v/>
      </c>
      <c r="J3" s="25" t="str">
        <f ca="1">IF(OR(E3="",E3="!!!",F3="NEW"),"",COUNTBLANK(OFFSET(A$1,,,SUMPRODUCT(MAX(ROW(E$2:E3)*(E3=E$2:E3)))))-COUNTBLANK(OFFSET(A$1,,,SUMPRODUCT(MAX(ROW(E$1:E2)*(E2=E$1:E2))))))</f>
        <v/>
      </c>
      <c r="K3" s="25" t="str">
        <f>IF(OR(E3="",E3="!!!",F3="NEW"),"",INDEX(J$1:J2,SUMPRODUCT(MAX(ROW(E$1:E2)*(E3=E$1:E2)))))</f>
        <v/>
      </c>
      <c r="L3" s="26"/>
    </row>
    <row r="4" spans="1:12" x14ac:dyDescent="0.3">
      <c r="A4" t="s">
        <v>168</v>
      </c>
      <c r="E4" s="21" t="str">
        <f t="shared" si="0"/>
        <v/>
      </c>
      <c r="F4" s="22" t="str">
        <f>IF(OR(E4="",E4="!!!"),"",IF(NOT(ISNA(VLOOKUP(E4,E$1:E3,1,FALSE()))),"OLD",IF(AND(E4&lt;&gt;"",E4&lt;&gt;"!!!"),"NEW","")))</f>
        <v/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/>
      </c>
      <c r="H4" s="24" t="str">
        <f t="shared" ca="1" si="1"/>
        <v/>
      </c>
      <c r="I4" s="25" t="str">
        <f>IF(OR(E4="",E4="!!!",F4="NEW"),"",INDEX(B$2:B3,-1+SUMPRODUCT(MAX(ROW(E$2:E3)*(E4=E$2:E3)))))</f>
        <v/>
      </c>
      <c r="J4" s="25" t="str">
        <f ca="1">IF(OR(E4="",E4="!!!",F4="NEW"),"",COUNTBLANK(OFFSET(A$1,,,SUMPRODUCT(MAX(ROW(E$2:E4)*(E4=E$2:E4)))))-COUNTBLANK(OFFSET(A$1,,,SUMPRODUCT(MAX(ROW(E$1:E3)*(E2=E$1:E3))))))</f>
        <v/>
      </c>
      <c r="K4" s="25" t="str">
        <f>IF(OR(E4="",E4="!!!",F4="NEW"),"",INDEX(J$1:J3,SUMPRODUCT(MAX(ROW(E$1:E3)*(E4=E$1:E3)))))</f>
        <v/>
      </c>
      <c r="L4" s="26"/>
    </row>
    <row r="5" spans="1:12" x14ac:dyDescent="0.3">
      <c r="A5" t="s">
        <v>169</v>
      </c>
      <c r="B5" s="20" t="s">
        <v>166</v>
      </c>
      <c r="C5" s="20" t="s">
        <v>170</v>
      </c>
      <c r="D5" s="20" t="s">
        <v>171</v>
      </c>
      <c r="E5" s="21" t="s">
        <v>466</v>
      </c>
      <c r="F5" s="22" t="str">
        <f>IF(OR(E5="",E5="!!!"),"",IF(NOT(ISNA(VLOOKUP(E5,E$1:E4,1,FALSE()))),"OLD",IF(AND(E5&lt;&gt;"",E5&lt;&gt;"!!!"),"NEW","")))</f>
        <v>NEW</v>
      </c>
      <c r="G5" s="23" t="s">
        <v>509</v>
      </c>
      <c r="H5" s="24"/>
      <c r="I5" s="25" t="str">
        <f>IF(OR(E5="",E5="!!!",F5="NEW"),"",INDEX(B$2:B4,-1+SUMPRODUCT(MAX(ROW(E$2:E4)*(E5=E$2:E4)))))</f>
        <v/>
      </c>
      <c r="J5" s="25" t="str">
        <f ca="1">IF(OR(E5="",E5="!!!",F5="NEW"),"",COUNTBLANK(OFFSET(A$1,,,SUMPRODUCT(MAX(ROW(E$2:E5)*(E5=E$2:E5)))))-COUNTBLANK(OFFSET(A$1,,,SUMPRODUCT(MAX(ROW(E$1:E4)*(E2=E$1:E4))))))</f>
        <v/>
      </c>
      <c r="K5" s="25" t="str">
        <f>IF(OR(E5="",E5="!!!",F5="NEW"),"",INDEX(J$1:J4,SUMPRODUCT(MAX(ROW(E$1:E4)*(E5=E$1:E4)))))</f>
        <v/>
      </c>
      <c r="L5" s="26"/>
    </row>
    <row r="6" spans="1:12" x14ac:dyDescent="0.3">
      <c r="A6" t="s">
        <v>172</v>
      </c>
      <c r="E6" s="21" t="str">
        <f t="shared" si="0"/>
        <v/>
      </c>
      <c r="F6" s="22" t="str">
        <f>IF(OR(E6="",E6="!!!"),"",IF(NOT(ISNA(VLOOKUP(E6,E$1:E5,1,FALSE()))),"OLD",IF(AND(E6&lt;&gt;"",E6&lt;&gt;"!!!"),"NEW","")))</f>
        <v/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/>
      </c>
      <c r="H6" s="24" t="str">
        <f t="shared" ca="1" si="1"/>
        <v/>
      </c>
      <c r="I6" s="25" t="str">
        <f>IF(OR(E6="",E6="!!!",F6="NEW"),"",INDEX(B$2:B5,-1+SUMPRODUCT(MAX(ROW(E$2:E5)*(E6=E$2:E5)))))</f>
        <v/>
      </c>
      <c r="J6" s="25" t="str">
        <f ca="1">IF(OR(E6="",E6="!!!",F6="NEW"),"",COUNTBLANK(OFFSET(A$1,,,SUMPRODUCT(MAX(ROW(E$2:E6)*(E6=E$2:E6)))))-COUNTBLANK(OFFSET(A$1,,,SUMPRODUCT(MAX(ROW(E$1:E5)*(E2=E$1:E5))))))</f>
        <v/>
      </c>
      <c r="K6" s="25" t="str">
        <f>IF(OR(E6="",E6="!!!",F6="NEW"),"",INDEX(J$1:J5,SUMPRODUCT(MAX(ROW(E$1:E5)*(E6=E$1:E5)))))</f>
        <v/>
      </c>
      <c r="L6" s="26"/>
    </row>
    <row r="7" spans="1:12" x14ac:dyDescent="0.3">
      <c r="A7" t="s">
        <v>173</v>
      </c>
      <c r="B7" s="20" t="s">
        <v>174</v>
      </c>
      <c r="C7" s="20" t="s">
        <v>175</v>
      </c>
      <c r="E7" s="21" t="s">
        <v>472</v>
      </c>
      <c r="F7" s="22" t="str">
        <f>IF(OR(E7="",E7="!!!"),"",IF(NOT(ISNA(VLOOKUP(E7,E$1:E6,1,FALSE()))),"OLD",IF(AND(E7&lt;&gt;"",E7&lt;&gt;"!!!"),"NEW","")))</f>
        <v>NEW</v>
      </c>
      <c r="G7" s="23" t="s">
        <v>509</v>
      </c>
      <c r="H7" s="24" t="str">
        <f t="shared" ca="1" si="1"/>
        <v/>
      </c>
      <c r="I7" s="25" t="str">
        <f>IF(OR(E7="",E7="!!!",F7="NEW"),"",INDEX(B$2:B6,-1+SUMPRODUCT(MAX(ROW(E$2:E6)*(E7=E$2:E6)))))</f>
        <v/>
      </c>
      <c r="J7" s="25" t="str">
        <f ca="1">IF(OR(E7="",E7="!!!",F7="NEW"),"",COUNTBLANK(OFFSET(A$1,,,SUMPRODUCT(MAX(ROW(E$2:E7)*(E7=E$2:E7)))))-COUNTBLANK(OFFSET(A$1,,,SUMPRODUCT(MAX(ROW(E$1:E6)*(E2=E$1:E6))))))</f>
        <v/>
      </c>
      <c r="K7" s="25" t="str">
        <f>IF(OR(E7="",E7="!!!",F7="NEW"),"",INDEX(J$1:J6,SUMPRODUCT(MAX(ROW(E$1:E6)*(E7=E$1:E6)))))</f>
        <v/>
      </c>
      <c r="L7" s="26" t="s">
        <v>473</v>
      </c>
    </row>
    <row r="8" spans="1:12" x14ac:dyDescent="0.3">
      <c r="A8" t="s">
        <v>176</v>
      </c>
      <c r="E8" s="21" t="str">
        <f t="shared" si="0"/>
        <v/>
      </c>
      <c r="F8" s="22" t="str">
        <f>IF(OR(E8="",E8="!!!"),"",IF(NOT(ISNA(VLOOKUP(E8,E$1:E7,1,FALSE()))),"OLD",IF(AND(E8&lt;&gt;"",E8&lt;&gt;"!!!"),"NEW","")))</f>
        <v/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/>
      </c>
      <c r="H8" s="24" t="str">
        <f t="shared" ca="1" si="1"/>
        <v/>
      </c>
      <c r="I8" s="25" t="str">
        <f>IF(OR(E8="",E8="!!!",F8="NEW"),"",INDEX(B$2:B7,-1+SUMPRODUCT(MAX(ROW(E$2:E7)*(E8=E$2:E7)))))</f>
        <v/>
      </c>
      <c r="J8" s="25" t="str">
        <f ca="1">IF(OR(E8="",E8="!!!",F8="NEW"),"",COUNTBLANK(OFFSET(A$1,,,SUMPRODUCT(MAX(ROW(E$2:E8)*(E8=E$2:E8)))))-COUNTBLANK(OFFSET(A$1,,,SUMPRODUCT(MAX(ROW(E$1:E7)*(E2=E$1:E7))))))</f>
        <v/>
      </c>
      <c r="K8" s="25" t="str">
        <f>IF(OR(E8="",E8="!!!",F8="NEW"),"",INDEX(J$1:J7,SUMPRODUCT(MAX(ROW(E$1:E7)*(E8=E$1:E7)))))</f>
        <v/>
      </c>
      <c r="L8" s="26"/>
    </row>
    <row r="10" spans="1:12" x14ac:dyDescent="0.3">
      <c r="A10" t="s">
        <v>177</v>
      </c>
    </row>
    <row r="11" spans="1:12" x14ac:dyDescent="0.3">
      <c r="A11" t="s">
        <v>178</v>
      </c>
      <c r="E11" s="21" t="str">
        <f t="shared" ref="E11:E16" si="2">IF(D11="?OLD","!!!","")</f>
        <v/>
      </c>
      <c r="F11" s="22" t="str">
        <f>IF(OR(E11="",E11="!!!"),"",IF(NOT(ISNA(VLOOKUP(E11,E$1:E10,1,FALSE()))),"OLD",IF(AND(E11&lt;&gt;"",E11&lt;&gt;"!!!"),"NEW","")))</f>
        <v/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/>
      </c>
      <c r="H11" s="24" t="str">
        <f t="shared" ref="H11:H16" ca="1" si="3">IF(J11&lt;&gt;1,"",IF(I11="SBJ","CB","?"))</f>
        <v/>
      </c>
      <c r="I11" s="25" t="str">
        <f>IF(OR(E11="",E11="!!!",F11="NEW"),"",INDEX(B$2:B10,-1+SUMPRODUCT(MAX(ROW(E$2:E10)*(E11=E$2:E10)))))</f>
        <v/>
      </c>
      <c r="J11" s="25" t="str">
        <f ca="1">IF(OR(E11="",E11="!!!",F11="NEW"),"",COUNTBLANK(OFFSET(A$1,,,SUMPRODUCT(MAX(ROW(E$2:E11)*(E11=E$2:E11)))))-COUNTBLANK(OFFSET(A$1,,,SUMPRODUCT(MAX(ROW(E$1:E10)*(E2=E$1:E10))))))</f>
        <v/>
      </c>
      <c r="K11" s="25" t="str">
        <f>IF(OR(E11="",E11="!!!",F11="NEW"),"",INDEX(J$1:J10,SUMPRODUCT(MAX(ROW(E$1:E10)*(E11=E$1:E10)))))</f>
        <v/>
      </c>
      <c r="L11" s="26"/>
    </row>
    <row r="12" spans="1:12" x14ac:dyDescent="0.3">
      <c r="A12" t="s">
        <v>179</v>
      </c>
      <c r="B12" s="20" t="s">
        <v>166</v>
      </c>
      <c r="C12" s="20" t="s">
        <v>170</v>
      </c>
      <c r="D12" s="20" t="s">
        <v>171</v>
      </c>
      <c r="E12" s="21" t="s">
        <v>467</v>
      </c>
      <c r="F12" s="22" t="str">
        <f>IF(OR(E12="",E12="!!!"),"",IF(NOT(ISNA(VLOOKUP(E12,E$1:E11,1,FALSE()))),"OLD",IF(AND(E12&lt;&gt;"",E12&lt;&gt;"!!!"),"NEW","")))</f>
        <v>NEW</v>
      </c>
      <c r="G12" s="23" t="s">
        <v>509</v>
      </c>
      <c r="H12" s="24" t="str">
        <f t="shared" ca="1" si="3"/>
        <v/>
      </c>
      <c r="I12" s="25" t="str">
        <f>IF(OR(E12="",E12="!!!",F12="NEW"),"",INDEX(B$2:B11,-1+SUMPRODUCT(MAX(ROW(E$2:E11)*(E12=E$2:E11)))))</f>
        <v/>
      </c>
      <c r="J12" s="25" t="str">
        <f ca="1">IF(OR(E12="",E12="!!!",F12="NEW"),"",COUNTBLANK(OFFSET(A$1,,,SUMPRODUCT(MAX(ROW(E$2:E12)*(E12=E$2:E12)))))-COUNTBLANK(OFFSET(A$1,,,SUMPRODUCT(MAX(ROW(E$1:E11)*(E2=E$1:E11))))))</f>
        <v/>
      </c>
      <c r="K12" s="25" t="str">
        <f>IF(OR(E12="",E12="!!!",F12="NEW"),"",INDEX(J$1:J11,SUMPRODUCT(MAX(ROW(E$1:E11)*(E12=E$1:E11)))))</f>
        <v/>
      </c>
      <c r="L12" s="26"/>
    </row>
    <row r="13" spans="1:12" x14ac:dyDescent="0.3">
      <c r="A13" t="s">
        <v>180</v>
      </c>
      <c r="E13" s="21" t="str">
        <f t="shared" si="2"/>
        <v/>
      </c>
      <c r="F13" s="22" t="str">
        <f>IF(OR(E13="",E13="!!!"),"",IF(NOT(ISNA(VLOOKUP(E13,E$1:E12,1,FALSE()))),"OLD",IF(AND(E13&lt;&gt;"",E13&lt;&gt;"!!!"),"NEW","")))</f>
        <v/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/>
      </c>
      <c r="H13" s="24" t="str">
        <f t="shared" ca="1" si="3"/>
        <v/>
      </c>
      <c r="I13" s="25" t="str">
        <f>IF(OR(E13="",E13="!!!",F13="NEW"),"",INDEX(B$2:B12,-1+SUMPRODUCT(MAX(ROW(E$2:E12)*(E13=E$2:E12)))))</f>
        <v/>
      </c>
      <c r="J13" s="25" t="str">
        <f ca="1">IF(OR(E13="",E13="!!!",F13="NEW"),"",COUNTBLANK(OFFSET(A$1,,,SUMPRODUCT(MAX(ROW(E$2:E13)*(E13=E$2:E13)))))-COUNTBLANK(OFFSET(A$1,,,SUMPRODUCT(MAX(ROW(E$1:E12)*(E2=E$1:E12))))))</f>
        <v/>
      </c>
      <c r="K13" s="25" t="str">
        <f>IF(OR(E13="",E13="!!!",F13="NEW"),"",INDEX(J$1:J12,SUMPRODUCT(MAX(ROW(E$1:E12)*(E13=E$1:E12)))))</f>
        <v/>
      </c>
      <c r="L13" s="26"/>
    </row>
    <row r="14" spans="1:12" x14ac:dyDescent="0.3">
      <c r="A14" t="s">
        <v>181</v>
      </c>
      <c r="B14" s="20" t="s">
        <v>182</v>
      </c>
      <c r="C14" s="20" t="s">
        <v>170</v>
      </c>
      <c r="D14" s="20" t="s">
        <v>171</v>
      </c>
      <c r="E14" s="21" t="s">
        <v>468</v>
      </c>
      <c r="F14" s="22" t="str">
        <f>IF(OR(E14="",E14="!!!"),"",IF(NOT(ISNA(VLOOKUP(E14,E$1:E13,1,FALSE()))),"OLD",IF(AND(E14&lt;&gt;"",E14&lt;&gt;"!!!"),"NEW","")))</f>
        <v>NEW</v>
      </c>
      <c r="G14" s="23" t="s">
        <v>509</v>
      </c>
      <c r="H14" s="24" t="str">
        <f t="shared" ca="1" si="3"/>
        <v/>
      </c>
      <c r="I14" s="25" t="str">
        <f>IF(OR(E14="",E14="!!!",F14="NEW"),"",INDEX(B$2:B13,-1+SUMPRODUCT(MAX(ROW(E$2:E13)*(E14=E$2:E13)))))</f>
        <v/>
      </c>
      <c r="J14" s="25" t="str">
        <f ca="1">IF(OR(E14="",E14="!!!",F14="NEW"),"",COUNTBLANK(OFFSET(A$1,,,SUMPRODUCT(MAX(ROW(E$2:E14)*(E14=E$2:E14)))))-COUNTBLANK(OFFSET(A$1,,,SUMPRODUCT(MAX(ROW(E$1:E13)*(E2=E$1:E13))))))</f>
        <v/>
      </c>
      <c r="K14" s="25" t="str">
        <f>IF(OR(E14="",E14="!!!",F14="NEW"),"",INDEX(J$1:J13,SUMPRODUCT(MAX(ROW(E$1:E13)*(E14=E$1:E13)))))</f>
        <v/>
      </c>
      <c r="L14" s="26"/>
    </row>
    <row r="15" spans="1:12" x14ac:dyDescent="0.3">
      <c r="A15" t="s">
        <v>141</v>
      </c>
      <c r="B15" s="20" t="s">
        <v>183</v>
      </c>
      <c r="C15" s="20" t="s">
        <v>184</v>
      </c>
      <c r="D15" s="20" t="s">
        <v>171</v>
      </c>
      <c r="E15" s="21"/>
      <c r="F15" s="22" t="str">
        <f>IF(OR(E15="",E15="!!!"),"",IF(NOT(ISNA(VLOOKUP(E15,E$1:E14,1,FALSE()))),"OLD",IF(AND(E15&lt;&gt;"",E15&lt;&gt;"!!!"),"NEW","")))</f>
        <v/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/>
      </c>
      <c r="H15" s="24" t="str">
        <f t="shared" ca="1" si="3"/>
        <v/>
      </c>
      <c r="I15" s="25" t="str">
        <f>IF(OR(E15="",E15="!!!",F15="NEW"),"",INDEX(B$2:B14,-1+SUMPRODUCT(MAX(ROW(E$2:E14)*(E15=E$2:E14)))))</f>
        <v/>
      </c>
      <c r="J15" s="25" t="str">
        <f ca="1">IF(OR(E15="",E15="!!!",F15="NEW"),"",COUNTBLANK(OFFSET(A$1,,,SUMPRODUCT(MAX(ROW(E$2:E15)*(E15=E$2:E15)))))-COUNTBLANK(OFFSET(A$1,,,SUMPRODUCT(MAX(ROW(E$1:E14)*(E2=E$1:E14))))))</f>
        <v/>
      </c>
      <c r="K15" s="25" t="str">
        <f>IF(OR(E15="",E15="!!!",F15="NEW"),"",INDEX(J$1:J14,SUMPRODUCT(MAX(ROW(E$1:E14)*(E15=E$1:E14)))))</f>
        <v/>
      </c>
      <c r="L15" s="26" t="s">
        <v>469</v>
      </c>
    </row>
    <row r="16" spans="1:12" x14ac:dyDescent="0.3">
      <c r="A16" t="s">
        <v>185</v>
      </c>
      <c r="E16" s="21" t="str">
        <f t="shared" si="2"/>
        <v/>
      </c>
      <c r="F16" s="22" t="str">
        <f>IF(OR(E16="",E16="!!!"),"",IF(NOT(ISNA(VLOOKUP(E16,E$1:E15,1,FALSE()))),"OLD",IF(AND(E16&lt;&gt;"",E16&lt;&gt;"!!!"),"NEW","")))</f>
        <v/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/>
      </c>
      <c r="H16" s="24" t="str">
        <f t="shared" ca="1" si="3"/>
        <v/>
      </c>
      <c r="I16" s="25" t="str">
        <f>IF(OR(E16="",E16="!!!",F16="NEW"),"",INDEX(B$2:B15,-1+SUMPRODUCT(MAX(ROW(E$2:E15)*(E16=E$2:E15)))))</f>
        <v/>
      </c>
      <c r="J16" s="25" t="str">
        <f ca="1">IF(OR(E16="",E16="!!!",F16="NEW"),"",COUNTBLANK(OFFSET(A$1,,,SUMPRODUCT(MAX(ROW(E$2:E16)*(E16=E$2:E16)))))-COUNTBLANK(OFFSET(A$1,,,SUMPRODUCT(MAX(ROW(E$1:E15)*(E2=E$1:E15))))))</f>
        <v/>
      </c>
      <c r="K16" s="25" t="str">
        <f>IF(OR(E16="",E16="!!!",F16="NEW"),"",INDEX(J$1:J15,SUMPRODUCT(MAX(ROW(E$1:E15)*(E16=E$1:E15)))))</f>
        <v/>
      </c>
      <c r="L16" s="26"/>
    </row>
    <row r="18" spans="1:12" x14ac:dyDescent="0.3">
      <c r="A18" t="s">
        <v>186</v>
      </c>
    </row>
    <row r="19" spans="1:12" x14ac:dyDescent="0.3">
      <c r="A19" t="s">
        <v>187</v>
      </c>
      <c r="B19" s="20" t="s">
        <v>166</v>
      </c>
      <c r="C19" s="20" t="s">
        <v>175</v>
      </c>
      <c r="E19" s="21" t="s">
        <v>490</v>
      </c>
      <c r="F19" s="22" t="str">
        <f>IF(OR(E19="",E19="!!!"),"",IF(NOT(ISNA(VLOOKUP(E19,E$1:E18,1,FALSE()))),"OLD",IF(AND(E19&lt;&gt;"",E19&lt;&gt;"!!!"),"NEW","")))</f>
        <v>NEW</v>
      </c>
      <c r="G19" s="23" t="s">
        <v>509</v>
      </c>
      <c r="H19" s="24" t="str">
        <f t="shared" ref="H19:H29" ca="1" si="4">IF(J19&lt;&gt;1,"",IF(I19="SBJ","CB","?"))</f>
        <v/>
      </c>
      <c r="I19" s="25" t="str">
        <f>IF(OR(E19="",E19="!!!",F19="NEW"),"",INDEX(B$2:B18,-1+SUMPRODUCT(MAX(ROW(E$2:E18)*(E19=E$2:E18)))))</f>
        <v/>
      </c>
      <c r="J19" s="25" t="str">
        <f ca="1">IF(OR(E19="",E19="!!!",F19="NEW"),"",COUNTBLANK(OFFSET(A$1,,,SUMPRODUCT(MAX(ROW(E$2:E19)*(E19=E$2:E19)))))-COUNTBLANK(OFFSET(A$1,,,SUMPRODUCT(MAX(ROW(E$1:E18)*(E2=E$1:E18))))))</f>
        <v/>
      </c>
      <c r="K19" s="25" t="str">
        <f>IF(OR(E19="",E19="!!!",F19="NEW"),"",INDEX(J$1:J18,SUMPRODUCT(MAX(ROW(E$1:E18)*(E19=E$1:E18)))))</f>
        <v/>
      </c>
      <c r="L19" s="26" t="s">
        <v>473</v>
      </c>
    </row>
    <row r="20" spans="1:12" x14ac:dyDescent="0.3">
      <c r="A20" t="s">
        <v>188</v>
      </c>
      <c r="E20" s="21" t="str">
        <f t="shared" ref="E20:E29" si="5">IF(D20="?OLD","!!!","")</f>
        <v/>
      </c>
      <c r="F20" s="22" t="str">
        <f>IF(OR(E20="",E20="!!!"),"",IF(NOT(ISNA(VLOOKUP(E20,E$1:E19,1,FALSE()))),"OLD",IF(AND(E20&lt;&gt;"",E20&lt;&gt;"!!!"),"NEW","")))</f>
        <v/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/>
      </c>
      <c r="H20" s="24" t="str">
        <f t="shared" ca="1" si="4"/>
        <v/>
      </c>
      <c r="I20" s="25" t="str">
        <f>IF(OR(E20="",E20="!!!",F20="NEW"),"",INDEX(B$2:B19,-1+SUMPRODUCT(MAX(ROW(E$2:E19)*(E20=E$2:E19)))))</f>
        <v/>
      </c>
      <c r="J20" s="25" t="str">
        <f ca="1">IF(OR(E20="",E20="!!!",F20="NEW"),"",COUNTBLANK(OFFSET(A$1,,,SUMPRODUCT(MAX(ROW(E$2:E20)*(E20=E$2:E20)))))-COUNTBLANK(OFFSET(A$1,,,SUMPRODUCT(MAX(ROW(E$1:E19)*(E2=E$1:E19))))))</f>
        <v/>
      </c>
      <c r="K20" s="25" t="str">
        <f>IF(OR(E20="",E20="!!!",F20="NEW"),"",INDEX(J$1:J19,SUMPRODUCT(MAX(ROW(E$1:E19)*(E20=E$1:E19)))))</f>
        <v/>
      </c>
      <c r="L20" s="26"/>
    </row>
    <row r="21" spans="1:12" x14ac:dyDescent="0.3">
      <c r="A21" t="s">
        <v>189</v>
      </c>
      <c r="E21" s="21" t="str">
        <f t="shared" si="5"/>
        <v/>
      </c>
      <c r="F21" s="22" t="str">
        <f>IF(OR(E21="",E21="!!!"),"",IF(NOT(ISNA(VLOOKUP(E21,E$1:E20,1,FALSE()))),"OLD",IF(AND(E21&lt;&gt;"",E21&lt;&gt;"!!!"),"NEW","")))</f>
        <v/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/>
      </c>
      <c r="H21" s="24" t="str">
        <f t="shared" ca="1" si="4"/>
        <v/>
      </c>
      <c r="I21" s="25" t="str">
        <f>IF(OR(E21="",E21="!!!",F21="NEW"),"",INDEX(B$2:B20,-1+SUMPRODUCT(MAX(ROW(E$2:E20)*(E21=E$2:E20)))))</f>
        <v/>
      </c>
      <c r="J21" s="25" t="str">
        <f ca="1">IF(OR(E21="",E21="!!!",F21="NEW"),"",COUNTBLANK(OFFSET(A$1,,,SUMPRODUCT(MAX(ROW(E$2:E21)*(E21=E$2:E21)))))-COUNTBLANK(OFFSET(A$1,,,SUMPRODUCT(MAX(ROW(E$1:E20)*(E2=E$1:E20))))))</f>
        <v/>
      </c>
      <c r="K21" s="25" t="str">
        <f>IF(OR(E21="",E21="!!!",F21="NEW"),"",INDEX(J$1:J20,SUMPRODUCT(MAX(ROW(E$1:E20)*(E21=E$1:E20)))))</f>
        <v/>
      </c>
      <c r="L21" s="26"/>
    </row>
    <row r="22" spans="1:12" x14ac:dyDescent="0.3">
      <c r="A22" t="s">
        <v>190</v>
      </c>
      <c r="E22" s="21" t="str">
        <f t="shared" si="5"/>
        <v/>
      </c>
      <c r="F22" s="22" t="str">
        <f>IF(OR(E22="",E22="!!!"),"",IF(NOT(ISNA(VLOOKUP(E22,E$1:E21,1,FALSE()))),"OLD",IF(AND(E22&lt;&gt;"",E22&lt;&gt;"!!!"),"NEW","")))</f>
        <v/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/>
      </c>
      <c r="H22" s="24" t="str">
        <f t="shared" ca="1" si="4"/>
        <v/>
      </c>
      <c r="I22" s="25" t="str">
        <f>IF(OR(E22="",E22="!!!",F22="NEW"),"",INDEX(B$2:B21,-1+SUMPRODUCT(MAX(ROW(E$2:E21)*(E22=E$2:E21)))))</f>
        <v/>
      </c>
      <c r="J22" s="25" t="str">
        <f ca="1">IF(OR(E22="",E22="!!!",F22="NEW"),"",COUNTBLANK(OFFSET(A$1,,,SUMPRODUCT(MAX(ROW(E$2:E22)*(E22=E$2:E22)))))-COUNTBLANK(OFFSET(A$1,,,SUMPRODUCT(MAX(ROW(E$1:E21)*(E2=E$1:E21))))))</f>
        <v/>
      </c>
      <c r="K22" s="25" t="str">
        <f>IF(OR(E22="",E22="!!!",F22="NEW"),"",INDEX(J$1:J21,SUMPRODUCT(MAX(ROW(E$1:E21)*(E22=E$1:E21)))))</f>
        <v/>
      </c>
      <c r="L22" s="26"/>
    </row>
    <row r="23" spans="1:12" x14ac:dyDescent="0.3">
      <c r="A23" t="s">
        <v>191</v>
      </c>
      <c r="E23" s="21" t="str">
        <f t="shared" si="5"/>
        <v/>
      </c>
      <c r="F23" s="22" t="str">
        <f>IF(OR(E23="",E23="!!!"),"",IF(NOT(ISNA(VLOOKUP(E23,E$1:E22,1,FALSE()))),"OLD",IF(AND(E23&lt;&gt;"",E23&lt;&gt;"!!!"),"NEW","")))</f>
        <v/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/>
      </c>
      <c r="H23" s="24" t="str">
        <f t="shared" ca="1" si="4"/>
        <v/>
      </c>
      <c r="I23" s="25" t="str">
        <f>IF(OR(E23="",E23="!!!",F23="NEW"),"",INDEX(B$2:B22,-1+SUMPRODUCT(MAX(ROW(E$2:E22)*(E23=E$2:E22)))))</f>
        <v/>
      </c>
      <c r="J23" s="25" t="str">
        <f ca="1">IF(OR(E23="",E23="!!!",F23="NEW"),"",COUNTBLANK(OFFSET(A$1,,,SUMPRODUCT(MAX(ROW(E$2:E23)*(E23=E$2:E23)))))-COUNTBLANK(OFFSET(A$1,,,SUMPRODUCT(MAX(ROW(E$1:E22)*(E2=E$1:E22))))))</f>
        <v/>
      </c>
      <c r="K23" s="25" t="str">
        <f>IF(OR(E23="",E23="!!!",F23="NEW"),"",INDEX(J$1:J22,SUMPRODUCT(MAX(ROW(E$1:E22)*(E23=E$1:E22)))))</f>
        <v/>
      </c>
      <c r="L23" s="26"/>
    </row>
    <row r="24" spans="1:12" x14ac:dyDescent="0.3">
      <c r="A24" t="s">
        <v>192</v>
      </c>
      <c r="E24" s="21" t="str">
        <f t="shared" si="5"/>
        <v/>
      </c>
      <c r="F24" s="22" t="str">
        <f>IF(OR(E24="",E24="!!!"),"",IF(NOT(ISNA(VLOOKUP(E24,E$1:E23,1,FALSE()))),"OLD",IF(AND(E24&lt;&gt;"",E24&lt;&gt;"!!!"),"NEW","")))</f>
        <v/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/>
      </c>
      <c r="H24" s="24" t="str">
        <f t="shared" ca="1" si="4"/>
        <v/>
      </c>
      <c r="I24" s="25" t="str">
        <f>IF(OR(E24="",E24="!!!",F24="NEW"),"",INDEX(B$2:B23,-1+SUMPRODUCT(MAX(ROW(E$2:E23)*(E24=E$2:E23)))))</f>
        <v/>
      </c>
      <c r="J24" s="25" t="str">
        <f ca="1">IF(OR(E24="",E24="!!!",F24="NEW"),"",COUNTBLANK(OFFSET(A$1,,,SUMPRODUCT(MAX(ROW(E$2:E24)*(E24=E$2:E24)))))-COUNTBLANK(OFFSET(A$1,,,SUMPRODUCT(MAX(ROW(E$1:E23)*(E2=E$1:E23))))))</f>
        <v/>
      </c>
      <c r="K24" s="25" t="str">
        <f>IF(OR(E24="",E24="!!!",F24="NEW"),"",INDEX(J$1:J23,SUMPRODUCT(MAX(ROW(E$1:E23)*(E24=E$1:E23)))))</f>
        <v/>
      </c>
      <c r="L24" s="26"/>
    </row>
    <row r="25" spans="1:12" x14ac:dyDescent="0.3">
      <c r="A25" t="s">
        <v>193</v>
      </c>
      <c r="E25" s="21" t="str">
        <f t="shared" si="5"/>
        <v/>
      </c>
      <c r="F25" s="22" t="str">
        <f>IF(OR(E25="",E25="!!!"),"",IF(NOT(ISNA(VLOOKUP(E25,E$1:E24,1,FALSE()))),"OLD",IF(AND(E25&lt;&gt;"",E25&lt;&gt;"!!!"),"NEW","")))</f>
        <v/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/>
      </c>
      <c r="H25" s="24" t="str">
        <f t="shared" ca="1" si="4"/>
        <v/>
      </c>
      <c r="I25" s="25" t="str">
        <f>IF(OR(E25="",E25="!!!",F25="NEW"),"",INDEX(B$2:B24,-1+SUMPRODUCT(MAX(ROW(E$2:E24)*(E25=E$2:E24)))))</f>
        <v/>
      </c>
      <c r="J25" s="25" t="str">
        <f ca="1">IF(OR(E25="",E25="!!!",F25="NEW"),"",COUNTBLANK(OFFSET(A$1,,,SUMPRODUCT(MAX(ROW(E$2:E25)*(E25=E$2:E25)))))-COUNTBLANK(OFFSET(A$1,,,SUMPRODUCT(MAX(ROW(E$1:E24)*(E2=E$1:E24))))))</f>
        <v/>
      </c>
      <c r="K25" s="25" t="str">
        <f>IF(OR(E25="",E25="!!!",F25="NEW"),"",INDEX(J$1:J24,SUMPRODUCT(MAX(ROW(E$1:E24)*(E25=E$1:E24)))))</f>
        <v/>
      </c>
      <c r="L25" s="26"/>
    </row>
    <row r="26" spans="1:12" x14ac:dyDescent="0.3">
      <c r="A26" t="s">
        <v>194</v>
      </c>
      <c r="B26" s="20" t="s">
        <v>183</v>
      </c>
      <c r="C26" s="20" t="s">
        <v>195</v>
      </c>
      <c r="D26" s="20" t="s">
        <v>171</v>
      </c>
      <c r="E26" s="21"/>
      <c r="F26" s="22" t="s">
        <v>470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/>
      </c>
      <c r="H26" s="24" t="str">
        <f t="shared" ca="1" si="4"/>
        <v/>
      </c>
      <c r="I26" s="25" t="str">
        <f>IF(OR(E26="",E26="!!!",F26="NEW"),"",INDEX(B$2:B25,-1+SUMPRODUCT(MAX(ROW(E$2:E25)*(E26=E$2:E25)))))</f>
        <v/>
      </c>
      <c r="J26" s="25" t="str">
        <f ca="1">IF(OR(E26="",E26="!!!",F26="NEW"),"",COUNTBLANK(OFFSET(A$1,,,SUMPRODUCT(MAX(ROW(E$2:E26)*(E26=E$2:E26)))))-COUNTBLANK(OFFSET(A$1,,,SUMPRODUCT(MAX(ROW(E$1:E25)*(E2=E$1:E25))))))</f>
        <v/>
      </c>
      <c r="K26" s="25" t="str">
        <f>IF(OR(E26="",E26="!!!",F26="NEW"),"",INDEX(J$1:J25,SUMPRODUCT(MAX(ROW(E$1:E25)*(E26=E$1:E25)))))</f>
        <v/>
      </c>
      <c r="L26" s="26"/>
    </row>
    <row r="27" spans="1:12" x14ac:dyDescent="0.3">
      <c r="A27" t="s">
        <v>196</v>
      </c>
      <c r="E27" s="21" t="str">
        <f t="shared" si="5"/>
        <v/>
      </c>
      <c r="F27" s="22" t="str">
        <f>IF(OR(E27="",E27="!!!"),"",IF(NOT(ISNA(VLOOKUP(E27,E$1:E26,1,FALSE()))),"OLD",IF(AND(E27&lt;&gt;"",E27&lt;&gt;"!!!"),"NEW","")))</f>
        <v/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/>
      </c>
      <c r="H27" s="24" t="str">
        <f t="shared" ca="1" si="4"/>
        <v/>
      </c>
      <c r="I27" s="25" t="str">
        <f>IF(OR(E27="",E27="!!!",F27="NEW"),"",INDEX(B$2:B26,-1+SUMPRODUCT(MAX(ROW(E$2:E26)*(E27=E$2:E26)))))</f>
        <v/>
      </c>
      <c r="J27" s="25" t="str">
        <f ca="1">IF(OR(E27="",E27="!!!",F27="NEW"),"",COUNTBLANK(OFFSET(A$1,,,SUMPRODUCT(MAX(ROW(E$2:E27)*(E27=E$2:E27)))))-COUNTBLANK(OFFSET(A$1,,,SUMPRODUCT(MAX(ROW(E$1:E26)*(E2=E$1:E26))))))</f>
        <v/>
      </c>
      <c r="K27" s="25" t="str">
        <f>IF(OR(E27="",E27="!!!",F27="NEW"),"",INDEX(J$1:J26,SUMPRODUCT(MAX(ROW(E$1:E26)*(E27=E$1:E26)))))</f>
        <v/>
      </c>
      <c r="L27" s="26"/>
    </row>
    <row r="28" spans="1:12" x14ac:dyDescent="0.3">
      <c r="A28" t="s">
        <v>98</v>
      </c>
      <c r="E28" s="21" t="str">
        <f t="shared" si="5"/>
        <v/>
      </c>
      <c r="F28" s="22" t="str">
        <f>IF(OR(E28="",E28="!!!"),"",IF(NOT(ISNA(VLOOKUP(E28,E$1:E27,1,FALSE()))),"OLD",IF(AND(E28&lt;&gt;"",E28&lt;&gt;"!!!"),"NEW","")))</f>
        <v/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/>
      </c>
      <c r="H28" s="24" t="str">
        <f t="shared" ca="1" si="4"/>
        <v/>
      </c>
      <c r="I28" s="25" t="str">
        <f>IF(OR(E28="",E28="!!!",F28="NEW"),"",INDEX(B$2:B27,-1+SUMPRODUCT(MAX(ROW(E$2:E27)*(E28=E$2:E27)))))</f>
        <v/>
      </c>
      <c r="J28" s="25" t="str">
        <f ca="1">IF(OR(E28="",E28="!!!",F28="NEW"),"",COUNTBLANK(OFFSET(A$1,,,SUMPRODUCT(MAX(ROW(E$2:E28)*(E28=E$2:E28)))))-COUNTBLANK(OFFSET(A$1,,,SUMPRODUCT(MAX(ROW(E$1:E27)*(E2=E$1:E27))))))</f>
        <v/>
      </c>
      <c r="K28" s="25" t="str">
        <f>IF(OR(E28="",E28="!!!",F28="NEW"),"",INDEX(J$1:J27,SUMPRODUCT(MAX(ROW(E$1:E27)*(E28=E$1:E27)))))</f>
        <v/>
      </c>
      <c r="L28" s="26"/>
    </row>
    <row r="29" spans="1:12" x14ac:dyDescent="0.3">
      <c r="A29" t="s">
        <v>197</v>
      </c>
      <c r="E29" s="21" t="str">
        <f t="shared" si="5"/>
        <v/>
      </c>
      <c r="F29" s="22" t="str">
        <f>IF(OR(E29="",E29="!!!"),"",IF(NOT(ISNA(VLOOKUP(E29,E$1:E28,1,FALSE()))),"OLD",IF(AND(E29&lt;&gt;"",E29&lt;&gt;"!!!"),"NEW","")))</f>
        <v/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/>
      </c>
      <c r="H29" s="24" t="str">
        <f t="shared" ca="1" si="4"/>
        <v/>
      </c>
      <c r="I29" s="25" t="str">
        <f>IF(OR(E29="",E29="!!!",F29="NEW"),"",INDEX(B$2:B28,-1+SUMPRODUCT(MAX(ROW(E$2:E28)*(E29=E$2:E28)))))</f>
        <v/>
      </c>
      <c r="J29" s="25" t="str">
        <f ca="1">IF(OR(E29="",E29="!!!",F29="NEW"),"",COUNTBLANK(OFFSET(A$1,,,SUMPRODUCT(MAX(ROW(E$2:E29)*(E29=E$2:E29)))))-COUNTBLANK(OFFSET(A$1,,,SUMPRODUCT(MAX(ROW(E$1:E28)*(E2=E$1:E28))))))</f>
        <v/>
      </c>
      <c r="K29" s="25" t="str">
        <f>IF(OR(E29="",E29="!!!",F29="NEW"),"",INDEX(J$1:J28,SUMPRODUCT(MAX(ROW(E$1:E28)*(E29=E$1:E28)))))</f>
        <v/>
      </c>
      <c r="L29" s="26"/>
    </row>
    <row r="31" spans="1:12" x14ac:dyDescent="0.3">
      <c r="A31" t="s">
        <v>198</v>
      </c>
    </row>
    <row r="32" spans="1:12" x14ac:dyDescent="0.3">
      <c r="A32" t="s">
        <v>199</v>
      </c>
      <c r="E32" s="21" t="str">
        <f t="shared" ref="E32:E52" si="6">IF(D32="?OLD","!!!","")</f>
        <v/>
      </c>
      <c r="F32" s="22" t="str">
        <f>IF(OR(E32="",E32="!!!"),"",IF(NOT(ISNA(VLOOKUP(E32,E$1:E31,1,FALSE()))),"OLD",IF(AND(E32&lt;&gt;"",E32&lt;&gt;"!!!"),"NEW","")))</f>
        <v/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/>
      </c>
      <c r="H32" s="24" t="str">
        <f t="shared" ref="H32:H52" ca="1" si="7">IF(J32&lt;&gt;1,"",IF(I32="SBJ","CB","?"))</f>
        <v/>
      </c>
      <c r="I32" s="25" t="str">
        <f>IF(OR(E32="",E32="!!!",F32="NEW"),"",INDEX(B$2:B31,-1+SUMPRODUCT(MAX(ROW(E$2:E31)*(E32=E$2:E31)))))</f>
        <v/>
      </c>
      <c r="J32" s="25" t="str">
        <f ca="1">IF(OR(E32="",E32="!!!",F32="NEW"),"",COUNTBLANK(OFFSET(A$1,,,SUMPRODUCT(MAX(ROW(E$2:E32)*(E32=E$2:E32)))))-COUNTBLANK(OFFSET(A$1,,,SUMPRODUCT(MAX(ROW(E$1:E31)*(E2=E$1:E31))))))</f>
        <v/>
      </c>
      <c r="K32" s="25" t="str">
        <f>IF(OR(E32="",E32="!!!",F32="NEW"),"",INDEX(J$1:J31,SUMPRODUCT(MAX(ROW(E$1:E31)*(E32=E$1:E31)))))</f>
        <v/>
      </c>
      <c r="L32" s="26"/>
    </row>
    <row r="33" spans="1:12" x14ac:dyDescent="0.3">
      <c r="A33" t="s">
        <v>200</v>
      </c>
      <c r="E33" s="21" t="str">
        <f t="shared" si="6"/>
        <v/>
      </c>
      <c r="F33" s="22" t="str">
        <f>IF(OR(E33="",E33="!!!"),"",IF(NOT(ISNA(VLOOKUP(E33,E$1:E32,1,FALSE()))),"OLD",IF(AND(E33&lt;&gt;"",E33&lt;&gt;"!!!"),"NEW","")))</f>
        <v/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/>
      </c>
      <c r="H33" s="24" t="str">
        <f t="shared" ca="1" si="7"/>
        <v/>
      </c>
      <c r="I33" s="25" t="str">
        <f>IF(OR(E33="",E33="!!!",F33="NEW"),"",INDEX(B$2:B32,-1+SUMPRODUCT(MAX(ROW(E$2:E32)*(E33=E$2:E32)))))</f>
        <v/>
      </c>
      <c r="J33" s="25" t="str">
        <f ca="1">IF(OR(E33="",E33="!!!",F33="NEW"),"",COUNTBLANK(OFFSET(A$1,,,SUMPRODUCT(MAX(ROW(E$2:E33)*(E33=E$2:E33)))))-COUNTBLANK(OFFSET(A$1,,,SUMPRODUCT(MAX(ROW(E$1:E32)*(E2=E$1:E32))))))</f>
        <v/>
      </c>
      <c r="K33" s="25" t="str">
        <f>IF(OR(E33="",E33="!!!",F33="NEW"),"",INDEX(J$1:J32,SUMPRODUCT(MAX(ROW(E$1:E32)*(E33=E$1:E32)))))</f>
        <v/>
      </c>
      <c r="L33" s="26"/>
    </row>
    <row r="34" spans="1:12" x14ac:dyDescent="0.3">
      <c r="A34" t="s">
        <v>201</v>
      </c>
      <c r="B34" s="20" t="s">
        <v>166</v>
      </c>
      <c r="C34" s="20" t="s">
        <v>202</v>
      </c>
      <c r="E34" s="21" t="str">
        <f t="shared" si="6"/>
        <v/>
      </c>
      <c r="F34" s="22" t="str">
        <f>IF(OR(E34="",E34="!!!"),"",IF(NOT(ISNA(VLOOKUP(E34,E$1:E33,1,FALSE()))),"OLD",IF(AND(E34&lt;&gt;"",E34&lt;&gt;"!!!"),"NEW","")))</f>
        <v/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/>
      </c>
      <c r="H34" s="24" t="str">
        <f t="shared" ca="1" si="7"/>
        <v/>
      </c>
      <c r="I34" s="25" t="str">
        <f>IF(OR(E34="",E34="!!!",F34="NEW"),"",INDEX(B$2:B33,-1+SUMPRODUCT(MAX(ROW(E$2:E33)*(E34=E$2:E33)))))</f>
        <v/>
      </c>
      <c r="J34" s="25" t="str">
        <f ca="1">IF(OR(E34="",E34="!!!",F34="NEW"),"",COUNTBLANK(OFFSET(A$1,,,SUMPRODUCT(MAX(ROW(E$2:E34)*(E34=E$2:E34)))))-COUNTBLANK(OFFSET(A$1,,,SUMPRODUCT(MAX(ROW(E$1:E33)*(E2=E$1:E33))))))</f>
        <v/>
      </c>
      <c r="K34" s="25" t="str">
        <f>IF(OR(E34="",E34="!!!",F34="NEW"),"",INDEX(J$1:J33,SUMPRODUCT(MAX(ROW(E$1:E33)*(E34=E$1:E33)))))</f>
        <v/>
      </c>
      <c r="L34" s="26"/>
    </row>
    <row r="35" spans="1:12" x14ac:dyDescent="0.3">
      <c r="A35" t="s">
        <v>203</v>
      </c>
      <c r="E35" s="21" t="str">
        <f t="shared" si="6"/>
        <v/>
      </c>
      <c r="F35" s="22" t="str">
        <f>IF(OR(E35="",E35="!!!"),"",IF(NOT(ISNA(VLOOKUP(E35,E$1:E34,1,FALSE()))),"OLD",IF(AND(E35&lt;&gt;"",E35&lt;&gt;"!!!"),"NEW","")))</f>
        <v/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/>
      </c>
      <c r="H35" s="24" t="str">
        <f t="shared" ca="1" si="7"/>
        <v/>
      </c>
      <c r="I35" s="25" t="str">
        <f>IF(OR(E35="",E35="!!!",F35="NEW"),"",INDEX(B$2:B34,-1+SUMPRODUCT(MAX(ROW(E$2:E34)*(E35=E$2:E34)))))</f>
        <v/>
      </c>
      <c r="J35" s="25" t="str">
        <f ca="1">IF(OR(E35="",E35="!!!",F35="NEW"),"",COUNTBLANK(OFFSET(A$1,,,SUMPRODUCT(MAX(ROW(E$2:E35)*(E35=E$2:E35)))))-COUNTBLANK(OFFSET(A$1,,,SUMPRODUCT(MAX(ROW(E$1:E34)*(E2=E$1:E34))))))</f>
        <v/>
      </c>
      <c r="K35" s="25" t="str">
        <f>IF(OR(E35="",E35="!!!",F35="NEW"),"",INDEX(J$1:J34,SUMPRODUCT(MAX(ROW(E$1:E34)*(E35=E$1:E34)))))</f>
        <v/>
      </c>
      <c r="L35" s="26"/>
    </row>
    <row r="36" spans="1:12" x14ac:dyDescent="0.3">
      <c r="A36" t="s">
        <v>193</v>
      </c>
      <c r="E36" s="21" t="str">
        <f t="shared" si="6"/>
        <v/>
      </c>
      <c r="F36" s="22" t="str">
        <f>IF(OR(E36="",E36="!!!"),"",IF(NOT(ISNA(VLOOKUP(E36,E$1:E35,1,FALSE()))),"OLD",IF(AND(E36&lt;&gt;"",E36&lt;&gt;"!!!"),"NEW","")))</f>
        <v/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/>
      </c>
      <c r="H36" s="24" t="str">
        <f t="shared" ca="1" si="7"/>
        <v/>
      </c>
      <c r="I36" s="25" t="str">
        <f>IF(OR(E36="",E36="!!!",F36="NEW"),"",INDEX(B$2:B35,-1+SUMPRODUCT(MAX(ROW(E$2:E35)*(E36=E$2:E35)))))</f>
        <v/>
      </c>
      <c r="J36" s="25" t="str">
        <f ca="1">IF(OR(E36="",E36="!!!",F36="NEW"),"",COUNTBLANK(OFFSET(A$1,,,SUMPRODUCT(MAX(ROW(E$2:E36)*(E36=E$2:E36)))))-COUNTBLANK(OFFSET(A$1,,,SUMPRODUCT(MAX(ROW(E$1:E35)*(E2=E$1:E35))))))</f>
        <v/>
      </c>
      <c r="K36" s="25" t="str">
        <f>IF(OR(E36="",E36="!!!",F36="NEW"),"",INDEX(J$1:J35,SUMPRODUCT(MAX(ROW(E$1:E35)*(E36=E$1:E35)))))</f>
        <v/>
      </c>
      <c r="L36" s="26"/>
    </row>
    <row r="37" spans="1:12" x14ac:dyDescent="0.3">
      <c r="A37" t="s">
        <v>204</v>
      </c>
      <c r="E37" s="21" t="str">
        <f t="shared" si="6"/>
        <v/>
      </c>
      <c r="F37" s="22" t="str">
        <f>IF(OR(E37="",E37="!!!"),"",IF(NOT(ISNA(VLOOKUP(E37,E$1:E36,1,FALSE()))),"OLD",IF(AND(E37&lt;&gt;"",E37&lt;&gt;"!!!"),"NEW","")))</f>
        <v/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/>
      </c>
      <c r="H37" s="24" t="str">
        <f t="shared" ca="1" si="7"/>
        <v/>
      </c>
      <c r="I37" s="25" t="str">
        <f>IF(OR(E37="",E37="!!!",F37="NEW"),"",INDEX(B$2:B36,-1+SUMPRODUCT(MAX(ROW(E$2:E36)*(E37=E$2:E36)))))</f>
        <v/>
      </c>
      <c r="J37" s="25" t="str">
        <f ca="1">IF(OR(E37="",E37="!!!",F37="NEW"),"",COUNTBLANK(OFFSET(A$1,,,SUMPRODUCT(MAX(ROW(E$2:E37)*(E37=E$2:E37)))))-COUNTBLANK(OFFSET(A$1,,,SUMPRODUCT(MAX(ROW(E$1:E36)*(E2=E$1:E36))))))</f>
        <v/>
      </c>
      <c r="K37" s="25" t="str">
        <f>IF(OR(E37="",E37="!!!",F37="NEW"),"",INDEX(J$1:J36,SUMPRODUCT(MAX(ROW(E$1:E36)*(E37=E$1:E36)))))</f>
        <v/>
      </c>
      <c r="L37" s="26"/>
    </row>
    <row r="38" spans="1:12" x14ac:dyDescent="0.3">
      <c r="A38" t="s">
        <v>205</v>
      </c>
      <c r="B38" s="20" t="s">
        <v>183</v>
      </c>
      <c r="C38" s="20" t="s">
        <v>195</v>
      </c>
      <c r="D38" s="20" t="s">
        <v>171</v>
      </c>
      <c r="E38" s="21" t="s">
        <v>498</v>
      </c>
      <c r="F38" s="22" t="str">
        <f>IF(OR(E38="",E38="!!!"),"",IF(NOT(ISNA(VLOOKUP(E38,E$1:E37,1,FALSE()))),"OLD",IF(AND(E38&lt;&gt;"",E38&lt;&gt;"!!!"),"NEW","")))</f>
        <v>NEW</v>
      </c>
      <c r="G38" s="23" t="s">
        <v>510</v>
      </c>
      <c r="H38" s="24" t="str">
        <f t="shared" ca="1" si="7"/>
        <v/>
      </c>
      <c r="I38" s="25" t="str">
        <f>IF(OR(E38="",E38="!!!",F38="NEW"),"",INDEX(B$2:B37,-1+SUMPRODUCT(MAX(ROW(E$2:E37)*(E38=E$2:E37)))))</f>
        <v/>
      </c>
      <c r="J38" s="25" t="str">
        <f ca="1">IF(OR(E38="",E38="!!!",F38="NEW"),"",COUNTBLANK(OFFSET(A$1,,,SUMPRODUCT(MAX(ROW(E$2:E38)*(E38=E$2:E38)))))-COUNTBLANK(OFFSET(A$1,,,SUMPRODUCT(MAX(ROW(E$1:E37)*(E2=E$1:E37))))))</f>
        <v/>
      </c>
      <c r="K38" s="25" t="str">
        <f>IF(OR(E38="",E38="!!!",F38="NEW"),"",INDEX(J$1:J37,SUMPRODUCT(MAX(ROW(E$1:E37)*(E38=E$1:E37)))))</f>
        <v/>
      </c>
      <c r="L38" s="26"/>
    </row>
    <row r="39" spans="1:12" x14ac:dyDescent="0.3">
      <c r="A39" t="s">
        <v>206</v>
      </c>
      <c r="E39" s="21" t="str">
        <f t="shared" si="6"/>
        <v/>
      </c>
      <c r="F39" s="22" t="str">
        <f>IF(OR(E39="",E39="!!!"),"",IF(NOT(ISNA(VLOOKUP(E39,E$1:E38,1,FALSE()))),"OLD",IF(AND(E39&lt;&gt;"",E39&lt;&gt;"!!!"),"NEW","")))</f>
        <v/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/>
      </c>
      <c r="H39" s="24" t="str">
        <f t="shared" ca="1" si="7"/>
        <v/>
      </c>
      <c r="I39" s="25" t="str">
        <f>IF(OR(E39="",E39="!!!",F39="NEW"),"",INDEX(B$2:B38,-1+SUMPRODUCT(MAX(ROW(E$2:E38)*(E39=E$2:E38)))))</f>
        <v/>
      </c>
      <c r="J39" s="25" t="str">
        <f ca="1">IF(OR(E39="",E39="!!!",F39="NEW"),"",COUNTBLANK(OFFSET(A$1,,,SUMPRODUCT(MAX(ROW(E$2:E39)*(E39=E$2:E39)))))-COUNTBLANK(OFFSET(A$1,,,SUMPRODUCT(MAX(ROW(E$1:E38)*(E2=E$1:E38))))))</f>
        <v/>
      </c>
      <c r="K39" s="25" t="str">
        <f>IF(OR(E39="",E39="!!!",F39="NEW"),"",INDEX(J$1:J38,SUMPRODUCT(MAX(ROW(E$1:E38)*(E39=E$1:E38)))))</f>
        <v/>
      </c>
      <c r="L39" s="26"/>
    </row>
    <row r="40" spans="1:12" x14ac:dyDescent="0.3">
      <c r="A40" t="s">
        <v>207</v>
      </c>
      <c r="E40" s="21" t="str">
        <f t="shared" si="6"/>
        <v/>
      </c>
      <c r="F40" s="22" t="str">
        <f>IF(OR(E40="",E40="!!!"),"",IF(NOT(ISNA(VLOOKUP(E40,E$1:E39,1,FALSE()))),"OLD",IF(AND(E40&lt;&gt;"",E40&lt;&gt;"!!!"),"NEW","")))</f>
        <v/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/>
      </c>
      <c r="H40" s="24" t="str">
        <f t="shared" ca="1" si="7"/>
        <v/>
      </c>
      <c r="I40" s="25" t="str">
        <f>IF(OR(E40="",E40="!!!",F40="NEW"),"",INDEX(B$2:B39,-1+SUMPRODUCT(MAX(ROW(E$2:E39)*(E40=E$2:E39)))))</f>
        <v/>
      </c>
      <c r="J40" s="25" t="str">
        <f ca="1">IF(OR(E40="",E40="!!!",F40="NEW"),"",COUNTBLANK(OFFSET(A$1,,,SUMPRODUCT(MAX(ROW(E$2:E40)*(E40=E$2:E40)))))-COUNTBLANK(OFFSET(A$1,,,SUMPRODUCT(MAX(ROW(E$1:E39)*(E2=E$1:E39))))))</f>
        <v/>
      </c>
      <c r="K40" s="25" t="str">
        <f>IF(OR(E40="",E40="!!!",F40="NEW"),"",INDEX(J$1:J39,SUMPRODUCT(MAX(ROW(E$1:E39)*(E40=E$1:E39)))))</f>
        <v/>
      </c>
      <c r="L40" s="26"/>
    </row>
    <row r="41" spans="1:12" x14ac:dyDescent="0.3">
      <c r="A41" t="s">
        <v>208</v>
      </c>
      <c r="B41" s="20" t="s">
        <v>209</v>
      </c>
      <c r="C41" s="20" t="s">
        <v>170</v>
      </c>
      <c r="D41" s="20" t="s">
        <v>171</v>
      </c>
      <c r="E41" s="21" t="s">
        <v>466</v>
      </c>
      <c r="F41" s="22" t="str">
        <f>IF(OR(E41="",E41="!!!"),"",IF(NOT(ISNA(VLOOKUP(E41,E$1:E40,1,FALSE()))),"OLD",IF(AND(E41&lt;&gt;"",E41&lt;&gt;"!!!"),"NEW","")))</f>
        <v>OLD</v>
      </c>
      <c r="G41" s="23" t="s">
        <v>509</v>
      </c>
      <c r="H41" s="24" t="str">
        <f t="shared" ca="1" si="7"/>
        <v/>
      </c>
      <c r="I41" s="25" t="str">
        <f>IF(OR(E41="",E41="!!!",F41="NEW"),"",INDEX(B$2:B40,-1+SUMPRODUCT(MAX(ROW(E$2:E40)*(E41=E$2:E40)))))</f>
        <v>SBJ</v>
      </c>
      <c r="J41" s="25">
        <f ca="1">IF(OR(E41="",E41="!!!",F41="NEW"),"",COUNTBLANK(OFFSET(A$1,,,SUMPRODUCT(MAX(ROW(E$2:E41)*(E41=E$2:E41)))))-COUNTBLANK(OFFSET(A$1,,,SUMPRODUCT(MAX(ROW(E$1:E40)*(E2=E$1:E40))))))</f>
        <v>0</v>
      </c>
      <c r="K41" s="25" t="str">
        <f ca="1">IF(OR(E41="",E41="!!!",F41="NEW"),"",INDEX(J$1:J40,SUMPRODUCT(MAX(ROW(E$1:E40)*(E41=E$1:E40)))))</f>
        <v/>
      </c>
      <c r="L41" s="26"/>
    </row>
    <row r="42" spans="1:12" x14ac:dyDescent="0.3">
      <c r="A42" t="s">
        <v>192</v>
      </c>
      <c r="E42" s="21" t="str">
        <f t="shared" si="6"/>
        <v/>
      </c>
      <c r="F42" s="22" t="str">
        <f>IF(OR(E42="",E42="!!!"),"",IF(NOT(ISNA(VLOOKUP(E42,E$1:E41,1,FALSE()))),"OLD",IF(AND(E42&lt;&gt;"",E42&lt;&gt;"!!!"),"NEW","")))</f>
        <v/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/>
      </c>
      <c r="H42" s="24" t="str">
        <f t="shared" ca="1" si="7"/>
        <v/>
      </c>
      <c r="I42" s="25" t="str">
        <f>IF(OR(E42="",E42="!!!",F42="NEW"),"",INDEX(B$2:B41,-1+SUMPRODUCT(MAX(ROW(E$2:E41)*(E42=E$2:E41)))))</f>
        <v/>
      </c>
      <c r="J42" s="25" t="str">
        <f ca="1">IF(OR(E42="",E42="!!!",F42="NEW"),"",COUNTBLANK(OFFSET(A$1,,,SUMPRODUCT(MAX(ROW(E$2:E42)*(E42=E$2:E42)))))-COUNTBLANK(OFFSET(A$1,,,SUMPRODUCT(MAX(ROW(E$1:E41)*(E2=E$1:E41))))))</f>
        <v/>
      </c>
      <c r="K42" s="25" t="str">
        <f>IF(OR(E42="",E42="!!!",F42="NEW"),"",INDEX(J$1:J41,SUMPRODUCT(MAX(ROW(E$1:E41)*(E42=E$1:E41)))))</f>
        <v/>
      </c>
      <c r="L42" s="26"/>
    </row>
    <row r="43" spans="1:12" x14ac:dyDescent="0.3">
      <c r="A43" t="s">
        <v>210</v>
      </c>
      <c r="E43" s="21" t="str">
        <f t="shared" si="6"/>
        <v/>
      </c>
      <c r="F43" s="22" t="str">
        <f>IF(OR(E43="",E43="!!!"),"",IF(NOT(ISNA(VLOOKUP(E43,E$1:E42,1,FALSE()))),"OLD",IF(AND(E43&lt;&gt;"",E43&lt;&gt;"!!!"),"NEW","")))</f>
        <v/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/>
      </c>
      <c r="H43" s="24" t="str">
        <f t="shared" ca="1" si="7"/>
        <v/>
      </c>
      <c r="I43" s="25" t="str">
        <f>IF(OR(E43="",E43="!!!",F43="NEW"),"",INDEX(B$2:B42,-1+SUMPRODUCT(MAX(ROW(E$2:E42)*(E43=E$2:E42)))))</f>
        <v/>
      </c>
      <c r="J43" s="25" t="str">
        <f ca="1">IF(OR(E43="",E43="!!!",F43="NEW"),"",COUNTBLANK(OFFSET(A$1,,,SUMPRODUCT(MAX(ROW(E$2:E43)*(E43=E$2:E43)))))-COUNTBLANK(OFFSET(A$1,,,SUMPRODUCT(MAX(ROW(E$1:E42)*(E2=E$1:E42))))))</f>
        <v/>
      </c>
      <c r="K43" s="25" t="str">
        <f>IF(OR(E43="",E43="!!!",F43="NEW"),"",INDEX(J$1:J42,SUMPRODUCT(MAX(ROW(E$1:E42)*(E43=E$1:E42)))))</f>
        <v/>
      </c>
      <c r="L43" s="26"/>
    </row>
    <row r="44" spans="1:12" x14ac:dyDescent="0.3">
      <c r="A44" t="s">
        <v>211</v>
      </c>
      <c r="E44" s="21" t="str">
        <f t="shared" si="6"/>
        <v/>
      </c>
      <c r="F44" s="22" t="str">
        <f>IF(OR(E44="",E44="!!!"),"",IF(NOT(ISNA(VLOOKUP(E44,E$1:E43,1,FALSE()))),"OLD",IF(AND(E44&lt;&gt;"",E44&lt;&gt;"!!!"),"NEW","")))</f>
        <v/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/>
      </c>
      <c r="H44" s="24" t="str">
        <f t="shared" ca="1" si="7"/>
        <v/>
      </c>
      <c r="I44" s="25" t="str">
        <f>IF(OR(E44="",E44="!!!",F44="NEW"),"",INDEX(B$2:B43,-1+SUMPRODUCT(MAX(ROW(E$2:E43)*(E44=E$2:E43)))))</f>
        <v/>
      </c>
      <c r="J44" s="25" t="str">
        <f ca="1">IF(OR(E44="",E44="!!!",F44="NEW"),"",COUNTBLANK(OFFSET(A$1,,,SUMPRODUCT(MAX(ROW(E$2:E44)*(E44=E$2:E44)))))-COUNTBLANK(OFFSET(A$1,,,SUMPRODUCT(MAX(ROW(E$1:E43)*(E2=E$1:E43))))))</f>
        <v/>
      </c>
      <c r="K44" s="25" t="str">
        <f>IF(OR(E44="",E44="!!!",F44="NEW"),"",INDEX(J$1:J43,SUMPRODUCT(MAX(ROW(E$1:E43)*(E44=E$1:E43)))))</f>
        <v/>
      </c>
      <c r="L44" s="26"/>
    </row>
    <row r="45" spans="1:12" x14ac:dyDescent="0.3">
      <c r="A45" t="s">
        <v>212</v>
      </c>
      <c r="B45" s="20" t="s">
        <v>182</v>
      </c>
      <c r="C45" s="20" t="s">
        <v>195</v>
      </c>
      <c r="D45" s="20" t="s">
        <v>171</v>
      </c>
      <c r="E45" s="21" t="s">
        <v>484</v>
      </c>
      <c r="F45" s="22" t="s">
        <v>483</v>
      </c>
      <c r="G45" s="23"/>
      <c r="H45" s="24" t="str">
        <f t="shared" ca="1" si="7"/>
        <v/>
      </c>
      <c r="I45" s="25" t="e">
        <f>IF(OR(E45="",E45="!!!",F45="NEW"),"",INDEX(B$2:B44,-1+SUMPRODUCT(MAX(ROW(E$2:E44)*(E45=E$2:E44)))))</f>
        <v>#VALUE!</v>
      </c>
      <c r="J45" s="25">
        <f ca="1">IF(OR(E45="",E45="!!!",F45="NEW"),"",COUNTBLANK(OFFSET(A$1,,,SUMPRODUCT(MAX(ROW(E$2:E45)*(E45=E$2:E45)))))-COUNTBLANK(OFFSET(A$1,,,SUMPRODUCT(MAX(ROW(E$1:E44)*(E2=E$1:E44))))))</f>
        <v>0</v>
      </c>
      <c r="K45" s="25" t="e">
        <f>IF(OR(E45="",E45="!!!",F45="NEW"),"",INDEX(J$1:J44,SUMPRODUCT(MAX(ROW(E$1:E44)*(E45=E$1:E44)))))</f>
        <v>#VALUE!</v>
      </c>
      <c r="L45" s="26"/>
    </row>
    <row r="46" spans="1:12" x14ac:dyDescent="0.3">
      <c r="A46" t="s">
        <v>213</v>
      </c>
      <c r="E46" s="21" t="str">
        <f t="shared" si="6"/>
        <v/>
      </c>
      <c r="F46" s="22" t="str">
        <f>IF(OR(E46="",E46="!!!"),"",IF(NOT(ISNA(VLOOKUP(E46,E$1:E45,1,FALSE()))),"OLD",IF(AND(E46&lt;&gt;"",E46&lt;&gt;"!!!"),"NEW","")))</f>
        <v/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/>
      </c>
      <c r="H46" s="24" t="str">
        <f t="shared" ca="1" si="7"/>
        <v/>
      </c>
      <c r="I46" s="25" t="str">
        <f>IF(OR(E46="",E46="!!!",F46="NEW"),"",INDEX(B$2:B45,-1+SUMPRODUCT(MAX(ROW(E$2:E45)*(E46=E$2:E45)))))</f>
        <v/>
      </c>
      <c r="J46" s="25" t="str">
        <f ca="1">IF(OR(E46="",E46="!!!",F46="NEW"),"",COUNTBLANK(OFFSET(A$1,,,SUMPRODUCT(MAX(ROW(E$2:E46)*(E46=E$2:E46)))))-COUNTBLANK(OFFSET(A$1,,,SUMPRODUCT(MAX(ROW(E$1:E45)*(E2=E$1:E45))))))</f>
        <v/>
      </c>
      <c r="K46" s="25" t="str">
        <f>IF(OR(E46="",E46="!!!",F46="NEW"),"",INDEX(J$1:J45,SUMPRODUCT(MAX(ROW(E$1:E45)*(E46=E$1:E45)))))</f>
        <v/>
      </c>
      <c r="L46" s="26"/>
    </row>
    <row r="47" spans="1:12" x14ac:dyDescent="0.3">
      <c r="A47" t="s">
        <v>214</v>
      </c>
      <c r="E47" s="21" t="str">
        <f t="shared" si="6"/>
        <v/>
      </c>
      <c r="F47" s="22" t="str">
        <f>IF(OR(E47="",E47="!!!"),"",IF(NOT(ISNA(VLOOKUP(E47,E$1:E46,1,FALSE()))),"OLD",IF(AND(E47&lt;&gt;"",E47&lt;&gt;"!!!"),"NEW","")))</f>
        <v/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/>
      </c>
      <c r="H47" s="24" t="str">
        <f t="shared" ca="1" si="7"/>
        <v/>
      </c>
      <c r="I47" s="25" t="str">
        <f>IF(OR(E47="",E47="!!!",F47="NEW"),"",INDEX(B$2:B46,-1+SUMPRODUCT(MAX(ROW(E$2:E46)*(E47=E$2:E46)))))</f>
        <v/>
      </c>
      <c r="J47" s="25" t="str">
        <f ca="1">IF(OR(E47="",E47="!!!",F47="NEW"),"",COUNTBLANK(OFFSET(A$1,,,SUMPRODUCT(MAX(ROW(E$2:E47)*(E47=E$2:E47)))))-COUNTBLANK(OFFSET(A$1,,,SUMPRODUCT(MAX(ROW(E$1:E46)*(E2=E$1:E46))))))</f>
        <v/>
      </c>
      <c r="K47" s="25" t="str">
        <f>IF(OR(E47="",E47="!!!",F47="NEW"),"",INDEX(J$1:J46,SUMPRODUCT(MAX(ROW(E$1:E46)*(E47=E$1:E46)))))</f>
        <v/>
      </c>
      <c r="L47" s="26"/>
    </row>
    <row r="48" spans="1:12" x14ac:dyDescent="0.3">
      <c r="A48" t="s">
        <v>172</v>
      </c>
      <c r="E48" s="21" t="str">
        <f t="shared" si="6"/>
        <v/>
      </c>
      <c r="F48" s="22" t="str">
        <f>IF(OR(E48="",E48="!!!"),"",IF(NOT(ISNA(VLOOKUP(E48,E$1:E47,1,FALSE()))),"OLD",IF(AND(E48&lt;&gt;"",E48&lt;&gt;"!!!"),"NEW","")))</f>
        <v/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/>
      </c>
      <c r="H48" s="24" t="str">
        <f t="shared" ca="1" si="7"/>
        <v/>
      </c>
      <c r="I48" s="25" t="str">
        <f>IF(OR(E48="",E48="!!!",F48="NEW"),"",INDEX(B$2:B47,-1+SUMPRODUCT(MAX(ROW(E$2:E47)*(E48=E$2:E47)))))</f>
        <v/>
      </c>
      <c r="J48" s="25" t="str">
        <f ca="1">IF(OR(E48="",E48="!!!",F48="NEW"),"",COUNTBLANK(OFFSET(A$1,,,SUMPRODUCT(MAX(ROW(E$2:E48)*(E48=E$2:E48)))))-COUNTBLANK(OFFSET(A$1,,,SUMPRODUCT(MAX(ROW(E$1:E47)*(E2=E$1:E47))))))</f>
        <v/>
      </c>
      <c r="K48" s="25" t="str">
        <f>IF(OR(E48="",E48="!!!",F48="NEW"),"",INDEX(J$1:J47,SUMPRODUCT(MAX(ROW(E$1:E47)*(E48=E$1:E47)))))</f>
        <v/>
      </c>
      <c r="L48" s="26"/>
    </row>
    <row r="49" spans="1:12" x14ac:dyDescent="0.3">
      <c r="A49" t="s">
        <v>173</v>
      </c>
      <c r="B49" s="20" t="s">
        <v>215</v>
      </c>
      <c r="C49" s="20" t="s">
        <v>216</v>
      </c>
      <c r="E49" s="21" t="s">
        <v>500</v>
      </c>
      <c r="F49" s="22" t="str">
        <f>IF(OR(E49="",E49="!!!"),"",IF(NOT(ISNA(VLOOKUP(E49,E$1:E48,1,FALSE()))),"OLD",IF(AND(E49&lt;&gt;"",E49&lt;&gt;"!!!"),"NEW","")))</f>
        <v>NEW</v>
      </c>
      <c r="G49" s="23" t="s">
        <v>510</v>
      </c>
      <c r="H49" s="24" t="str">
        <f t="shared" ca="1" si="7"/>
        <v/>
      </c>
      <c r="I49" s="25" t="str">
        <f>IF(OR(E49="",E49="!!!",F49="NEW"),"",INDEX(B$2:B48,-1+SUMPRODUCT(MAX(ROW(E$2:E48)*(E49=E$2:E48)))))</f>
        <v/>
      </c>
      <c r="J49" s="25" t="str">
        <f ca="1">IF(OR(E49="",E49="!!!",F49="NEW"),"",COUNTBLANK(OFFSET(A$1,,,SUMPRODUCT(MAX(ROW(E$2:E49)*(E49=E$2:E49)))))-COUNTBLANK(OFFSET(A$1,,,SUMPRODUCT(MAX(ROW(E$1:E48)*(E2=E$1:E48))))))</f>
        <v/>
      </c>
      <c r="K49" s="25" t="str">
        <f>IF(OR(E49="",E49="!!!",F49="NEW"),"",INDEX(J$1:J48,SUMPRODUCT(MAX(ROW(E$1:E48)*(E49=E$1:E48)))))</f>
        <v/>
      </c>
      <c r="L49" s="26" t="s">
        <v>473</v>
      </c>
    </row>
    <row r="50" spans="1:12" x14ac:dyDescent="0.3">
      <c r="A50" t="s">
        <v>217</v>
      </c>
      <c r="E50" s="21" t="str">
        <f t="shared" si="6"/>
        <v/>
      </c>
      <c r="F50" s="22" t="str">
        <f>IF(OR(E50="",E50="!!!"),"",IF(NOT(ISNA(VLOOKUP(E50,E$1:E49,1,FALSE()))),"OLD",IF(AND(E50&lt;&gt;"",E50&lt;&gt;"!!!"),"NEW","")))</f>
        <v/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/>
      </c>
      <c r="H50" s="24" t="str">
        <f t="shared" ca="1" si="7"/>
        <v/>
      </c>
      <c r="I50" s="25" t="str">
        <f>IF(OR(E50="",E50="!!!",F50="NEW"),"",INDEX(B$2:B49,-1+SUMPRODUCT(MAX(ROW(E$2:E49)*(E50=E$2:E49)))))</f>
        <v/>
      </c>
      <c r="J50" s="25" t="str">
        <f ca="1">IF(OR(E50="",E50="!!!",F50="NEW"),"",COUNTBLANK(OFFSET(A$1,,,SUMPRODUCT(MAX(ROW(E$2:E50)*(E50=E$2:E50)))))-COUNTBLANK(OFFSET(A$1,,,SUMPRODUCT(MAX(ROW(E$1:E49)*(E2=E$1:E49))))))</f>
        <v/>
      </c>
      <c r="K50" s="25" t="str">
        <f>IF(OR(E50="",E50="!!!",F50="NEW"),"",INDEX(J$1:J49,SUMPRODUCT(MAX(ROW(E$1:E49)*(E50=E$1:E49)))))</f>
        <v/>
      </c>
      <c r="L50" s="26"/>
    </row>
    <row r="51" spans="1:12" x14ac:dyDescent="0.3">
      <c r="A51" t="s">
        <v>218</v>
      </c>
      <c r="E51" s="21" t="str">
        <f t="shared" si="6"/>
        <v/>
      </c>
      <c r="F51" s="22" t="str">
        <f>IF(OR(E51="",E51="!!!"),"",IF(NOT(ISNA(VLOOKUP(E51,E$1:E50,1,FALSE()))),"OLD",IF(AND(E51&lt;&gt;"",E51&lt;&gt;"!!!"),"NEW","")))</f>
        <v/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/>
      </c>
      <c r="H51" s="24" t="str">
        <f t="shared" ca="1" si="7"/>
        <v/>
      </c>
      <c r="I51" s="25" t="str">
        <f>IF(OR(E51="",E51="!!!",F51="NEW"),"",INDEX(B$2:B50,-1+SUMPRODUCT(MAX(ROW(E$2:E50)*(E51=E$2:E50)))))</f>
        <v/>
      </c>
      <c r="J51" s="25" t="str">
        <f ca="1">IF(OR(E51="",E51="!!!",F51="NEW"),"",COUNTBLANK(OFFSET(A$1,,,SUMPRODUCT(MAX(ROW(E$2:E51)*(E51=E$2:E51)))))-COUNTBLANK(OFFSET(A$1,,,SUMPRODUCT(MAX(ROW(E$1:E50)*(E2=E$1:E50))))))</f>
        <v/>
      </c>
      <c r="K51" s="25" t="str">
        <f>IF(OR(E51="",E51="!!!",F51="NEW"),"",INDEX(J$1:J50,SUMPRODUCT(MAX(ROW(E$1:E50)*(E51=E$1:E50)))))</f>
        <v/>
      </c>
      <c r="L51" s="26"/>
    </row>
    <row r="52" spans="1:12" x14ac:dyDescent="0.3">
      <c r="A52" t="s">
        <v>176</v>
      </c>
      <c r="E52" s="21" t="str">
        <f t="shared" si="6"/>
        <v/>
      </c>
      <c r="F52" s="22" t="str">
        <f>IF(OR(E52="",E52="!!!"),"",IF(NOT(ISNA(VLOOKUP(E52,E$1:E51,1,FALSE()))),"OLD",IF(AND(E52&lt;&gt;"",E52&lt;&gt;"!!!"),"NEW","")))</f>
        <v/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/>
      </c>
      <c r="H52" s="24" t="str">
        <f t="shared" ca="1" si="7"/>
        <v/>
      </c>
      <c r="I52" s="25" t="str">
        <f>IF(OR(E52="",E52="!!!",F52="NEW"),"",INDEX(B$2:B51,-1+SUMPRODUCT(MAX(ROW(E$2:E51)*(E52=E$2:E51)))))</f>
        <v/>
      </c>
      <c r="J52" s="25" t="str">
        <f ca="1">IF(OR(E52="",E52="!!!",F52="NEW"),"",COUNTBLANK(OFFSET(A$1,,,SUMPRODUCT(MAX(ROW(E$2:E52)*(E52=E$2:E52)))))-COUNTBLANK(OFFSET(A$1,,,SUMPRODUCT(MAX(ROW(E$1:E51)*(E2=E$1:E51))))))</f>
        <v/>
      </c>
      <c r="K52" s="25" t="str">
        <f>IF(OR(E52="",E52="!!!",F52="NEW"),"",INDEX(J$1:J51,SUMPRODUCT(MAX(ROW(E$1:E51)*(E52=E$1:E51)))))</f>
        <v/>
      </c>
      <c r="L52" s="26"/>
    </row>
    <row r="54" spans="1:12" x14ac:dyDescent="0.3">
      <c r="A54" t="s">
        <v>219</v>
      </c>
      <c r="E54" s="21" t="str">
        <f>IF(D54="?OLD","!!!","")</f>
        <v/>
      </c>
      <c r="F54" s="22" t="str">
        <f>IF(OR(E54="",E54="!!!"),"",IF(NOT(ISNA(VLOOKUP(E54,E$1:E53,1,FALSE()))),"OLD",IF(AND(E54&lt;&gt;"",E54&lt;&gt;"!!!"),"NEW","")))</f>
        <v/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/>
      </c>
      <c r="H54" s="24" t="str">
        <f ca="1">IF(J54&lt;&gt;1,"",IF(I54="SBJ","CB","?"))</f>
        <v/>
      </c>
      <c r="I54" s="25" t="str">
        <f>IF(OR(E54="",E54="!!!",F54="NEW"),"",INDEX(B$2:B53,-1+SUMPRODUCT(MAX(ROW(E$2:E53)*(E54=E$2:E53)))))</f>
        <v/>
      </c>
      <c r="J54" s="25" t="str">
        <f ca="1">IF(OR(E54="",E54="!!!",F54="NEW"),"",COUNTBLANK(OFFSET(A$1,,,SUMPRODUCT(MAX(ROW(E$2:E54)*(E54=E$2:E54)))))-COUNTBLANK(OFFSET(A$1,,,SUMPRODUCT(MAX(ROW(E$1:E53)*(E2=E$1:E53))))))</f>
        <v/>
      </c>
      <c r="K54" s="25" t="str">
        <f>IF(OR(E54="",E54="!!!",F54="NEW"),"",INDEX(J$1:J53,SUMPRODUCT(MAX(ROW(E$1:E53)*(E54=E$1:E53)))))</f>
        <v/>
      </c>
      <c r="L54" s="26"/>
    </row>
    <row r="55" spans="1:12" x14ac:dyDescent="0.3">
      <c r="A55" t="s">
        <v>220</v>
      </c>
    </row>
    <row r="56" spans="1:12" x14ac:dyDescent="0.3">
      <c r="A56" t="s">
        <v>178</v>
      </c>
      <c r="E56" s="21" t="str">
        <f t="shared" ref="E56:E69" si="8">IF(D56="?OLD","!!!","")</f>
        <v/>
      </c>
      <c r="F56" s="22" t="str">
        <f>IF(OR(E56="",E56="!!!"),"",IF(NOT(ISNA(VLOOKUP(E56,E$1:E55,1,FALSE()))),"OLD",IF(AND(E56&lt;&gt;"",E56&lt;&gt;"!!!"),"NEW","")))</f>
        <v/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/>
      </c>
      <c r="H56" s="24" t="str">
        <f t="shared" ref="H56:H69" ca="1" si="9">IF(J56&lt;&gt;1,"",IF(I56="SBJ","CB","?"))</f>
        <v/>
      </c>
      <c r="I56" s="25" t="str">
        <f>IF(OR(E56="",E56="!!!",F56="NEW"),"",INDEX(B$2:B55,-1+SUMPRODUCT(MAX(ROW(E$2:E55)*(E56=E$2:E55)))))</f>
        <v/>
      </c>
      <c r="J56" s="25" t="str">
        <f ca="1">IF(OR(E56="",E56="!!!",F56="NEW"),"",COUNTBLANK(OFFSET(A$1,,,SUMPRODUCT(MAX(ROW(E$2:E56)*(E56=E$2:E56)))))-COUNTBLANK(OFFSET(A$1,,,SUMPRODUCT(MAX(ROW(E$1:E55)*(E2=E$1:E55))))))</f>
        <v/>
      </c>
      <c r="K56" s="25" t="str">
        <f>IF(OR(E56="",E56="!!!",F56="NEW"),"",INDEX(J$1:J55,SUMPRODUCT(MAX(ROW(E$1:E55)*(E56=E$1:E55)))))</f>
        <v/>
      </c>
      <c r="L56" s="26"/>
    </row>
    <row r="57" spans="1:12" x14ac:dyDescent="0.3">
      <c r="A57" t="s">
        <v>179</v>
      </c>
      <c r="B57" s="20" t="s">
        <v>166</v>
      </c>
      <c r="C57" s="20" t="s">
        <v>170</v>
      </c>
      <c r="D57" s="20" t="s">
        <v>171</v>
      </c>
      <c r="E57" s="21" t="s">
        <v>467</v>
      </c>
      <c r="F57" s="22" t="str">
        <f>IF(OR(E57="",E57="!!!"),"",IF(NOT(ISNA(VLOOKUP(E57,E$1:E56,1,FALSE()))),"OLD",IF(AND(E57&lt;&gt;"",E57&lt;&gt;"!!!"),"NEW","")))</f>
        <v>OLD</v>
      </c>
      <c r="G57" s="23" t="s">
        <v>509</v>
      </c>
      <c r="H57" s="24" t="str">
        <f t="shared" ca="1" si="9"/>
        <v/>
      </c>
      <c r="I57" s="25" t="str">
        <f>IF(OR(E57="",E57="!!!",F57="NEW"),"",INDEX(B$2:B56,-1+SUMPRODUCT(MAX(ROW(E$2:E56)*(E57=E$2:E56)))))</f>
        <v>SBJ</v>
      </c>
      <c r="J57" s="25">
        <f ca="1">IF(OR(E57="",E57="!!!",F57="NEW"),"",COUNTBLANK(OFFSET(A$1,,,SUMPRODUCT(MAX(ROW(E$2:E57)*(E57=E$2:E57)))))-COUNTBLANK(OFFSET(A$1,,,SUMPRODUCT(MAX(ROW(E$1:E56)*(E2=E$1:E56))))))</f>
        <v>0</v>
      </c>
      <c r="K57" s="25" t="str">
        <f ca="1">IF(OR(E57="",E57="!!!",F57="NEW"),"",INDEX(J$1:J56,SUMPRODUCT(MAX(ROW(E$1:E56)*(E57=E$1:E56)))))</f>
        <v/>
      </c>
      <c r="L57" s="26"/>
    </row>
    <row r="58" spans="1:12" x14ac:dyDescent="0.3">
      <c r="A58" t="s">
        <v>221</v>
      </c>
      <c r="E58" s="21" t="str">
        <f t="shared" si="8"/>
        <v/>
      </c>
      <c r="F58" s="22" t="str">
        <f>IF(OR(E58="",E58="!!!"),"",IF(NOT(ISNA(VLOOKUP(E58,E$1:E57,1,FALSE()))),"OLD",IF(AND(E58&lt;&gt;"",E58&lt;&gt;"!!!"),"NEW","")))</f>
        <v/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/>
      </c>
      <c r="H58" s="24" t="str">
        <f t="shared" ca="1" si="9"/>
        <v/>
      </c>
      <c r="I58" s="25" t="str">
        <f>IF(OR(E58="",E58="!!!",F58="NEW"),"",INDEX(B$2:B57,-1+SUMPRODUCT(MAX(ROW(E$2:E57)*(E58=E$2:E57)))))</f>
        <v/>
      </c>
      <c r="J58" s="25" t="str">
        <f ca="1">IF(OR(E58="",E58="!!!",F58="NEW"),"",COUNTBLANK(OFFSET(A$1,,,SUMPRODUCT(MAX(ROW(E$2:E58)*(E58=E$2:E58)))))-COUNTBLANK(OFFSET(A$1,,,SUMPRODUCT(MAX(ROW(E$1:E57)*(E2=E$1:E57))))))</f>
        <v/>
      </c>
      <c r="K58" s="25" t="str">
        <f>IF(OR(E58="",E58="!!!",F58="NEW"),"",INDEX(J$1:J57,SUMPRODUCT(MAX(ROW(E$1:E57)*(E58=E$1:E57)))))</f>
        <v/>
      </c>
      <c r="L58" s="26"/>
    </row>
    <row r="59" spans="1:12" x14ac:dyDescent="0.3">
      <c r="A59" t="s">
        <v>222</v>
      </c>
      <c r="B59" s="20" t="s">
        <v>182</v>
      </c>
      <c r="C59" s="20" t="s">
        <v>202</v>
      </c>
      <c r="E59" s="21" t="str">
        <f t="shared" si="8"/>
        <v/>
      </c>
      <c r="F59" s="22" t="str">
        <f>IF(OR(E59="",E59="!!!"),"",IF(NOT(ISNA(VLOOKUP(E59,E$1:E58,1,FALSE()))),"OLD",IF(AND(E59&lt;&gt;"",E59&lt;&gt;"!!!"),"NEW","")))</f>
        <v/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/>
      </c>
      <c r="H59" s="24" t="str">
        <f t="shared" ca="1" si="9"/>
        <v/>
      </c>
      <c r="I59" s="25" t="str">
        <f>IF(OR(E59="",E59="!!!",F59="NEW"),"",INDEX(B$2:B58,-1+SUMPRODUCT(MAX(ROW(E$2:E58)*(E59=E$2:E58)))))</f>
        <v/>
      </c>
      <c r="J59" s="25" t="str">
        <f ca="1">IF(OR(E59="",E59="!!!",F59="NEW"),"",COUNTBLANK(OFFSET(A$1,,,SUMPRODUCT(MAX(ROW(E$2:E59)*(E59=E$2:E59)))))-COUNTBLANK(OFFSET(A$1,,,SUMPRODUCT(MAX(ROW(E$1:E58)*(E2=E$1:E58))))))</f>
        <v/>
      </c>
      <c r="K59" s="25" t="str">
        <f>IF(OR(E59="",E59="!!!",F59="NEW"),"",INDEX(J$1:J58,SUMPRODUCT(MAX(ROW(E$1:E58)*(E59=E$1:E58)))))</f>
        <v/>
      </c>
      <c r="L59" s="26"/>
    </row>
    <row r="60" spans="1:12" x14ac:dyDescent="0.3">
      <c r="A60" t="s">
        <v>223</v>
      </c>
      <c r="E60" s="21" t="str">
        <f t="shared" si="8"/>
        <v/>
      </c>
      <c r="F60" s="22" t="str">
        <f>IF(OR(E60="",E60="!!!"),"",IF(NOT(ISNA(VLOOKUP(E60,E$1:E59,1,FALSE()))),"OLD",IF(AND(E60&lt;&gt;"",E60&lt;&gt;"!!!"),"NEW","")))</f>
        <v/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/>
      </c>
      <c r="H60" s="24" t="str">
        <f t="shared" ca="1" si="9"/>
        <v/>
      </c>
      <c r="I60" s="25" t="str">
        <f>IF(OR(E60="",E60="!!!",F60="NEW"),"",INDEX(B$2:B59,-1+SUMPRODUCT(MAX(ROW(E$2:E59)*(E60=E$2:E59)))))</f>
        <v/>
      </c>
      <c r="J60" s="25" t="str">
        <f ca="1">IF(OR(E60="",E60="!!!",F60="NEW"),"",COUNTBLANK(OFFSET(A$1,,,SUMPRODUCT(MAX(ROW(E$2:E60)*(E60=E$2:E60)))))-COUNTBLANK(OFFSET(A$1,,,SUMPRODUCT(MAX(ROW(E$1:E59)*(E2=E$1:E59))))))</f>
        <v/>
      </c>
      <c r="K60" s="25" t="str">
        <f>IF(OR(E60="",E60="!!!",F60="NEW"),"",INDEX(J$1:J59,SUMPRODUCT(MAX(ROW(E$1:E59)*(E60=E$1:E59)))))</f>
        <v/>
      </c>
      <c r="L60" s="26"/>
    </row>
    <row r="61" spans="1:12" x14ac:dyDescent="0.3">
      <c r="A61" t="s">
        <v>211</v>
      </c>
      <c r="E61" s="21" t="str">
        <f t="shared" si="8"/>
        <v/>
      </c>
      <c r="F61" s="22" t="str">
        <f>IF(OR(E61="",E61="!!!"),"",IF(NOT(ISNA(VLOOKUP(E61,E$1:E60,1,FALSE()))),"OLD",IF(AND(E61&lt;&gt;"",E61&lt;&gt;"!!!"),"NEW","")))</f>
        <v/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/>
      </c>
      <c r="H61" s="24" t="str">
        <f t="shared" ca="1" si="9"/>
        <v/>
      </c>
      <c r="I61" s="25" t="str">
        <f>IF(OR(E61="",E61="!!!",F61="NEW"),"",INDEX(B$2:B60,-1+SUMPRODUCT(MAX(ROW(E$2:E60)*(E61=E$2:E60)))))</f>
        <v/>
      </c>
      <c r="J61" s="25" t="str">
        <f ca="1">IF(OR(E61="",E61="!!!",F61="NEW"),"",COUNTBLANK(OFFSET(A$1,,,SUMPRODUCT(MAX(ROW(E$2:E61)*(E61=E$2:E61)))))-COUNTBLANK(OFFSET(A$1,,,SUMPRODUCT(MAX(ROW(E$1:E60)*(E2=E$1:E60))))))</f>
        <v/>
      </c>
      <c r="K61" s="25" t="str">
        <f>IF(OR(E61="",E61="!!!",F61="NEW"),"",INDEX(J$1:J60,SUMPRODUCT(MAX(ROW(E$1:E60)*(E61=E$1:E60)))))</f>
        <v/>
      </c>
      <c r="L61" s="26"/>
    </row>
    <row r="62" spans="1:12" x14ac:dyDescent="0.3">
      <c r="A62" t="s">
        <v>224</v>
      </c>
      <c r="B62" s="20" t="s">
        <v>183</v>
      </c>
      <c r="C62" s="20" t="s">
        <v>195</v>
      </c>
      <c r="D62" s="20" t="s">
        <v>171</v>
      </c>
      <c r="E62" s="21"/>
      <c r="F62" s="22" t="s">
        <v>483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/>
      </c>
      <c r="H62" s="24" t="str">
        <f t="shared" ca="1" si="9"/>
        <v/>
      </c>
      <c r="I62" s="25" t="str">
        <f>IF(OR(E62="",E62="!!!",F62="NEW"),"",INDEX(B$2:B61,-1+SUMPRODUCT(MAX(ROW(E$2:E61)*(E62=E$2:E61)))))</f>
        <v/>
      </c>
      <c r="J62" s="25" t="str">
        <f ca="1">IF(OR(E62="",E62="!!!",F62="NEW"),"",COUNTBLANK(OFFSET(A$1,,,SUMPRODUCT(MAX(ROW(E$2:E62)*(E62=E$2:E62)))))-COUNTBLANK(OFFSET(A$1,,,SUMPRODUCT(MAX(ROW(E$1:E61)*(E2=E$1:E61))))))</f>
        <v/>
      </c>
      <c r="K62" s="25" t="str">
        <f>IF(OR(E62="",E62="!!!",F62="NEW"),"",INDEX(J$1:J61,SUMPRODUCT(MAX(ROW(E$1:E61)*(E62=E$1:E61)))))</f>
        <v/>
      </c>
      <c r="L62" s="26"/>
    </row>
    <row r="63" spans="1:12" x14ac:dyDescent="0.3">
      <c r="A63" t="s">
        <v>225</v>
      </c>
      <c r="E63" s="21" t="str">
        <f t="shared" si="8"/>
        <v/>
      </c>
      <c r="F63" s="22" t="str">
        <f>IF(OR(E63="",E63="!!!"),"",IF(NOT(ISNA(VLOOKUP(E63,E$1:E62,1,FALSE()))),"OLD",IF(AND(E63&lt;&gt;"",E63&lt;&gt;"!!!"),"NEW","")))</f>
        <v/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/>
      </c>
      <c r="H63" s="24" t="str">
        <f t="shared" ca="1" si="9"/>
        <v/>
      </c>
      <c r="I63" s="25" t="str">
        <f>IF(OR(E63="",E63="!!!",F63="NEW"),"",INDEX(B$2:B62,-1+SUMPRODUCT(MAX(ROW(E$2:E62)*(E63=E$2:E62)))))</f>
        <v/>
      </c>
      <c r="J63" s="25" t="str">
        <f ca="1">IF(OR(E63="",E63="!!!",F63="NEW"),"",COUNTBLANK(OFFSET(A$1,,,SUMPRODUCT(MAX(ROW(E$2:E63)*(E63=E$2:E63)))))-COUNTBLANK(OFFSET(A$1,,,SUMPRODUCT(MAX(ROW(E$1:E62)*(E2=E$1:E62))))))</f>
        <v/>
      </c>
      <c r="K63" s="25" t="str">
        <f>IF(OR(E63="",E63="!!!",F63="NEW"),"",INDEX(J$1:J62,SUMPRODUCT(MAX(ROW(E$1:E62)*(E63=E$1:E62)))))</f>
        <v/>
      </c>
      <c r="L63" s="26"/>
    </row>
    <row r="64" spans="1:12" x14ac:dyDescent="0.3">
      <c r="A64" t="s">
        <v>226</v>
      </c>
      <c r="E64" s="21" t="str">
        <f t="shared" si="8"/>
        <v/>
      </c>
      <c r="F64" s="22" t="str">
        <f>IF(OR(E64="",E64="!!!"),"",IF(NOT(ISNA(VLOOKUP(E64,E$1:E63,1,FALSE()))),"OLD",IF(AND(E64&lt;&gt;"",E64&lt;&gt;"!!!"),"NEW","")))</f>
        <v/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/>
      </c>
      <c r="H64" s="24" t="str">
        <f t="shared" ca="1" si="9"/>
        <v/>
      </c>
      <c r="I64" s="25" t="str">
        <f>IF(OR(E64="",E64="!!!",F64="NEW"),"",INDEX(B$2:B63,-1+SUMPRODUCT(MAX(ROW(E$2:E63)*(E64=E$2:E63)))))</f>
        <v/>
      </c>
      <c r="J64" s="25" t="str">
        <f ca="1">IF(OR(E64="",E64="!!!",F64="NEW"),"",COUNTBLANK(OFFSET(A$1,,,SUMPRODUCT(MAX(ROW(E$2:E64)*(E64=E$2:E64)))))-COUNTBLANK(OFFSET(A$1,,,SUMPRODUCT(MAX(ROW(E$1:E63)*(E2=E$1:E63))))))</f>
        <v/>
      </c>
      <c r="K64" s="25" t="str">
        <f>IF(OR(E64="",E64="!!!",F64="NEW"),"",INDEX(J$1:J63,SUMPRODUCT(MAX(ROW(E$1:E63)*(E64=E$1:E63)))))</f>
        <v/>
      </c>
      <c r="L64" s="26"/>
    </row>
    <row r="65" spans="1:12" x14ac:dyDescent="0.3">
      <c r="A65" t="s">
        <v>227</v>
      </c>
      <c r="B65" s="20" t="s">
        <v>182</v>
      </c>
      <c r="C65" s="20" t="s">
        <v>175</v>
      </c>
      <c r="E65" s="21" t="s">
        <v>491</v>
      </c>
      <c r="F65" s="22" t="str">
        <f>IF(OR(E65="",E65="!!!"),"",IF(NOT(ISNA(VLOOKUP(E65,E$1:E64,1,FALSE()))),"OLD",IF(AND(E65&lt;&gt;"",E65&lt;&gt;"!!!"),"NEW","")))</f>
        <v>NEW</v>
      </c>
      <c r="G65" s="23" t="s">
        <v>158</v>
      </c>
      <c r="H65" s="24" t="str">
        <f t="shared" ca="1" si="9"/>
        <v/>
      </c>
      <c r="I65" s="25" t="str">
        <f>IF(OR(E65="",E65="!!!",F65="NEW"),"",INDEX(B$2:B64,-1+SUMPRODUCT(MAX(ROW(E$2:E64)*(E65=E$2:E64)))))</f>
        <v/>
      </c>
      <c r="J65" s="25" t="str">
        <f ca="1">IF(OR(E65="",E65="!!!",F65="NEW"),"",COUNTBLANK(OFFSET(A$1,,,SUMPRODUCT(MAX(ROW(E$2:E65)*(E65=E$2:E65)))))-COUNTBLANK(OFFSET(A$1,,,SUMPRODUCT(MAX(ROW(E$1:E64)*(E2=E$1:E64))))))</f>
        <v/>
      </c>
      <c r="K65" s="25" t="str">
        <f>IF(OR(E65="",E65="!!!",F65="NEW"),"",INDEX(J$1:J64,SUMPRODUCT(MAX(ROW(E$1:E64)*(E65=E$1:E64)))))</f>
        <v/>
      </c>
      <c r="L65" s="26" t="s">
        <v>473</v>
      </c>
    </row>
    <row r="66" spans="1:12" x14ac:dyDescent="0.3">
      <c r="A66" t="s">
        <v>228</v>
      </c>
      <c r="B66" s="20" t="s">
        <v>174</v>
      </c>
      <c r="C66" s="20" t="s">
        <v>229</v>
      </c>
      <c r="E66" s="21" t="str">
        <f t="shared" si="8"/>
        <v/>
      </c>
      <c r="F66" s="22" t="str">
        <f>IF(OR(E66="",E66="!!!"),"",IF(NOT(ISNA(VLOOKUP(E66,E$1:E65,1,FALSE()))),"OLD",IF(AND(E66&lt;&gt;"",E66&lt;&gt;"!!!"),"NEW","")))</f>
        <v/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/>
      </c>
      <c r="H66" s="24" t="str">
        <f t="shared" ca="1" si="9"/>
        <v/>
      </c>
      <c r="I66" s="25" t="str">
        <f>IF(OR(E66="",E66="!!!",F66="NEW"),"",INDEX(B$2:B65,-1+SUMPRODUCT(MAX(ROW(E$2:E65)*(E66=E$2:E65)))))</f>
        <v/>
      </c>
      <c r="J66" s="25" t="str">
        <f ca="1">IF(OR(E66="",E66="!!!",F66="NEW"),"",COUNTBLANK(OFFSET(A$1,,,SUMPRODUCT(MAX(ROW(E$2:E66)*(E66=E$2:E66)))))-COUNTBLANK(OFFSET(A$1,,,SUMPRODUCT(MAX(ROW(E$1:E65)*(E2=E$1:E65))))))</f>
        <v/>
      </c>
      <c r="K66" s="25" t="str">
        <f>IF(OR(E66="",E66="!!!",F66="NEW"),"",INDEX(J$1:J65,SUMPRODUCT(MAX(ROW(E$1:E65)*(E66=E$1:E65)))))</f>
        <v/>
      </c>
      <c r="L66" s="26"/>
    </row>
    <row r="67" spans="1:12" x14ac:dyDescent="0.3">
      <c r="A67" t="s">
        <v>226</v>
      </c>
      <c r="E67" s="21" t="str">
        <f t="shared" si="8"/>
        <v/>
      </c>
      <c r="F67" s="22" t="str">
        <f>IF(OR(E67="",E67="!!!"),"",IF(NOT(ISNA(VLOOKUP(E67,E$1:E66,1,FALSE()))),"OLD",IF(AND(E67&lt;&gt;"",E67&lt;&gt;"!!!"),"NEW","")))</f>
        <v/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/>
      </c>
      <c r="H67" s="24" t="str">
        <f t="shared" ca="1" si="9"/>
        <v/>
      </c>
      <c r="I67" s="25" t="str">
        <f>IF(OR(E67="",E67="!!!",F67="NEW"),"",INDEX(B$2:B66,-1+SUMPRODUCT(MAX(ROW(E$2:E66)*(E67=E$2:E66)))))</f>
        <v/>
      </c>
      <c r="J67" s="25" t="str">
        <f ca="1">IF(OR(E67="",E67="!!!",F67="NEW"),"",COUNTBLANK(OFFSET(A$1,,,SUMPRODUCT(MAX(ROW(E$2:E67)*(E67=E$2:E67)))))-COUNTBLANK(OFFSET(A$1,,,SUMPRODUCT(MAX(ROW(E$1:E66)*(E2=E$1:E66))))))</f>
        <v/>
      </c>
      <c r="K67" s="25" t="str">
        <f>IF(OR(E67="",E67="!!!",F67="NEW"),"",INDEX(J$1:J66,SUMPRODUCT(MAX(ROW(E$1:E66)*(E67=E$1:E66)))))</f>
        <v/>
      </c>
      <c r="L67" s="26"/>
    </row>
    <row r="68" spans="1:12" x14ac:dyDescent="0.3">
      <c r="A68" t="s">
        <v>230</v>
      </c>
      <c r="E68" s="21" t="str">
        <f t="shared" si="8"/>
        <v/>
      </c>
      <c r="F68" s="22" t="str">
        <f>IF(OR(E68="",E68="!!!"),"",IF(NOT(ISNA(VLOOKUP(E68,E$1:E67,1,FALSE()))),"OLD",IF(AND(E68&lt;&gt;"",E68&lt;&gt;"!!!"),"NEW","")))</f>
        <v/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/>
      </c>
      <c r="H68" s="24" t="str">
        <f t="shared" ca="1" si="9"/>
        <v/>
      </c>
      <c r="I68" s="25" t="str">
        <f>IF(OR(E68="",E68="!!!",F68="NEW"),"",INDEX(B$2:B67,-1+SUMPRODUCT(MAX(ROW(E$2:E67)*(E68=E$2:E67)))))</f>
        <v/>
      </c>
      <c r="J68" s="25" t="str">
        <f ca="1">IF(OR(E68="",E68="!!!",F68="NEW"),"",COUNTBLANK(OFFSET(A$1,,,SUMPRODUCT(MAX(ROW(E$2:E68)*(E68=E$2:E68)))))-COUNTBLANK(OFFSET(A$1,,,SUMPRODUCT(MAX(ROW(E$1:E67)*(E2=E$1:E67))))))</f>
        <v/>
      </c>
      <c r="K68" s="25" t="str">
        <f>IF(OR(E68="",E68="!!!",F68="NEW"),"",INDEX(J$1:J67,SUMPRODUCT(MAX(ROW(E$1:E67)*(E68=E$1:E67)))))</f>
        <v/>
      </c>
      <c r="L68" s="26"/>
    </row>
    <row r="69" spans="1:12" x14ac:dyDescent="0.3">
      <c r="A69" t="s">
        <v>197</v>
      </c>
      <c r="E69" s="21" t="str">
        <f t="shared" si="8"/>
        <v/>
      </c>
      <c r="F69" s="22" t="str">
        <f>IF(OR(E69="",E69="!!!"),"",IF(NOT(ISNA(VLOOKUP(E69,E$1:E68,1,FALSE()))),"OLD",IF(AND(E69&lt;&gt;"",E69&lt;&gt;"!!!"),"NEW","")))</f>
        <v/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/>
      </c>
      <c r="H69" s="24" t="str">
        <f t="shared" ca="1" si="9"/>
        <v/>
      </c>
      <c r="I69" s="25" t="str">
        <f>IF(OR(E69="",E69="!!!",F69="NEW"),"",INDEX(B$2:B68,-1+SUMPRODUCT(MAX(ROW(E$2:E68)*(E69=E$2:E68)))))</f>
        <v/>
      </c>
      <c r="J69" s="25" t="str">
        <f ca="1">IF(OR(E69="",E69="!!!",F69="NEW"),"",COUNTBLANK(OFFSET(A$1,,,SUMPRODUCT(MAX(ROW(E$2:E69)*(E69=E$2:E69)))))-COUNTBLANK(OFFSET(A$1,,,SUMPRODUCT(MAX(ROW(E$1:E68)*(E2=E$1:E68))))))</f>
        <v/>
      </c>
      <c r="K69" s="25" t="str">
        <f>IF(OR(E69="",E69="!!!",F69="NEW"),"",INDEX(J$1:J68,SUMPRODUCT(MAX(ROW(E$1:E68)*(E69=E$1:E68)))))</f>
        <v/>
      </c>
      <c r="L69" s="26"/>
    </row>
    <row r="71" spans="1:12" x14ac:dyDescent="0.3">
      <c r="A71" t="s">
        <v>231</v>
      </c>
    </row>
    <row r="72" spans="1:12" x14ac:dyDescent="0.3">
      <c r="A72" t="s">
        <v>232</v>
      </c>
      <c r="E72" s="21" t="str">
        <f>IF(D72="?OLD","!!!","")</f>
        <v/>
      </c>
      <c r="F72" s="22" t="str">
        <f>IF(OR(E72="",E72="!!!"),"",IF(NOT(ISNA(VLOOKUP(E72,E$1:E71,1,FALSE()))),"OLD",IF(AND(E72&lt;&gt;"",E72&lt;&gt;"!!!"),"NEW","")))</f>
        <v/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/>
      </c>
      <c r="H72" s="24" t="str">
        <f ca="1">IF(J72&lt;&gt;1,"",IF(I72="SBJ","CB","?"))</f>
        <v/>
      </c>
      <c r="I72" s="25" t="str">
        <f>IF(OR(E72="",E72="!!!",F72="NEW"),"",INDEX(B$2:B71,-1+SUMPRODUCT(MAX(ROW(E$2:E71)*(E72=E$2:E71)))))</f>
        <v/>
      </c>
      <c r="J72" s="25" t="str">
        <f ca="1">IF(OR(E72="",E72="!!!",F72="NEW"),"",COUNTBLANK(OFFSET(A$1,,,SUMPRODUCT(MAX(ROW(E$2:E72)*(E72=E$2:E72)))))-COUNTBLANK(OFFSET(A$1,,,SUMPRODUCT(MAX(ROW(E$1:E71)*(E2=E$1:E71))))))</f>
        <v/>
      </c>
      <c r="K72" s="25" t="str">
        <f>IF(OR(E72="",E72="!!!",F72="NEW"),"",INDEX(J$1:J71,SUMPRODUCT(MAX(ROW(E$1:E71)*(E72=E$1:E71)))))</f>
        <v/>
      </c>
      <c r="L72" s="26"/>
    </row>
    <row r="73" spans="1:12" x14ac:dyDescent="0.3">
      <c r="A73" t="s">
        <v>233</v>
      </c>
      <c r="B73" s="20" t="s">
        <v>166</v>
      </c>
      <c r="C73" s="20" t="s">
        <v>175</v>
      </c>
      <c r="E73" s="21" t="s">
        <v>511</v>
      </c>
      <c r="F73" s="22" t="str">
        <f>IF(OR(E73="",E73="!!!"),"",IF(NOT(ISNA(VLOOKUP(E73,E$1:E72,1,FALSE()))),"OLD",IF(AND(E73&lt;&gt;"",E73&lt;&gt;"!!!"),"NEW","")))</f>
        <v>NEW</v>
      </c>
      <c r="G73" s="23" t="s">
        <v>510</v>
      </c>
      <c r="H73" s="24" t="str">
        <f ca="1">IF(J73&lt;&gt;1,"",IF(I73="SBJ","CB","?"))</f>
        <v/>
      </c>
      <c r="I73" s="25" t="str">
        <f>IF(OR(E73="",E73="!!!",F73="NEW"),"",INDEX(B$2:B72,-1+SUMPRODUCT(MAX(ROW(E$2:E72)*(E73=E$2:E72)))))</f>
        <v/>
      </c>
      <c r="J73" s="25" t="str">
        <f ca="1">IF(OR(E73="",E73="!!!",F73="NEW"),"",COUNTBLANK(OFFSET(A$1,,,SUMPRODUCT(MAX(ROW(E$2:E73)*(E73=E$2:E73)))))-COUNTBLANK(OFFSET(A$1,,,SUMPRODUCT(MAX(ROW(E$1:E72)*(E2=E$1:E72))))))</f>
        <v/>
      </c>
      <c r="K73" s="25" t="str">
        <f>IF(OR(E73="",E73="!!!",F73="NEW"),"",INDEX(J$1:J72,SUMPRODUCT(MAX(ROW(E$1:E72)*(E73=E$1:E72)))))</f>
        <v/>
      </c>
      <c r="L73" s="26" t="s">
        <v>473</v>
      </c>
    </row>
    <row r="74" spans="1:12" x14ac:dyDescent="0.3">
      <c r="A74" t="s">
        <v>234</v>
      </c>
      <c r="E74" s="21"/>
      <c r="F74" s="22" t="str">
        <f>IF(OR(E74="",E74="!!!"),"",IF(NOT(ISNA(VLOOKUP(E74,E$1:E73,1,FALSE()))),"OLD",IF(AND(E74&lt;&gt;"",E74&lt;&gt;"!!!"),"NEW","")))</f>
        <v/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/>
      </c>
      <c r="H74" s="24" t="str">
        <f ca="1">IF(J74&lt;&gt;1,"",IF(I74="SBJ","CB","?"))</f>
        <v/>
      </c>
      <c r="I74" s="25" t="str">
        <f>IF(OR(E74="",E74="!!!",F74="NEW"),"",INDEX(B$2:B73,-1+SUMPRODUCT(MAX(ROW(E$2:E73)*(E74=E$2:E73)))))</f>
        <v/>
      </c>
      <c r="J74" s="25" t="str">
        <f ca="1">IF(OR(E74="",E74="!!!",F74="NEW"),"",COUNTBLANK(OFFSET(A$1,,,SUMPRODUCT(MAX(ROW(E$2:E74)*(E74=E$2:E74)))))-COUNTBLANK(OFFSET(A$1,,,SUMPRODUCT(MAX(ROW(E$1:E73)*(E2=E$1:E73))))))</f>
        <v/>
      </c>
      <c r="K74" s="25" t="str">
        <f>IF(OR(E74="",E74="!!!",F74="NEW"),"",INDEX(J$1:J73,SUMPRODUCT(MAX(ROW(E$1:E73)*(E74=E$1:E73)))))</f>
        <v/>
      </c>
      <c r="L74" s="26"/>
    </row>
    <row r="75" spans="1:12" x14ac:dyDescent="0.3">
      <c r="A75" t="s">
        <v>235</v>
      </c>
      <c r="E75" s="21" t="str">
        <f>IF(D75="?OLD","!!!","")</f>
        <v/>
      </c>
      <c r="F75" s="22" t="str">
        <f>IF(OR(E75="",E75="!!!"),"",IF(NOT(ISNA(VLOOKUP(E75,E$1:E74,1,FALSE()))),"OLD",IF(AND(E75&lt;&gt;"",E75&lt;&gt;"!!!"),"NEW","")))</f>
        <v/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/>
      </c>
      <c r="H75" s="24" t="str">
        <f ca="1">IF(J75&lt;&gt;1,"",IF(I75="SBJ","CB","?"))</f>
        <v/>
      </c>
      <c r="I75" s="25" t="str">
        <f>IF(OR(E75="",E75="!!!",F75="NEW"),"",INDEX(B$2:B74,-1+SUMPRODUCT(MAX(ROW(E$2:E74)*(E75=E$2:E74)))))</f>
        <v/>
      </c>
      <c r="J75" s="25" t="str">
        <f ca="1">IF(OR(E75="",E75="!!!",F75="NEW"),"",COUNTBLANK(OFFSET(A$1,,,SUMPRODUCT(MAX(ROW(E$2:E75)*(E75=E$2:E75)))))-COUNTBLANK(OFFSET(A$1,,,SUMPRODUCT(MAX(ROW(E$1:E74)*(E2=E$1:E74))))))</f>
        <v/>
      </c>
      <c r="K75" s="25" t="str">
        <f>IF(OR(E75="",E75="!!!",F75="NEW"),"",INDEX(J$1:J74,SUMPRODUCT(MAX(ROW(E$1:E74)*(E75=E$1:E74)))))</f>
        <v/>
      </c>
      <c r="L75" s="26"/>
    </row>
    <row r="76" spans="1:12" x14ac:dyDescent="0.3">
      <c r="A76" t="s">
        <v>197</v>
      </c>
      <c r="E76" s="21" t="str">
        <f>IF(D76="?OLD","!!!","")</f>
        <v/>
      </c>
      <c r="F76" s="22" t="str">
        <f>IF(OR(E76="",E76="!!!"),"",IF(NOT(ISNA(VLOOKUP(E76,E$1:E75,1,FALSE()))),"OLD",IF(AND(E76&lt;&gt;"",E76&lt;&gt;"!!!"),"NEW","")))</f>
        <v/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/>
      </c>
      <c r="H76" s="24" t="str">
        <f ca="1">IF(J76&lt;&gt;1,"",IF(I76="SBJ","CB","?"))</f>
        <v/>
      </c>
      <c r="I76" s="25" t="str">
        <f>IF(OR(E76="",E76="!!!",F76="NEW"),"",INDEX(B$2:B75,-1+SUMPRODUCT(MAX(ROW(E$2:E75)*(E76=E$2:E75)))))</f>
        <v/>
      </c>
      <c r="J76" s="25" t="str">
        <f ca="1">IF(OR(E76="",E76="!!!",F76="NEW"),"",COUNTBLANK(OFFSET(A$1,,,SUMPRODUCT(MAX(ROW(E$2:E76)*(E76=E$2:E76)))))-COUNTBLANK(OFFSET(A$1,,,SUMPRODUCT(MAX(ROW(E$1:E75)*(E2=E$1:E75))))))</f>
        <v/>
      </c>
      <c r="K76" s="25" t="str">
        <f>IF(OR(E76="",E76="!!!",F76="NEW"),"",INDEX(J$1:J75,SUMPRODUCT(MAX(ROW(E$1:E75)*(E76=E$1:E75)))))</f>
        <v/>
      </c>
      <c r="L76" s="26"/>
    </row>
    <row r="78" spans="1:12" x14ac:dyDescent="0.3">
      <c r="A78" t="s">
        <v>236</v>
      </c>
    </row>
    <row r="79" spans="1:12" x14ac:dyDescent="0.3">
      <c r="A79" t="s">
        <v>237</v>
      </c>
      <c r="E79" s="21" t="str">
        <f t="shared" ref="E79:E95" si="10">IF(D79="?OLD","!!!","")</f>
        <v/>
      </c>
      <c r="F79" s="22" t="str">
        <f>IF(OR(E79="",E79="!!!"),"",IF(NOT(ISNA(VLOOKUP(E79,E$1:E78,1,FALSE()))),"OLD",IF(AND(E79&lt;&gt;"",E79&lt;&gt;"!!!"),"NEW","")))</f>
        <v/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/>
      </c>
      <c r="H79" s="24" t="str">
        <f t="shared" ref="H79:H95" ca="1" si="11">IF(J79&lt;&gt;1,"",IF(I79="SBJ","CB","?"))</f>
        <v/>
      </c>
      <c r="I79" s="25" t="str">
        <f>IF(OR(E79="",E79="!!!",F79="NEW"),"",INDEX(B$2:B78,-1+SUMPRODUCT(MAX(ROW(E$2:E78)*(E79=E$2:E78)))))</f>
        <v/>
      </c>
      <c r="J79" s="25" t="str">
        <f ca="1">IF(OR(E79="",E79="!!!",F79="NEW"),"",COUNTBLANK(OFFSET(A$1,,,SUMPRODUCT(MAX(ROW(E$2:E79)*(E79=E$2:E79)))))-COUNTBLANK(OFFSET(A$1,,,SUMPRODUCT(MAX(ROW(E$1:E78)*(E2=E$1:E78))))))</f>
        <v/>
      </c>
      <c r="K79" s="25" t="str">
        <f>IF(OR(E79="",E79="!!!",F79="NEW"),"",INDEX(J$1:J78,SUMPRODUCT(MAX(ROW(E$1:E78)*(E79=E$1:E78)))))</f>
        <v/>
      </c>
      <c r="L79" s="26"/>
    </row>
    <row r="80" spans="1:12" x14ac:dyDescent="0.3">
      <c r="A80" t="s">
        <v>238</v>
      </c>
      <c r="E80" s="21" t="str">
        <f t="shared" si="10"/>
        <v/>
      </c>
      <c r="F80" s="22" t="str">
        <f>IF(OR(E80="",E80="!!!"),"",IF(NOT(ISNA(VLOOKUP(E80,E$1:E79,1,FALSE()))),"OLD",IF(AND(E80&lt;&gt;"",E80&lt;&gt;"!!!"),"NEW","")))</f>
        <v/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/>
      </c>
      <c r="H80" s="24" t="str">
        <f t="shared" ca="1" si="11"/>
        <v/>
      </c>
      <c r="I80" s="25" t="str">
        <f>IF(OR(E80="",E80="!!!",F80="NEW"),"",INDEX(B$2:B79,-1+SUMPRODUCT(MAX(ROW(E$2:E79)*(E80=E$2:E79)))))</f>
        <v/>
      </c>
      <c r="J80" s="25" t="str">
        <f ca="1">IF(OR(E80="",E80="!!!",F80="NEW"),"",COUNTBLANK(OFFSET(A$1,,,SUMPRODUCT(MAX(ROW(E$2:E80)*(E80=E$2:E80)))))-COUNTBLANK(OFFSET(A$1,,,SUMPRODUCT(MAX(ROW(E$1:E79)*(E2=E$1:E79))))))</f>
        <v/>
      </c>
      <c r="K80" s="25" t="str">
        <f>IF(OR(E80="",E80="!!!",F80="NEW"),"",INDEX(J$1:J79,SUMPRODUCT(MAX(ROW(E$1:E79)*(E80=E$1:E79)))))</f>
        <v/>
      </c>
      <c r="L80" s="26"/>
    </row>
    <row r="81" spans="1:12" x14ac:dyDescent="0.3">
      <c r="A81" t="s">
        <v>239</v>
      </c>
      <c r="B81" s="20" t="s">
        <v>183</v>
      </c>
      <c r="C81" s="20" t="s">
        <v>175</v>
      </c>
      <c r="E81" s="21" t="str">
        <f t="shared" si="10"/>
        <v/>
      </c>
      <c r="F81" s="22" t="str">
        <f>IF(OR(E81="",E81="!!!"),"",IF(NOT(ISNA(VLOOKUP(E81,E$1:E80,1,FALSE()))),"OLD",IF(AND(E81&lt;&gt;"",E81&lt;&gt;"!!!"),"NEW","")))</f>
        <v/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/>
      </c>
      <c r="H81" s="24" t="str">
        <f t="shared" ca="1" si="11"/>
        <v/>
      </c>
      <c r="I81" s="25" t="str">
        <f>IF(OR(E81="",E81="!!!",F81="NEW"),"",INDEX(B$2:B80,-1+SUMPRODUCT(MAX(ROW(E$2:E80)*(E81=E$2:E80)))))</f>
        <v/>
      </c>
      <c r="J81" s="25" t="str">
        <f ca="1">IF(OR(E81="",E81="!!!",F81="NEW"),"",COUNTBLANK(OFFSET(A$1,,,SUMPRODUCT(MAX(ROW(E$2:E81)*(E81=E$2:E81)))))-COUNTBLANK(OFFSET(A$1,,,SUMPRODUCT(MAX(ROW(E$1:E80)*(E2=E$1:E80))))))</f>
        <v/>
      </c>
      <c r="K81" s="25" t="str">
        <f>IF(OR(E81="",E81="!!!",F81="NEW"),"",INDEX(J$1:J80,SUMPRODUCT(MAX(ROW(E$1:E80)*(E81=E$1:E80)))))</f>
        <v/>
      </c>
      <c r="L81" s="26"/>
    </row>
    <row r="82" spans="1:12" x14ac:dyDescent="0.3">
      <c r="A82" t="s">
        <v>240</v>
      </c>
      <c r="E82" s="21" t="str">
        <f t="shared" si="10"/>
        <v/>
      </c>
      <c r="F82" s="22" t="str">
        <f>IF(OR(E82="",E82="!!!"),"",IF(NOT(ISNA(VLOOKUP(E82,E$1:E81,1,FALSE()))),"OLD",IF(AND(E82&lt;&gt;"",E82&lt;&gt;"!!!"),"NEW","")))</f>
        <v/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/>
      </c>
      <c r="H82" s="24" t="str">
        <f t="shared" ca="1" si="11"/>
        <v/>
      </c>
      <c r="I82" s="25" t="str">
        <f>IF(OR(E82="",E82="!!!",F82="NEW"),"",INDEX(B$2:B81,-1+SUMPRODUCT(MAX(ROW(E$2:E81)*(E82=E$2:E81)))))</f>
        <v/>
      </c>
      <c r="J82" s="25" t="str">
        <f ca="1">IF(OR(E82="",E82="!!!",F82="NEW"),"",COUNTBLANK(OFFSET(A$1,,,SUMPRODUCT(MAX(ROW(E$2:E82)*(E82=E$2:E82)))))-COUNTBLANK(OFFSET(A$1,,,SUMPRODUCT(MAX(ROW(E$1:E81)*(E2=E$1:E81))))))</f>
        <v/>
      </c>
      <c r="K82" s="25" t="str">
        <f>IF(OR(E82="",E82="!!!",F82="NEW"),"",INDEX(J$1:J81,SUMPRODUCT(MAX(ROW(E$1:E81)*(E82=E$1:E81)))))</f>
        <v/>
      </c>
      <c r="L82" s="26"/>
    </row>
    <row r="83" spans="1:12" x14ac:dyDescent="0.3">
      <c r="A83" t="s">
        <v>241</v>
      </c>
      <c r="B83" s="20" t="s">
        <v>166</v>
      </c>
      <c r="C83" s="20" t="s">
        <v>242</v>
      </c>
      <c r="D83" s="20" t="s">
        <v>171</v>
      </c>
      <c r="E83" s="21"/>
      <c r="F83" s="22" t="s">
        <v>471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/>
      </c>
      <c r="H83" s="24" t="str">
        <f t="shared" ca="1" si="11"/>
        <v/>
      </c>
      <c r="I83" s="25" t="str">
        <f>IF(OR(E83="",E83="!!!",F83="NEW"),"",INDEX(B$2:B82,-1+SUMPRODUCT(MAX(ROW(E$2:E82)*(E83=E$2:E82)))))</f>
        <v/>
      </c>
      <c r="J83" s="25" t="str">
        <f ca="1">IF(OR(E83="",E83="!!!",F83="NEW"),"",COUNTBLANK(OFFSET(A$1,,,SUMPRODUCT(MAX(ROW(E$2:E83)*(E83=E$2:E83)))))-COUNTBLANK(OFFSET(A$1,,,SUMPRODUCT(MAX(ROW(E$1:E82)*(E2=E$1:E82))))))</f>
        <v/>
      </c>
      <c r="K83" s="25" t="str">
        <f>IF(OR(E83="",E83="!!!",F83="NEW"),"",INDEX(J$1:J82,SUMPRODUCT(MAX(ROW(E$1:E82)*(E83=E$1:E82)))))</f>
        <v/>
      </c>
      <c r="L83" s="26"/>
    </row>
    <row r="84" spans="1:12" x14ac:dyDescent="0.3">
      <c r="A84" t="s">
        <v>243</v>
      </c>
      <c r="E84" s="21" t="str">
        <f t="shared" si="10"/>
        <v/>
      </c>
      <c r="F84" s="22" t="str">
        <f>IF(OR(E84="",E84="!!!"),"",IF(NOT(ISNA(VLOOKUP(E84,E$1:E83,1,FALSE()))),"OLD",IF(AND(E84&lt;&gt;"",E84&lt;&gt;"!!!"),"NEW","")))</f>
        <v/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/>
      </c>
      <c r="H84" s="24" t="str">
        <f t="shared" ca="1" si="11"/>
        <v/>
      </c>
      <c r="I84" s="25" t="str">
        <f>IF(OR(E84="",E84="!!!",F84="NEW"),"",INDEX(B$2:B83,-1+SUMPRODUCT(MAX(ROW(E$2:E83)*(E84=E$2:E83)))))</f>
        <v/>
      </c>
      <c r="J84" s="25" t="str">
        <f ca="1">IF(OR(E84="",E84="!!!",F84="NEW"),"",COUNTBLANK(OFFSET(A$1,,,SUMPRODUCT(MAX(ROW(E$2:E84)*(E84=E$2:E84)))))-COUNTBLANK(OFFSET(A$1,,,SUMPRODUCT(MAX(ROW(E$1:E83)*(E2=E$1:E83))))))</f>
        <v/>
      </c>
      <c r="K84" s="25" t="str">
        <f>IF(OR(E84="",E84="!!!",F84="NEW"),"",INDEX(J$1:J83,SUMPRODUCT(MAX(ROW(E$1:E83)*(E84=E$1:E83)))))</f>
        <v/>
      </c>
      <c r="L84" s="26"/>
    </row>
    <row r="85" spans="1:12" x14ac:dyDescent="0.3">
      <c r="A85" t="s">
        <v>193</v>
      </c>
      <c r="E85" s="21" t="str">
        <f t="shared" si="10"/>
        <v/>
      </c>
      <c r="F85" s="22" t="str">
        <f>IF(OR(E85="",E85="!!!"),"",IF(NOT(ISNA(VLOOKUP(E85,E$1:E84,1,FALSE()))),"OLD",IF(AND(E85&lt;&gt;"",E85&lt;&gt;"!!!"),"NEW","")))</f>
        <v/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/>
      </c>
      <c r="H85" s="24" t="str">
        <f t="shared" ca="1" si="11"/>
        <v/>
      </c>
      <c r="I85" s="25" t="str">
        <f>IF(OR(E85="",E85="!!!",F85="NEW"),"",INDEX(B$2:B84,-1+SUMPRODUCT(MAX(ROW(E$2:E84)*(E85=E$2:E84)))))</f>
        <v/>
      </c>
      <c r="J85" s="25" t="str">
        <f ca="1">IF(OR(E85="",E85="!!!",F85="NEW"),"",COUNTBLANK(OFFSET(A$1,,,SUMPRODUCT(MAX(ROW(E$2:E85)*(E85=E$2:E85)))))-COUNTBLANK(OFFSET(A$1,,,SUMPRODUCT(MAX(ROW(E$1:E84)*(E2=E$1:E84))))))</f>
        <v/>
      </c>
      <c r="K85" s="25" t="str">
        <f>IF(OR(E85="",E85="!!!",F85="NEW"),"",INDEX(J$1:J84,SUMPRODUCT(MAX(ROW(E$1:E84)*(E85=E$1:E84)))))</f>
        <v/>
      </c>
      <c r="L85" s="26"/>
    </row>
    <row r="86" spans="1:12" x14ac:dyDescent="0.3">
      <c r="A86" t="s">
        <v>244</v>
      </c>
      <c r="B86" s="20" t="s">
        <v>183</v>
      </c>
      <c r="C86" s="20" t="s">
        <v>195</v>
      </c>
      <c r="D86" s="20" t="s">
        <v>171</v>
      </c>
      <c r="E86" s="21" t="s">
        <v>485</v>
      </c>
      <c r="F86" s="22" t="str">
        <f>IF(OR(E86="",E86="!!!"),"",IF(NOT(ISNA(VLOOKUP(E86,E$1:E85,1,FALSE()))),"OLD",IF(AND(E86&lt;&gt;"",E86&lt;&gt;"!!!"),"NEW","")))</f>
        <v>NEW</v>
      </c>
      <c r="G86" s="23" t="s">
        <v>510</v>
      </c>
      <c r="H86" s="24" t="str">
        <f t="shared" ca="1" si="11"/>
        <v/>
      </c>
      <c r="I86" s="25" t="str">
        <f>IF(OR(E86="",E86="!!!",F86="NEW"),"",INDEX(B$2:B85,-1+SUMPRODUCT(MAX(ROW(E$2:E85)*(E86=E$2:E85)))))</f>
        <v/>
      </c>
      <c r="J86" s="25" t="str">
        <f ca="1">IF(OR(E86="",E86="!!!",F86="NEW"),"",COUNTBLANK(OFFSET(A$1,,,SUMPRODUCT(MAX(ROW(E$2:E86)*(E86=E$2:E86)))))-COUNTBLANK(OFFSET(A$1,,,SUMPRODUCT(MAX(ROW(E$1:E85)*(E2=E$1:E85))))))</f>
        <v/>
      </c>
      <c r="K86" s="25" t="str">
        <f>IF(OR(E86="",E86="!!!",F86="NEW"),"",INDEX(J$1:J85,SUMPRODUCT(MAX(ROW(E$1:E85)*(E86=E$1:E85)))))</f>
        <v/>
      </c>
      <c r="L86" s="26"/>
    </row>
    <row r="87" spans="1:12" x14ac:dyDescent="0.3">
      <c r="A87" t="s">
        <v>185</v>
      </c>
      <c r="E87" s="21" t="str">
        <f t="shared" si="10"/>
        <v/>
      </c>
      <c r="F87" s="22" t="str">
        <f>IF(OR(E87="",E87="!!!"),"",IF(NOT(ISNA(VLOOKUP(E87,E$1:E86,1,FALSE()))),"OLD",IF(AND(E87&lt;&gt;"",E87&lt;&gt;"!!!"),"NEW","")))</f>
        <v/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/>
      </c>
      <c r="H87" s="24" t="str">
        <f t="shared" ca="1" si="11"/>
        <v/>
      </c>
      <c r="I87" s="25" t="str">
        <f>IF(OR(E87="",E87="!!!",F87="NEW"),"",INDEX(B$2:B86,-1+SUMPRODUCT(MAX(ROW(E$2:E86)*(E87=E$2:E86)))))</f>
        <v/>
      </c>
      <c r="J87" s="25" t="str">
        <f ca="1">IF(OR(E87="",E87="!!!",F87="NEW"),"",COUNTBLANK(OFFSET(A$1,,,SUMPRODUCT(MAX(ROW(E$2:E87)*(E87=E$2:E87)))))-COUNTBLANK(OFFSET(A$1,,,SUMPRODUCT(MAX(ROW(E$1:E86)*(E2=E$1:E86))))))</f>
        <v/>
      </c>
      <c r="K87" s="25" t="str">
        <f>IF(OR(E87="",E87="!!!",F87="NEW"),"",INDEX(J$1:J86,SUMPRODUCT(MAX(ROW(E$1:E86)*(E87=E$1:E86)))))</f>
        <v/>
      </c>
      <c r="L87" s="26"/>
    </row>
    <row r="88" spans="1:12" x14ac:dyDescent="0.3">
      <c r="A88" t="s">
        <v>165</v>
      </c>
      <c r="B88" s="20" t="s">
        <v>209</v>
      </c>
      <c r="C88" s="20" t="s">
        <v>167</v>
      </c>
      <c r="E88" s="21" t="str">
        <f t="shared" si="10"/>
        <v/>
      </c>
      <c r="F88" s="22" t="str">
        <f>IF(OR(E88="",E88="!!!"),"",IF(NOT(ISNA(VLOOKUP(E88,E$1:E87,1,FALSE()))),"OLD",IF(AND(E88&lt;&gt;"",E88&lt;&gt;"!!!"),"NEW","")))</f>
        <v/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/>
      </c>
      <c r="H88" s="24" t="str">
        <f t="shared" ca="1" si="11"/>
        <v/>
      </c>
      <c r="I88" s="25" t="str">
        <f>IF(OR(E88="",E88="!!!",F88="NEW"),"",INDEX(B$2:B87,-1+SUMPRODUCT(MAX(ROW(E$2:E87)*(E88=E$2:E87)))))</f>
        <v/>
      </c>
      <c r="J88" s="25" t="str">
        <f ca="1">IF(OR(E88="",E88="!!!",F88="NEW"),"",COUNTBLANK(OFFSET(A$1,,,SUMPRODUCT(MAX(ROW(E$2:E88)*(E88=E$2:E88)))))-COUNTBLANK(OFFSET(A$1,,,SUMPRODUCT(MAX(ROW(E$1:E87)*(E2=E$1:E87))))))</f>
        <v/>
      </c>
      <c r="K88" s="25" t="str">
        <f>IF(OR(E88="",E88="!!!",F88="NEW"),"",INDEX(J$1:J87,SUMPRODUCT(MAX(ROW(E$1:E87)*(E88=E$1:E87)))))</f>
        <v/>
      </c>
      <c r="L88" s="26"/>
    </row>
    <row r="89" spans="1:12" x14ac:dyDescent="0.3">
      <c r="A89" t="s">
        <v>245</v>
      </c>
      <c r="E89" s="21" t="str">
        <f t="shared" si="10"/>
        <v/>
      </c>
      <c r="F89" s="22" t="str">
        <f>IF(OR(E89="",E89="!!!"),"",IF(NOT(ISNA(VLOOKUP(E89,E$1:E88,1,FALSE()))),"OLD",IF(AND(E89&lt;&gt;"",E89&lt;&gt;"!!!"),"NEW","")))</f>
        <v/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/>
      </c>
      <c r="H89" s="24" t="str">
        <f t="shared" ca="1" si="11"/>
        <v/>
      </c>
      <c r="I89" s="25" t="str">
        <f>IF(OR(E89="",E89="!!!",F89="NEW"),"",INDEX(B$2:B88,-1+SUMPRODUCT(MAX(ROW(E$2:E88)*(E89=E$2:E88)))))</f>
        <v/>
      </c>
      <c r="J89" s="25" t="str">
        <f ca="1">IF(OR(E89="",E89="!!!",F89="NEW"),"",COUNTBLANK(OFFSET(A$1,,,SUMPRODUCT(MAX(ROW(E$2:E89)*(E89=E$2:E89)))))-COUNTBLANK(OFFSET(A$1,,,SUMPRODUCT(MAX(ROW(E$1:E88)*(E2=E$1:E88))))))</f>
        <v/>
      </c>
      <c r="K89" s="25" t="str">
        <f>IF(OR(E89="",E89="!!!",F89="NEW"),"",INDEX(J$1:J88,SUMPRODUCT(MAX(ROW(E$1:E88)*(E89=E$1:E88)))))</f>
        <v/>
      </c>
      <c r="L89" s="26"/>
    </row>
    <row r="90" spans="1:12" x14ac:dyDescent="0.3">
      <c r="A90" t="s">
        <v>193</v>
      </c>
      <c r="E90" s="21" t="str">
        <f t="shared" si="10"/>
        <v/>
      </c>
      <c r="F90" s="22" t="str">
        <f>IF(OR(E90="",E90="!!!"),"",IF(NOT(ISNA(VLOOKUP(E90,E$1:E89,1,FALSE()))),"OLD",IF(AND(E90&lt;&gt;"",E90&lt;&gt;"!!!"),"NEW","")))</f>
        <v/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/>
      </c>
      <c r="H90" s="24" t="str">
        <f t="shared" ca="1" si="11"/>
        <v/>
      </c>
      <c r="I90" s="25" t="str">
        <f>IF(OR(E90="",E90="!!!",F90="NEW"),"",INDEX(B$2:B89,-1+SUMPRODUCT(MAX(ROW(E$2:E89)*(E90=E$2:E89)))))</f>
        <v/>
      </c>
      <c r="J90" s="25" t="str">
        <f ca="1">IF(OR(E90="",E90="!!!",F90="NEW"),"",COUNTBLANK(OFFSET(A$1,,,SUMPRODUCT(MAX(ROW(E$2:E90)*(E90=E$2:E90)))))-COUNTBLANK(OFFSET(A$1,,,SUMPRODUCT(MAX(ROW(E$1:E89)*(E2=E$1:E89))))))</f>
        <v/>
      </c>
      <c r="K90" s="25" t="str">
        <f>IF(OR(E90="",E90="!!!",F90="NEW"),"",INDEX(J$1:J89,SUMPRODUCT(MAX(ROW(E$1:E89)*(E90=E$1:E89)))))</f>
        <v/>
      </c>
      <c r="L90" s="26"/>
    </row>
    <row r="91" spans="1:12" x14ac:dyDescent="0.3">
      <c r="A91" t="s">
        <v>246</v>
      </c>
      <c r="E91" s="21" t="str">
        <f t="shared" si="10"/>
        <v/>
      </c>
      <c r="F91" s="22" t="str">
        <f>IF(OR(E91="",E91="!!!"),"",IF(NOT(ISNA(VLOOKUP(E91,E$1:E90,1,FALSE()))),"OLD",IF(AND(E91&lt;&gt;"",E91&lt;&gt;"!!!"),"NEW","")))</f>
        <v/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/>
      </c>
      <c r="H91" s="24" t="str">
        <f t="shared" ca="1" si="11"/>
        <v/>
      </c>
      <c r="I91" s="25" t="str">
        <f>IF(OR(E91="",E91="!!!",F91="NEW"),"",INDEX(B$2:B90,-1+SUMPRODUCT(MAX(ROW(E$2:E90)*(E91=E$2:E90)))))</f>
        <v/>
      </c>
      <c r="J91" s="25" t="str">
        <f ca="1">IF(OR(E91="",E91="!!!",F91="NEW"),"",COUNTBLANK(OFFSET(A$1,,,SUMPRODUCT(MAX(ROW(E$2:E91)*(E91=E$2:E91)))))-COUNTBLANK(OFFSET(A$1,,,SUMPRODUCT(MAX(ROW(E$1:E90)*(E2=E$1:E90))))))</f>
        <v/>
      </c>
      <c r="K91" s="25" t="str">
        <f>IF(OR(E91="",E91="!!!",F91="NEW"),"",INDEX(J$1:J90,SUMPRODUCT(MAX(ROW(E$1:E90)*(E91=E$1:E90)))))</f>
        <v/>
      </c>
      <c r="L91" s="26"/>
    </row>
    <row r="92" spans="1:12" x14ac:dyDescent="0.3">
      <c r="A92" t="s">
        <v>173</v>
      </c>
      <c r="B92" s="20" t="s">
        <v>215</v>
      </c>
      <c r="C92" s="20" t="s">
        <v>195</v>
      </c>
      <c r="D92" s="20" t="s">
        <v>171</v>
      </c>
      <c r="E92" s="21" t="s">
        <v>472</v>
      </c>
      <c r="F92" s="22" t="str">
        <f>IF(OR(E92="",E92="!!!"),"",IF(NOT(ISNA(VLOOKUP(E92,E$1:E91,1,FALSE()))),"OLD",IF(AND(E92&lt;&gt;"",E92&lt;&gt;"!!!"),"NEW","")))</f>
        <v>OLD</v>
      </c>
      <c r="G92" s="23" t="s">
        <v>509</v>
      </c>
      <c r="H92" s="24" t="str">
        <f t="shared" ca="1" si="11"/>
        <v/>
      </c>
      <c r="I92" s="25" t="str">
        <f>IF(OR(E92="",E92="!!!",F92="NEW"),"",INDEX(B$2:B91,-1+SUMPRODUCT(MAX(ROW(E$2:E91)*(E92=E$2:E91)))))</f>
        <v>OBJ</v>
      </c>
      <c r="J92" s="25">
        <f ca="1">IF(OR(E92="",E92="!!!",F92="NEW"),"",COUNTBLANK(OFFSET(A$1,,,SUMPRODUCT(MAX(ROW(E$2:E92)*(E92=E$2:E92)))))-COUNTBLANK(OFFSET(A$1,,,SUMPRODUCT(MAX(ROW(E$1:E91)*(E2=E$1:E91))))))</f>
        <v>0</v>
      </c>
      <c r="K92" s="25" t="str">
        <f ca="1">IF(OR(E92="",E92="!!!",F92="NEW"),"",INDEX(J$1:J91,SUMPRODUCT(MAX(ROW(E$1:E91)*(E92=E$1:E91)))))</f>
        <v/>
      </c>
      <c r="L92" s="26"/>
    </row>
    <row r="93" spans="1:12" x14ac:dyDescent="0.3">
      <c r="A93" t="s">
        <v>247</v>
      </c>
      <c r="E93" s="21" t="str">
        <f t="shared" si="10"/>
        <v/>
      </c>
      <c r="F93" s="22" t="str">
        <f>IF(OR(E93="",E93="!!!"),"",IF(NOT(ISNA(VLOOKUP(E93,E$1:E92,1,FALSE()))),"OLD",IF(AND(E93&lt;&gt;"",E93&lt;&gt;"!!!"),"NEW","")))</f>
        <v/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/>
      </c>
      <c r="H93" s="24" t="str">
        <f t="shared" ca="1" si="11"/>
        <v/>
      </c>
      <c r="I93" s="25" t="str">
        <f>IF(OR(E93="",E93="!!!",F93="NEW"),"",INDEX(B$2:B92,-1+SUMPRODUCT(MAX(ROW(E$2:E92)*(E93=E$2:E92)))))</f>
        <v/>
      </c>
      <c r="J93" s="25" t="str">
        <f ca="1">IF(OR(E93="",E93="!!!",F93="NEW"),"",COUNTBLANK(OFFSET(A$1,,,SUMPRODUCT(MAX(ROW(E$2:E93)*(E93=E$2:E93)))))-COUNTBLANK(OFFSET(A$1,,,SUMPRODUCT(MAX(ROW(E$1:E92)*(E2=E$1:E92))))))</f>
        <v/>
      </c>
      <c r="K93" s="25" t="str">
        <f>IF(OR(E93="",E93="!!!",F93="NEW"),"",INDEX(J$1:J92,SUMPRODUCT(MAX(ROW(E$1:E92)*(E93=E$1:E92)))))</f>
        <v/>
      </c>
      <c r="L93" s="26"/>
    </row>
    <row r="94" spans="1:12" x14ac:dyDescent="0.3">
      <c r="A94" t="s">
        <v>13</v>
      </c>
      <c r="E94" s="21" t="str">
        <f t="shared" si="10"/>
        <v/>
      </c>
      <c r="F94" s="22" t="str">
        <f>IF(OR(E94="",E94="!!!"),"",IF(NOT(ISNA(VLOOKUP(E94,E$1:E93,1,FALSE()))),"OLD",IF(AND(E94&lt;&gt;"",E94&lt;&gt;"!!!"),"NEW","")))</f>
        <v/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/>
      </c>
      <c r="H94" s="24" t="str">
        <f t="shared" ca="1" si="11"/>
        <v/>
      </c>
      <c r="I94" s="25" t="str">
        <f>IF(OR(E94="",E94="!!!",F94="NEW"),"",INDEX(B$2:B93,-1+SUMPRODUCT(MAX(ROW(E$2:E93)*(E94=E$2:E93)))))</f>
        <v/>
      </c>
      <c r="J94" s="25" t="str">
        <f ca="1">IF(OR(E94="",E94="!!!",F94="NEW"),"",COUNTBLANK(OFFSET(A$1,,,SUMPRODUCT(MAX(ROW(E$2:E94)*(E94=E$2:E94)))))-COUNTBLANK(OFFSET(A$1,,,SUMPRODUCT(MAX(ROW(E$1:E93)*(E2=E$1:E93))))))</f>
        <v/>
      </c>
      <c r="K94" s="25" t="str">
        <f>IF(OR(E94="",E94="!!!",F94="NEW"),"",INDEX(J$1:J93,SUMPRODUCT(MAX(ROW(E$1:E93)*(E94=E$1:E93)))))</f>
        <v/>
      </c>
      <c r="L94" s="26"/>
    </row>
    <row r="95" spans="1:12" x14ac:dyDescent="0.3">
      <c r="A95" t="s">
        <v>176</v>
      </c>
      <c r="E95" s="21" t="str">
        <f t="shared" si="10"/>
        <v/>
      </c>
      <c r="F95" s="22" t="str">
        <f>IF(OR(E95="",E95="!!!"),"",IF(NOT(ISNA(VLOOKUP(E95,E$1:E94,1,FALSE()))),"OLD",IF(AND(E95&lt;&gt;"",E95&lt;&gt;"!!!"),"NEW","")))</f>
        <v/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/>
      </c>
      <c r="H95" s="24" t="str">
        <f t="shared" ca="1" si="11"/>
        <v/>
      </c>
      <c r="I95" s="25" t="str">
        <f>IF(OR(E95="",E95="!!!",F95="NEW"),"",INDEX(B$2:B94,-1+SUMPRODUCT(MAX(ROW(E$2:E94)*(E95=E$2:E94)))))</f>
        <v/>
      </c>
      <c r="J95" s="25" t="str">
        <f ca="1">IF(OR(E95="",E95="!!!",F95="NEW"),"",COUNTBLANK(OFFSET(A$1,,,SUMPRODUCT(MAX(ROW(E$2:E95)*(E95=E$2:E95)))))-COUNTBLANK(OFFSET(A$1,,,SUMPRODUCT(MAX(ROW(E$1:E94)*(E2=E$1:E94))))))</f>
        <v/>
      </c>
      <c r="K95" s="25" t="str">
        <f>IF(OR(E95="",E95="!!!",F95="NEW"),"",INDEX(J$1:J94,SUMPRODUCT(MAX(ROW(E$1:E94)*(E95=E$1:E94)))))</f>
        <v/>
      </c>
      <c r="L95" s="26"/>
    </row>
    <row r="97" spans="1:12" x14ac:dyDescent="0.3">
      <c r="A97" t="s">
        <v>248</v>
      </c>
    </row>
    <row r="98" spans="1:12" x14ac:dyDescent="0.3">
      <c r="A98" t="s">
        <v>249</v>
      </c>
      <c r="E98" s="21" t="str">
        <f>IF(D98="?OLD","!!!","")</f>
        <v/>
      </c>
      <c r="F98" s="22" t="str">
        <f>IF(OR(E98="",E98="!!!"),"",IF(NOT(ISNA(VLOOKUP(E98,E$1:E97,1,FALSE()))),"OLD",IF(AND(E98&lt;&gt;"",E98&lt;&gt;"!!!"),"NEW","")))</f>
        <v/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/>
      </c>
      <c r="H98" s="24" t="str">
        <f ca="1">IF(J98&lt;&gt;1,"",IF(I98="SBJ","CB","?"))</f>
        <v/>
      </c>
      <c r="I98" s="25" t="str">
        <f>IF(OR(E98="",E98="!!!",F98="NEW"),"",INDEX(B$2:B97,-1+SUMPRODUCT(MAX(ROW(E$2:E97)*(E98=E$2:E97)))))</f>
        <v/>
      </c>
      <c r="J98" s="25" t="str">
        <f ca="1">IF(OR(E98="",E98="!!!",F98="NEW"),"",COUNTBLANK(OFFSET(A$1,,,SUMPRODUCT(MAX(ROW(E$2:E98)*(E98=E$2:E98)))))-COUNTBLANK(OFFSET(A$1,,,SUMPRODUCT(MAX(ROW(E$1:E97)*(E2=E$1:E97))))))</f>
        <v/>
      </c>
      <c r="K98" s="25" t="str">
        <f>IF(OR(E98="",E98="!!!",F98="NEW"),"",INDEX(J$1:J97,SUMPRODUCT(MAX(ROW(E$1:E97)*(E98=E$1:E97)))))</f>
        <v/>
      </c>
      <c r="L98" s="26"/>
    </row>
    <row r="99" spans="1:12" x14ac:dyDescent="0.3">
      <c r="A99" t="s">
        <v>250</v>
      </c>
      <c r="B99" s="20" t="s">
        <v>166</v>
      </c>
      <c r="C99" s="20" t="s">
        <v>229</v>
      </c>
      <c r="E99" s="21" t="str">
        <f>IF(D99="?OLD","!!!","")</f>
        <v/>
      </c>
      <c r="F99" s="22" t="str">
        <f>IF(OR(E99="",E99="!!!"),"",IF(NOT(ISNA(VLOOKUP(E99,E$1:E98,1,FALSE()))),"OLD",IF(AND(E99&lt;&gt;"",E99&lt;&gt;"!!!"),"NEW","")))</f>
        <v/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/>
      </c>
      <c r="H99" s="24" t="str">
        <f ca="1">IF(J99&lt;&gt;1,"",IF(I99="SBJ","CB","?"))</f>
        <v/>
      </c>
      <c r="I99" s="25" t="str">
        <f>IF(OR(E99="",E99="!!!",F99="NEW"),"",INDEX(B$2:B98,-1+SUMPRODUCT(MAX(ROW(E$2:E98)*(E99=E$2:E98)))))</f>
        <v/>
      </c>
      <c r="J99" s="25" t="str">
        <f ca="1">IF(OR(E99="",E99="!!!",F99="NEW"),"",COUNTBLANK(OFFSET(A$1,,,SUMPRODUCT(MAX(ROW(E$2:E99)*(E99=E$2:E99)))))-COUNTBLANK(OFFSET(A$1,,,SUMPRODUCT(MAX(ROW(E$1:E98)*(E2=E$1:E98))))))</f>
        <v/>
      </c>
      <c r="K99" s="25" t="str">
        <f>IF(OR(E99="",E99="!!!",F99="NEW"),"",INDEX(J$1:J98,SUMPRODUCT(MAX(ROW(E$1:E98)*(E99=E$1:E98)))))</f>
        <v/>
      </c>
      <c r="L99" s="26"/>
    </row>
    <row r="100" spans="1:12" x14ac:dyDescent="0.3">
      <c r="A100" t="s">
        <v>251</v>
      </c>
      <c r="E100" s="21" t="str">
        <f>IF(D100="?OLD","!!!","")</f>
        <v/>
      </c>
      <c r="F100" s="22" t="str">
        <f>IF(OR(E100="",E100="!!!"),"",IF(NOT(ISNA(VLOOKUP(E100,E$1:E99,1,FALSE()))),"OLD",IF(AND(E100&lt;&gt;"",E100&lt;&gt;"!!!"),"NEW","")))</f>
        <v/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/>
      </c>
      <c r="H100" s="24" t="str">
        <f ca="1">IF(J100&lt;&gt;1,"",IF(I100="SBJ","CB","?"))</f>
        <v/>
      </c>
      <c r="I100" s="25" t="str">
        <f>IF(OR(E100="",E100="!!!",F100="NEW"),"",INDEX(B$2:B99,-1+SUMPRODUCT(MAX(ROW(E$2:E99)*(E100=E$2:E99)))))</f>
        <v/>
      </c>
      <c r="J100" s="25" t="str">
        <f ca="1">IF(OR(E100="",E100="!!!",F100="NEW"),"",COUNTBLANK(OFFSET(A$1,,,SUMPRODUCT(MAX(ROW(E$2:E100)*(E100=E$2:E100)))))-COUNTBLANK(OFFSET(A$1,,,SUMPRODUCT(MAX(ROW(E$1:E99)*(E2=E$1:E99))))))</f>
        <v/>
      </c>
      <c r="K100" s="25" t="str">
        <f>IF(OR(E100="",E100="!!!",F100="NEW"),"",INDEX(J$1:J99,SUMPRODUCT(MAX(ROW(E$1:E99)*(E100=E$1:E99)))))</f>
        <v/>
      </c>
      <c r="L100" s="26"/>
    </row>
    <row r="101" spans="1:12" x14ac:dyDescent="0.3">
      <c r="A101" t="s">
        <v>252</v>
      </c>
      <c r="E101" s="21" t="str">
        <f>IF(D101="?OLD","!!!","")</f>
        <v/>
      </c>
      <c r="F101" s="22" t="str">
        <f>IF(OR(E101="",E101="!!!"),"",IF(NOT(ISNA(VLOOKUP(E101,E$1:E100,1,FALSE()))),"OLD",IF(AND(E101&lt;&gt;"",E101&lt;&gt;"!!!"),"NEW","")))</f>
        <v/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/>
      </c>
      <c r="H101" s="24" t="str">
        <f ca="1">IF(J101&lt;&gt;1,"",IF(I101="SBJ","CB","?"))</f>
        <v/>
      </c>
      <c r="I101" s="25" t="str">
        <f>IF(OR(E101="",E101="!!!",F101="NEW"),"",INDEX(B$2:B100,-1+SUMPRODUCT(MAX(ROW(E$2:E100)*(E101=E$2:E100)))))</f>
        <v/>
      </c>
      <c r="J101" s="25" t="str">
        <f ca="1">IF(OR(E101="",E101="!!!",F101="NEW"),"",COUNTBLANK(OFFSET(A$1,,,SUMPRODUCT(MAX(ROW(E$2:E101)*(E101=E$2:E101)))))-COUNTBLANK(OFFSET(A$1,,,SUMPRODUCT(MAX(ROW(E$1:E100)*(E2=E$1:E100))))))</f>
        <v/>
      </c>
      <c r="K101" s="25" t="str">
        <f>IF(OR(E101="",E101="!!!",F101="NEW"),"",INDEX(J$1:J100,SUMPRODUCT(MAX(ROW(E$1:E100)*(E101=E$1:E100)))))</f>
        <v/>
      </c>
      <c r="L101" s="26"/>
    </row>
    <row r="102" spans="1:12" x14ac:dyDescent="0.3">
      <c r="A102" t="s">
        <v>197</v>
      </c>
      <c r="E102" s="21" t="str">
        <f>IF(D102="?OLD","!!!","")</f>
        <v/>
      </c>
      <c r="F102" s="22" t="str">
        <f>IF(OR(E102="",E102="!!!"),"",IF(NOT(ISNA(VLOOKUP(E102,E$1:E101,1,FALSE()))),"OLD",IF(AND(E102&lt;&gt;"",E102&lt;&gt;"!!!"),"NEW","")))</f>
        <v/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/>
      </c>
      <c r="H102" s="24" t="str">
        <f ca="1">IF(J102&lt;&gt;1,"",IF(I102="SBJ","CB","?"))</f>
        <v/>
      </c>
      <c r="I102" s="25" t="str">
        <f>IF(OR(E102="",E102="!!!",F102="NEW"),"",INDEX(B$2:B101,-1+SUMPRODUCT(MAX(ROW(E$2:E101)*(E102=E$2:E101)))))</f>
        <v/>
      </c>
      <c r="J102" s="25" t="str">
        <f ca="1">IF(OR(E102="",E102="!!!",F102="NEW"),"",COUNTBLANK(OFFSET(A$1,,,SUMPRODUCT(MAX(ROW(E$2:E102)*(E102=E$2:E102)))))-COUNTBLANK(OFFSET(A$1,,,SUMPRODUCT(MAX(ROW(E$1:E101)*(E2=E$1:E101))))))</f>
        <v/>
      </c>
      <c r="K102" s="25" t="str">
        <f>IF(OR(E102="",E102="!!!",F102="NEW"),"",INDEX(J$1:J101,SUMPRODUCT(MAX(ROW(E$1:E101)*(E102=E$1:E101)))))</f>
        <v/>
      </c>
      <c r="L102" s="26"/>
    </row>
    <row r="104" spans="1:12" x14ac:dyDescent="0.3">
      <c r="A104" t="s">
        <v>219</v>
      </c>
      <c r="E104" s="21" t="str">
        <f>IF(D104="?OLD","!!!","")</f>
        <v/>
      </c>
      <c r="F104" s="22" t="str">
        <f>IF(OR(E104="",E104="!!!"),"",IF(NOT(ISNA(VLOOKUP(E104,E$1:E103,1,FALSE()))),"OLD",IF(AND(E104&lt;&gt;"",E104&lt;&gt;"!!!"),"NEW","")))</f>
        <v/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/>
      </c>
      <c r="H104" s="24" t="str">
        <f ca="1">IF(J104&lt;&gt;1,"",IF(I104="SBJ","CB","?"))</f>
        <v/>
      </c>
      <c r="I104" s="25" t="str">
        <f>IF(OR(E104="",E104="!!!",F104="NEW"),"",INDEX(B$2:B103,-1+SUMPRODUCT(MAX(ROW(E$2:E103)*(E104=E$2:E103)))))</f>
        <v/>
      </c>
      <c r="J104" s="25" t="str">
        <f ca="1">IF(OR(E104="",E104="!!!",F104="NEW"),"",COUNTBLANK(OFFSET(A$1,,,SUMPRODUCT(MAX(ROW(E$2:E104)*(E104=E$2:E104)))))-COUNTBLANK(OFFSET(A$1,,,SUMPRODUCT(MAX(ROW(E$1:E103)*(E2=E$1:E103))))))</f>
        <v/>
      </c>
      <c r="K104" s="25" t="str">
        <f>IF(OR(E104="",E104="!!!",F104="NEW"),"",INDEX(J$1:J103,SUMPRODUCT(MAX(ROW(E$1:E103)*(E104=E$1:E103)))))</f>
        <v/>
      </c>
      <c r="L104" s="26"/>
    </row>
    <row r="105" spans="1:12" x14ac:dyDescent="0.3">
      <c r="A105" t="s">
        <v>253</v>
      </c>
    </row>
    <row r="106" spans="1:12" x14ac:dyDescent="0.3">
      <c r="A106" t="s">
        <v>179</v>
      </c>
      <c r="E106" s="21" t="s">
        <v>467</v>
      </c>
      <c r="F106" s="22" t="str">
        <f>IF(OR(E106="",E106="!!!"),"",IF(NOT(ISNA(VLOOKUP(E106,E$1:E105,1,FALSE()))),"OLD",IF(AND(E106&lt;&gt;"",E106&lt;&gt;"!!!"),"NEW","")))</f>
        <v>OLD</v>
      </c>
      <c r="G106" s="23" t="s">
        <v>509</v>
      </c>
      <c r="H106" s="24" t="str">
        <f t="shared" ref="H106:H139" ca="1" si="12">IF(J106&lt;&gt;1,"",IF(I106="SBJ","CB","?"))</f>
        <v/>
      </c>
      <c r="I106" s="25" t="str">
        <f>IF(OR(E106="",E106="!!!",F106="NEW"),"",INDEX(B$2:B105,-1+SUMPRODUCT(MAX(ROW(E$2:E105)*(E106=E$2:E105)))))</f>
        <v>SBJ</v>
      </c>
      <c r="J106" s="25">
        <f ca="1">IF(OR(E106="",E106="!!!",F106="NEW"),"",COUNTBLANK(OFFSET(A$1,,,SUMPRODUCT(MAX(ROW(E$2:E106)*(E106=E$2:E106)))))-COUNTBLANK(OFFSET(A$1,,,SUMPRODUCT(MAX(ROW(E$1:E105)*(E2=E$1:E105))))))</f>
        <v>0</v>
      </c>
      <c r="K106" s="25">
        <f ca="1">IF(OR(E106="",E106="!!!",F106="NEW"),"",INDEX(J$1:J105,SUMPRODUCT(MAX(ROW(E$1:E105)*(E106=E$1:E105)))))</f>
        <v>0</v>
      </c>
      <c r="L106" s="26"/>
    </row>
    <row r="107" spans="1:12" x14ac:dyDescent="0.3">
      <c r="A107" t="s">
        <v>12</v>
      </c>
      <c r="E107" s="21" t="str">
        <f t="shared" ref="E107:E139" si="13">IF(D107="?OLD","!!!","")</f>
        <v/>
      </c>
      <c r="F107" s="22" t="str">
        <f>IF(OR(E107="",E107="!!!"),"",IF(NOT(ISNA(VLOOKUP(E107,E$1:E106,1,FALSE()))),"OLD",IF(AND(E107&lt;&gt;"",E107&lt;&gt;"!!!"),"NEW","")))</f>
        <v/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/>
      </c>
      <c r="H107" s="24" t="str">
        <f t="shared" ca="1" si="12"/>
        <v/>
      </c>
      <c r="I107" s="25" t="str">
        <f>IF(OR(E107="",E107="!!!",F107="NEW"),"",INDEX(B$2:B106,-1+SUMPRODUCT(MAX(ROW(E$2:E106)*(E107=E$2:E106)))))</f>
        <v/>
      </c>
      <c r="J107" s="25" t="str">
        <f ca="1">IF(OR(E107="",E107="!!!",F107="NEW"),"",COUNTBLANK(OFFSET(A$1,,,SUMPRODUCT(MAX(ROW(E$2:E107)*(E107=E$2:E107)))))-COUNTBLANK(OFFSET(A$1,,,SUMPRODUCT(MAX(ROW(E$1:E106)*(E2=E$1:E106))))))</f>
        <v/>
      </c>
      <c r="K107" s="25" t="str">
        <f>IF(OR(E107="",E107="!!!",F107="NEW"),"",INDEX(J$1:J106,SUMPRODUCT(MAX(ROW(E$1:E106)*(E107=E$1:E106)))))</f>
        <v/>
      </c>
      <c r="L107" s="26"/>
    </row>
    <row r="108" spans="1:12" x14ac:dyDescent="0.3">
      <c r="A108" t="s">
        <v>254</v>
      </c>
      <c r="B108" s="20" t="s">
        <v>255</v>
      </c>
      <c r="C108" s="20" t="s">
        <v>175</v>
      </c>
      <c r="E108" s="21" t="str">
        <f t="shared" si="13"/>
        <v/>
      </c>
      <c r="F108" s="22" t="str">
        <f>IF(OR(E108="",E108="!!!"),"",IF(NOT(ISNA(VLOOKUP(E108,E$1:E107,1,FALSE()))),"OLD",IF(AND(E108&lt;&gt;"",E108&lt;&gt;"!!!"),"NEW","")))</f>
        <v/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/>
      </c>
      <c r="H108" s="24" t="str">
        <f t="shared" ca="1" si="12"/>
        <v/>
      </c>
      <c r="I108" s="25" t="str">
        <f>IF(OR(E108="",E108="!!!",F108="NEW"),"",INDEX(B$2:B107,-1+SUMPRODUCT(MAX(ROW(E$2:E107)*(E108=E$2:E107)))))</f>
        <v/>
      </c>
      <c r="J108" s="25" t="str">
        <f ca="1">IF(OR(E108="",E108="!!!",F108="NEW"),"",COUNTBLANK(OFFSET(A$1,,,SUMPRODUCT(MAX(ROW(E$2:E108)*(E108=E$2:E108)))))-COUNTBLANK(OFFSET(A$1,,,SUMPRODUCT(MAX(ROW(E$1:E107)*(E2=E$1:E107))))))</f>
        <v/>
      </c>
      <c r="K108" s="25" t="str">
        <f>IF(OR(E108="",E108="!!!",F108="NEW"),"",INDEX(J$1:J107,SUMPRODUCT(MAX(ROW(E$1:E107)*(E108=E$1:E107)))))</f>
        <v/>
      </c>
      <c r="L108" s="26"/>
    </row>
    <row r="109" spans="1:12" x14ac:dyDescent="0.3">
      <c r="A109" t="s">
        <v>256</v>
      </c>
      <c r="B109" s="20" t="s">
        <v>257</v>
      </c>
      <c r="C109" s="20" t="s">
        <v>170</v>
      </c>
      <c r="D109" s="20" t="s">
        <v>171</v>
      </c>
      <c r="E109" s="21" t="s">
        <v>474</v>
      </c>
      <c r="F109" s="22" t="str">
        <f>IF(OR(E109="",E109="!!!"),"",IF(NOT(ISNA(VLOOKUP(E109,E$1:E108,1,FALSE()))),"OLD",IF(AND(E109&lt;&gt;"",E109&lt;&gt;"!!!"),"NEW","")))</f>
        <v>NEW</v>
      </c>
      <c r="G109" s="23" t="s">
        <v>510</v>
      </c>
      <c r="H109" s="24" t="str">
        <f t="shared" ca="1" si="12"/>
        <v/>
      </c>
      <c r="I109" s="25" t="str">
        <f>IF(OR(E109="",E109="!!!",F109="NEW"),"",INDEX(B$2:B108,-1+SUMPRODUCT(MAX(ROW(E$2:E108)*(E109=E$2:E108)))))</f>
        <v/>
      </c>
      <c r="J109" s="25" t="str">
        <f ca="1">IF(OR(E109="",E109="!!!",F109="NEW"),"",COUNTBLANK(OFFSET(A$1,,,SUMPRODUCT(MAX(ROW(E$2:E109)*(E109=E$2:E109)))))-COUNTBLANK(OFFSET(A$1,,,SUMPRODUCT(MAX(ROW(E$1:E108)*(E2=E$1:E108))))))</f>
        <v/>
      </c>
      <c r="K109" s="25" t="str">
        <f>IF(OR(E109="",E109="!!!",F109="NEW"),"",INDEX(J$1:J108,SUMPRODUCT(MAX(ROW(E$1:E108)*(E109=E$1:E108)))))</f>
        <v/>
      </c>
      <c r="L109" s="26" t="s">
        <v>512</v>
      </c>
    </row>
    <row r="110" spans="1:12" x14ac:dyDescent="0.3">
      <c r="A110" t="s">
        <v>258</v>
      </c>
      <c r="E110" s="21" t="str">
        <f t="shared" si="13"/>
        <v/>
      </c>
      <c r="F110" s="22" t="str">
        <f>IF(OR(E110="",E110="!!!"),"",IF(NOT(ISNA(VLOOKUP(E110,E$1:E109,1,FALSE()))),"OLD",IF(AND(E110&lt;&gt;"",E110&lt;&gt;"!!!"),"NEW","")))</f>
        <v/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/>
      </c>
      <c r="H110" s="24" t="str">
        <f t="shared" ca="1" si="12"/>
        <v/>
      </c>
      <c r="I110" s="25" t="str">
        <f>IF(OR(E110="",E110="!!!",F110="NEW"),"",INDEX(B$2:B109,-1+SUMPRODUCT(MAX(ROW(E$2:E109)*(E110=E$2:E109)))))</f>
        <v/>
      </c>
      <c r="J110" s="25" t="str">
        <f ca="1">IF(OR(E110="",E110="!!!",F110="NEW"),"",COUNTBLANK(OFFSET(A$1,,,SUMPRODUCT(MAX(ROW(E$2:E110)*(E110=E$2:E110)))))-COUNTBLANK(OFFSET(A$1,,,SUMPRODUCT(MAX(ROW(E$1:E109)*(E2=E$1:E109))))))</f>
        <v/>
      </c>
      <c r="K110" s="25" t="str">
        <f>IF(OR(E110="",E110="!!!",F110="NEW"),"",INDEX(J$1:J109,SUMPRODUCT(MAX(ROW(E$1:E109)*(E110=E$1:E109)))))</f>
        <v/>
      </c>
      <c r="L110" s="26"/>
    </row>
    <row r="111" spans="1:12" x14ac:dyDescent="0.3">
      <c r="A111" t="s">
        <v>259</v>
      </c>
      <c r="E111" s="21" t="str">
        <f t="shared" si="13"/>
        <v/>
      </c>
      <c r="F111" s="22" t="str">
        <f>IF(OR(E111="",E111="!!!"),"",IF(NOT(ISNA(VLOOKUP(E111,E$1:E110,1,FALSE()))),"OLD",IF(AND(E111&lt;&gt;"",E111&lt;&gt;"!!!"),"NEW","")))</f>
        <v/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/>
      </c>
      <c r="H111" s="24" t="str">
        <f t="shared" ca="1" si="12"/>
        <v/>
      </c>
      <c r="I111" s="25" t="str">
        <f>IF(OR(E111="",E111="!!!",F111="NEW"),"",INDEX(B$2:B110,-1+SUMPRODUCT(MAX(ROW(E$2:E110)*(E111=E$2:E110)))))</f>
        <v/>
      </c>
      <c r="J111" s="25" t="str">
        <f ca="1">IF(OR(E111="",E111="!!!",F111="NEW"),"",COUNTBLANK(OFFSET(A$1,,,SUMPRODUCT(MAX(ROW(E$2:E111)*(E111=E$2:E111)))))-COUNTBLANK(OFFSET(A$1,,,SUMPRODUCT(MAX(ROW(E$1:E110)*(E2=E$1:E110))))))</f>
        <v/>
      </c>
      <c r="K111" s="25" t="str">
        <f>IF(OR(E111="",E111="!!!",F111="NEW"),"",INDEX(J$1:J110,SUMPRODUCT(MAX(ROW(E$1:E110)*(E111=E$1:E110)))))</f>
        <v/>
      </c>
      <c r="L111" s="26"/>
    </row>
    <row r="112" spans="1:12" x14ac:dyDescent="0.3">
      <c r="A112" t="s">
        <v>185</v>
      </c>
      <c r="E112" s="21" t="str">
        <f t="shared" si="13"/>
        <v/>
      </c>
      <c r="F112" s="22" t="str">
        <f>IF(OR(E112="",E112="!!!"),"",IF(NOT(ISNA(VLOOKUP(E112,E$1:E111,1,FALSE()))),"OLD",IF(AND(E112&lt;&gt;"",E112&lt;&gt;"!!!"),"NEW","")))</f>
        <v/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/>
      </c>
      <c r="H112" s="24" t="str">
        <f t="shared" ca="1" si="12"/>
        <v/>
      </c>
      <c r="I112" s="25" t="str">
        <f>IF(OR(E112="",E112="!!!",F112="NEW"),"",INDEX(B$2:B111,-1+SUMPRODUCT(MAX(ROW(E$2:E111)*(E112=E$2:E111)))))</f>
        <v/>
      </c>
      <c r="J112" s="25" t="str">
        <f ca="1">IF(OR(E112="",E112="!!!",F112="NEW"),"",COUNTBLANK(OFFSET(A$1,,,SUMPRODUCT(MAX(ROW(E$2:E112)*(E112=E$2:E112)))))-COUNTBLANK(OFFSET(A$1,,,SUMPRODUCT(MAX(ROW(E$1:E111)*(E2=E$1:E111))))))</f>
        <v/>
      </c>
      <c r="K112" s="25" t="str">
        <f>IF(OR(E112="",E112="!!!",F112="NEW"),"",INDEX(J$1:J111,SUMPRODUCT(MAX(ROW(E$1:E111)*(E112=E$1:E111)))))</f>
        <v/>
      </c>
      <c r="L112" s="26"/>
    </row>
    <row r="113" spans="1:12" x14ac:dyDescent="0.3">
      <c r="A113" t="s">
        <v>226</v>
      </c>
      <c r="E113" s="21" t="str">
        <f t="shared" si="13"/>
        <v/>
      </c>
      <c r="F113" s="22" t="str">
        <f>IF(OR(E113="",E113="!!!"),"",IF(NOT(ISNA(VLOOKUP(E113,E$1:E112,1,FALSE()))),"OLD",IF(AND(E113&lt;&gt;"",E113&lt;&gt;"!!!"),"NEW","")))</f>
        <v/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/>
      </c>
      <c r="H113" s="24" t="str">
        <f t="shared" ca="1" si="12"/>
        <v/>
      </c>
      <c r="I113" s="25" t="str">
        <f>IF(OR(E113="",E113="!!!",F113="NEW"),"",INDEX(B$2:B112,-1+SUMPRODUCT(MAX(ROW(E$2:E112)*(E113=E$2:E112)))))</f>
        <v/>
      </c>
      <c r="J113" s="25" t="str">
        <f ca="1">IF(OR(E113="",E113="!!!",F113="NEW"),"",COUNTBLANK(OFFSET(A$1,,,SUMPRODUCT(MAX(ROW(E$2:E113)*(E113=E$2:E113)))))-COUNTBLANK(OFFSET(A$1,,,SUMPRODUCT(MAX(ROW(E$1:E112)*(E2=E$1:E112))))))</f>
        <v/>
      </c>
      <c r="K113" s="25" t="str">
        <f>IF(OR(E113="",E113="!!!",F113="NEW"),"",INDEX(J$1:J112,SUMPRODUCT(MAX(ROW(E$1:E112)*(E113=E$1:E112)))))</f>
        <v/>
      </c>
      <c r="L113" s="26"/>
    </row>
    <row r="114" spans="1:12" x14ac:dyDescent="0.3">
      <c r="A114" t="s">
        <v>260</v>
      </c>
      <c r="B114" s="20" t="s">
        <v>166</v>
      </c>
      <c r="C114" s="20" t="s">
        <v>184</v>
      </c>
      <c r="D114" s="20" t="s">
        <v>171</v>
      </c>
      <c r="E114" s="21" t="s">
        <v>467</v>
      </c>
      <c r="F114" s="22" t="str">
        <f>IF(OR(E114="",E114="!!!"),"",IF(NOT(ISNA(VLOOKUP(E114,E$1:E113,1,FALSE()))),"OLD",IF(AND(E114&lt;&gt;"",E114&lt;&gt;"!!!"),"NEW","")))</f>
        <v>OLD</v>
      </c>
      <c r="G114" s="23" t="s">
        <v>513</v>
      </c>
      <c r="H114" s="24" t="str">
        <f t="shared" ca="1" si="12"/>
        <v/>
      </c>
      <c r="I114" s="25">
        <f>IF(OR(E114="",E114="!!!",F114="NEW"),"",INDEX(B$2:B113,-1+SUMPRODUCT(MAX(ROW(E$2:E113)*(E114=E$2:E113)))))</f>
        <v>0</v>
      </c>
      <c r="J114" s="25">
        <f ca="1">IF(OR(E114="",E114="!!!",F114="NEW"),"",COUNTBLANK(OFFSET(A$1,,,SUMPRODUCT(MAX(ROW(E$2:E114)*(E114=E$2:E114)))))-COUNTBLANK(OFFSET(A$1,,,SUMPRODUCT(MAX(ROW(E$1:E113)*(E2=E$1:E113))))))</f>
        <v>0</v>
      </c>
      <c r="K114" s="25">
        <f ca="1">IF(OR(E114="",E114="!!!",F114="NEW"),"",INDEX(J$1:J113,SUMPRODUCT(MAX(ROW(E$1:E113)*(E114=E$1:E113)))))</f>
        <v>0</v>
      </c>
      <c r="L114" s="26"/>
    </row>
    <row r="115" spans="1:12" x14ac:dyDescent="0.3">
      <c r="A115" t="s">
        <v>261</v>
      </c>
      <c r="E115" s="21" t="str">
        <f t="shared" si="13"/>
        <v/>
      </c>
      <c r="F115" s="22" t="str">
        <f>IF(OR(E115="",E115="!!!"),"",IF(NOT(ISNA(VLOOKUP(E115,E$1:E114,1,FALSE()))),"OLD",IF(AND(E115&lt;&gt;"",E115&lt;&gt;"!!!"),"NEW","")))</f>
        <v/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/>
      </c>
      <c r="H115" s="24" t="str">
        <f t="shared" ca="1" si="12"/>
        <v/>
      </c>
      <c r="I115" s="25" t="str">
        <f>IF(OR(E115="",E115="!!!",F115="NEW"),"",INDEX(B$2:B114,-1+SUMPRODUCT(MAX(ROW(E$2:E114)*(E115=E$2:E114)))))</f>
        <v/>
      </c>
      <c r="J115" s="25" t="str">
        <f ca="1">IF(OR(E115="",E115="!!!",F115="NEW"),"",COUNTBLANK(OFFSET(A$1,,,SUMPRODUCT(MAX(ROW(E$2:E115)*(E115=E$2:E115)))))-COUNTBLANK(OFFSET(A$1,,,SUMPRODUCT(MAX(ROW(E$1:E114)*(E2=E$1:E114))))))</f>
        <v/>
      </c>
      <c r="K115" s="25" t="str">
        <f>IF(OR(E115="",E115="!!!",F115="NEW"),"",INDEX(J$1:J114,SUMPRODUCT(MAX(ROW(E$1:E114)*(E115=E$1:E114)))))</f>
        <v/>
      </c>
      <c r="L115" s="26"/>
    </row>
    <row r="116" spans="1:12" x14ac:dyDescent="0.3">
      <c r="A116" t="s">
        <v>262</v>
      </c>
      <c r="B116" s="20" t="s">
        <v>174</v>
      </c>
      <c r="C116" s="20" t="s">
        <v>184</v>
      </c>
      <c r="D116" s="20" t="s">
        <v>171</v>
      </c>
      <c r="E116" s="21"/>
      <c r="F116" s="22" t="s">
        <v>475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/>
      </c>
      <c r="H116" s="24" t="str">
        <f t="shared" ca="1" si="12"/>
        <v/>
      </c>
      <c r="I116" s="25" t="str">
        <f>IF(OR(E116="",E116="!!!",F116="NEW"),"",INDEX(B$2:B115,-1+SUMPRODUCT(MAX(ROW(E$2:E115)*(E116=E$2:E115)))))</f>
        <v/>
      </c>
      <c r="J116" s="25" t="str">
        <f ca="1">IF(OR(E116="",E116="!!!",F116="NEW"),"",COUNTBLANK(OFFSET(A$1,,,SUMPRODUCT(MAX(ROW(E$2:E116)*(E116=E$2:E116)))))-COUNTBLANK(OFFSET(A$1,,,SUMPRODUCT(MAX(ROW(E$1:E115)*(E2=E$1:E115))))))</f>
        <v/>
      </c>
      <c r="K116" s="25" t="str">
        <f>IF(OR(E116="",E116="!!!",F116="NEW"),"",INDEX(J$1:J115,SUMPRODUCT(MAX(ROW(E$1:E115)*(E116=E$1:E115)))))</f>
        <v/>
      </c>
      <c r="L116" s="26"/>
    </row>
    <row r="117" spans="1:12" x14ac:dyDescent="0.3">
      <c r="A117" t="s">
        <v>263</v>
      </c>
      <c r="E117" s="21" t="str">
        <f t="shared" si="13"/>
        <v/>
      </c>
      <c r="F117" s="22" t="str">
        <f>IF(OR(E117="",E117="!!!"),"",IF(NOT(ISNA(VLOOKUP(E117,E$1:E116,1,FALSE()))),"OLD",IF(AND(E117&lt;&gt;"",E117&lt;&gt;"!!!"),"NEW","")))</f>
        <v/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/>
      </c>
      <c r="H117" s="24" t="str">
        <f t="shared" ca="1" si="12"/>
        <v/>
      </c>
      <c r="I117" s="25" t="str">
        <f>IF(OR(E117="",E117="!!!",F117="NEW"),"",INDEX(B$2:B116,-1+SUMPRODUCT(MAX(ROW(E$2:E116)*(E117=E$2:E116)))))</f>
        <v/>
      </c>
      <c r="J117" s="25" t="str">
        <f ca="1">IF(OR(E117="",E117="!!!",F117="NEW"),"",COUNTBLANK(OFFSET(A$1,,,SUMPRODUCT(MAX(ROW(E$2:E117)*(E117=E$2:E117)))))-COUNTBLANK(OFFSET(A$1,,,SUMPRODUCT(MAX(ROW(E$1:E116)*(E2=E$1:E116))))))</f>
        <v/>
      </c>
      <c r="K117" s="25" t="str">
        <f>IF(OR(E117="",E117="!!!",F117="NEW"),"",INDEX(J$1:J116,SUMPRODUCT(MAX(ROW(E$1:E116)*(E117=E$1:E116)))))</f>
        <v/>
      </c>
      <c r="L117" s="26"/>
    </row>
    <row r="118" spans="1:12" x14ac:dyDescent="0.3">
      <c r="A118" t="s">
        <v>210</v>
      </c>
      <c r="E118" s="21" t="str">
        <f t="shared" si="13"/>
        <v/>
      </c>
      <c r="F118" s="22" t="str">
        <f>IF(OR(E118="",E118="!!!"),"",IF(NOT(ISNA(VLOOKUP(E118,E$1:E117,1,FALSE()))),"OLD",IF(AND(E118&lt;&gt;"",E118&lt;&gt;"!!!"),"NEW","")))</f>
        <v/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/>
      </c>
      <c r="H118" s="24" t="str">
        <f t="shared" ca="1" si="12"/>
        <v/>
      </c>
      <c r="I118" s="25" t="str">
        <f>IF(OR(E118="",E118="!!!",F118="NEW"),"",INDEX(B$2:B117,-1+SUMPRODUCT(MAX(ROW(E$2:E117)*(E118=E$2:E117)))))</f>
        <v/>
      </c>
      <c r="J118" s="25" t="str">
        <f ca="1">IF(OR(E118="",E118="!!!",F118="NEW"),"",COUNTBLANK(OFFSET(A$1,,,SUMPRODUCT(MAX(ROW(E$2:E118)*(E118=E$2:E118)))))-COUNTBLANK(OFFSET(A$1,,,SUMPRODUCT(MAX(ROW(E$1:E117)*(E2=E$1:E117))))))</f>
        <v/>
      </c>
      <c r="K118" s="25" t="str">
        <f>IF(OR(E118="",E118="!!!",F118="NEW"),"",INDEX(J$1:J117,SUMPRODUCT(MAX(ROW(E$1:E117)*(E118=E$1:E117)))))</f>
        <v/>
      </c>
      <c r="L118" s="26"/>
    </row>
    <row r="119" spans="1:12" x14ac:dyDescent="0.3">
      <c r="A119" t="s">
        <v>264</v>
      </c>
      <c r="E119" s="21" t="str">
        <f t="shared" si="13"/>
        <v/>
      </c>
      <c r="F119" s="22" t="str">
        <f>IF(OR(E119="",E119="!!!"),"",IF(NOT(ISNA(VLOOKUP(E119,E$1:E118,1,FALSE()))),"OLD",IF(AND(E119&lt;&gt;"",E119&lt;&gt;"!!!"),"NEW","")))</f>
        <v/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/>
      </c>
      <c r="H119" s="24" t="str">
        <f t="shared" ca="1" si="12"/>
        <v/>
      </c>
      <c r="I119" s="25" t="str">
        <f>IF(OR(E119="",E119="!!!",F119="NEW"),"",INDEX(B$2:B118,-1+SUMPRODUCT(MAX(ROW(E$2:E118)*(E119=E$2:E118)))))</f>
        <v/>
      </c>
      <c r="J119" s="25" t="str">
        <f ca="1">IF(OR(E119="",E119="!!!",F119="NEW"),"",COUNTBLANK(OFFSET(A$1,,,SUMPRODUCT(MAX(ROW(E$2:E119)*(E119=E$2:E119)))))-COUNTBLANK(OFFSET(A$1,,,SUMPRODUCT(MAX(ROW(E$1:E118)*(E2=E$1:E118))))))</f>
        <v/>
      </c>
      <c r="K119" s="25" t="str">
        <f>IF(OR(E119="",E119="!!!",F119="NEW"),"",INDEX(J$1:J118,SUMPRODUCT(MAX(ROW(E$1:E118)*(E119=E$1:E118)))))</f>
        <v/>
      </c>
      <c r="L119" s="26"/>
    </row>
    <row r="120" spans="1:12" x14ac:dyDescent="0.3">
      <c r="A120" t="s">
        <v>265</v>
      </c>
      <c r="B120" s="20" t="s">
        <v>183</v>
      </c>
      <c r="C120" s="20" t="s">
        <v>184</v>
      </c>
      <c r="D120" s="20" t="s">
        <v>171</v>
      </c>
      <c r="E120" s="21" t="s">
        <v>468</v>
      </c>
      <c r="F120" s="22" t="str">
        <f>IF(OR(E120="",E120="!!!"),"",IF(NOT(ISNA(VLOOKUP(E120,E$1:E119,1,FALSE()))),"OLD",IF(AND(E120&lt;&gt;"",E120&lt;&gt;"!!!"),"NEW","")))</f>
        <v>OLD</v>
      </c>
      <c r="G120" s="23" t="s">
        <v>509</v>
      </c>
      <c r="H120" s="24" t="str">
        <f t="shared" ca="1" si="12"/>
        <v/>
      </c>
      <c r="I120" s="25" t="str">
        <f>IF(OR(E120="",E120="!!!",F120="NEW"),"",INDEX(B$2:B119,-1+SUMPRODUCT(MAX(ROW(E$2:E119)*(E120=E$2:E119)))))</f>
        <v>other_2</v>
      </c>
      <c r="J120" s="25">
        <f ca="1">IF(OR(E120="",E120="!!!",F120="NEW"),"",COUNTBLANK(OFFSET(A$1,,,SUMPRODUCT(MAX(ROW(E$2:E120)*(E120=E$2:E120)))))-COUNTBLANK(OFFSET(A$1,,,SUMPRODUCT(MAX(ROW(E$1:E119)*(E2=E$1:E119))))))</f>
        <v>0</v>
      </c>
      <c r="K120" s="25" t="str">
        <f ca="1">IF(OR(E120="",E120="!!!",F120="NEW"),"",INDEX(J$1:J119,SUMPRODUCT(MAX(ROW(E$1:E119)*(E120=E$1:E119)))))</f>
        <v/>
      </c>
      <c r="L120" s="26"/>
    </row>
    <row r="121" spans="1:12" x14ac:dyDescent="0.3">
      <c r="A121" t="s">
        <v>185</v>
      </c>
      <c r="E121" s="21" t="str">
        <f t="shared" si="13"/>
        <v/>
      </c>
      <c r="F121" s="22" t="str">
        <f>IF(OR(E121="",E121="!!!"),"",IF(NOT(ISNA(VLOOKUP(E121,E$1:E120,1,FALSE()))),"OLD",IF(AND(E121&lt;&gt;"",E121&lt;&gt;"!!!"),"NEW","")))</f>
        <v/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/>
      </c>
      <c r="H121" s="24" t="str">
        <f t="shared" ca="1" si="12"/>
        <v/>
      </c>
      <c r="I121" s="25" t="str">
        <f>IF(OR(E121="",E121="!!!",F121="NEW"),"",INDEX(B$2:B120,-1+SUMPRODUCT(MAX(ROW(E$2:E120)*(E121=E$2:E120)))))</f>
        <v/>
      </c>
      <c r="J121" s="25" t="str">
        <f ca="1">IF(OR(E121="",E121="!!!",F121="NEW"),"",COUNTBLANK(OFFSET(A$1,,,SUMPRODUCT(MAX(ROW(E$2:E121)*(E121=E$2:E121)))))-COUNTBLANK(OFFSET(A$1,,,SUMPRODUCT(MAX(ROW(E$1:E120)*(E2=E$1:E120))))))</f>
        <v/>
      </c>
      <c r="K121" s="25" t="str">
        <f>IF(OR(E121="",E121="!!!",F121="NEW"),"",INDEX(J$1:J120,SUMPRODUCT(MAX(ROW(E$1:E120)*(E121=E$1:E120)))))</f>
        <v/>
      </c>
      <c r="L121" s="26"/>
    </row>
    <row r="122" spans="1:12" x14ac:dyDescent="0.3">
      <c r="A122" t="s">
        <v>165</v>
      </c>
      <c r="B122" s="20" t="s">
        <v>255</v>
      </c>
      <c r="C122" s="20" t="s">
        <v>167</v>
      </c>
      <c r="E122" s="21" t="str">
        <f t="shared" si="13"/>
        <v/>
      </c>
      <c r="F122" s="22" t="str">
        <f>IF(OR(E122="",E122="!!!"),"",IF(NOT(ISNA(VLOOKUP(E122,E$1:E121,1,FALSE()))),"OLD",IF(AND(E122&lt;&gt;"",E122&lt;&gt;"!!!"),"NEW","")))</f>
        <v/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/>
      </c>
      <c r="H122" s="24" t="str">
        <f t="shared" ca="1" si="12"/>
        <v/>
      </c>
      <c r="I122" s="25" t="str">
        <f>IF(OR(E122="",E122="!!!",F122="NEW"),"",INDEX(B$2:B121,-1+SUMPRODUCT(MAX(ROW(E$2:E121)*(E122=E$2:E121)))))</f>
        <v/>
      </c>
      <c r="J122" s="25" t="str">
        <f ca="1">IF(OR(E122="",E122="!!!",F122="NEW"),"",COUNTBLANK(OFFSET(A$1,,,SUMPRODUCT(MAX(ROW(E$2:E122)*(E122=E$2:E122)))))-COUNTBLANK(OFFSET(A$1,,,SUMPRODUCT(MAX(ROW(E$1:E121)*(E2=E$1:E121))))))</f>
        <v/>
      </c>
      <c r="K122" s="25" t="str">
        <f>IF(OR(E122="",E122="!!!",F122="NEW"),"",INDEX(J$1:J121,SUMPRODUCT(MAX(ROW(E$1:E121)*(E122=E$1:E121)))))</f>
        <v/>
      </c>
      <c r="L122" s="26"/>
    </row>
    <row r="123" spans="1:12" x14ac:dyDescent="0.3">
      <c r="A123" t="s">
        <v>203</v>
      </c>
      <c r="E123" s="21" t="str">
        <f t="shared" si="13"/>
        <v/>
      </c>
      <c r="F123" s="22" t="str">
        <f>IF(OR(E123="",E123="!!!"),"",IF(NOT(ISNA(VLOOKUP(E123,E$1:E122,1,FALSE()))),"OLD",IF(AND(E123&lt;&gt;"",E123&lt;&gt;"!!!"),"NEW","")))</f>
        <v/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/>
      </c>
      <c r="H123" s="24" t="str">
        <f t="shared" ca="1" si="12"/>
        <v/>
      </c>
      <c r="I123" s="25" t="str">
        <f>IF(OR(E123="",E123="!!!",F123="NEW"),"",INDEX(B$2:B122,-1+SUMPRODUCT(MAX(ROW(E$2:E122)*(E123=E$2:E122)))))</f>
        <v/>
      </c>
      <c r="J123" s="25" t="str">
        <f ca="1">IF(OR(E123="",E123="!!!",F123="NEW"),"",COUNTBLANK(OFFSET(A$1,,,SUMPRODUCT(MAX(ROW(E$2:E123)*(E123=E$2:E123)))))-COUNTBLANK(OFFSET(A$1,,,SUMPRODUCT(MAX(ROW(E$1:E122)*(E2=E$1:E122))))))</f>
        <v/>
      </c>
      <c r="K123" s="25" t="str">
        <f>IF(OR(E123="",E123="!!!",F123="NEW"),"",INDEX(J$1:J122,SUMPRODUCT(MAX(ROW(E$1:E122)*(E123=E$1:E122)))))</f>
        <v/>
      </c>
      <c r="L123" s="26"/>
    </row>
    <row r="124" spans="1:12" x14ac:dyDescent="0.3">
      <c r="A124" t="s">
        <v>266</v>
      </c>
      <c r="E124" s="21" t="str">
        <f t="shared" si="13"/>
        <v/>
      </c>
      <c r="F124" s="22" t="str">
        <f>IF(OR(E124="",E124="!!!"),"",IF(NOT(ISNA(VLOOKUP(E124,E$1:E123,1,FALSE()))),"OLD",IF(AND(E124&lt;&gt;"",E124&lt;&gt;"!!!"),"NEW","")))</f>
        <v/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/>
      </c>
      <c r="H124" s="24" t="str">
        <f t="shared" ca="1" si="12"/>
        <v/>
      </c>
      <c r="I124" s="25" t="str">
        <f>IF(OR(E124="",E124="!!!",F124="NEW"),"",INDEX(B$2:B123,-1+SUMPRODUCT(MAX(ROW(E$2:E123)*(E124=E$2:E123)))))</f>
        <v/>
      </c>
      <c r="J124" s="25" t="str">
        <f ca="1">IF(OR(E124="",E124="!!!",F124="NEW"),"",COUNTBLANK(OFFSET(A$1,,,SUMPRODUCT(MAX(ROW(E$2:E124)*(E124=E$2:E124)))))-COUNTBLANK(OFFSET(A$1,,,SUMPRODUCT(MAX(ROW(E$1:E123)*(E2=E$1:E123))))))</f>
        <v/>
      </c>
      <c r="K124" s="25" t="str">
        <f>IF(OR(E124="",E124="!!!",F124="NEW"),"",INDEX(J$1:J123,SUMPRODUCT(MAX(ROW(E$1:E123)*(E124=E$1:E123)))))</f>
        <v/>
      </c>
      <c r="L124" s="26"/>
    </row>
    <row r="125" spans="1:12" x14ac:dyDescent="0.3">
      <c r="A125" t="s">
        <v>267</v>
      </c>
      <c r="B125" s="20" t="s">
        <v>268</v>
      </c>
      <c r="C125" s="20" t="s">
        <v>175</v>
      </c>
      <c r="E125" s="21" t="str">
        <f t="shared" si="13"/>
        <v/>
      </c>
      <c r="F125" s="22" t="str">
        <f>IF(OR(E125="",E125="!!!"),"",IF(NOT(ISNA(VLOOKUP(E125,E$1:E124,1,FALSE()))),"OLD",IF(AND(E125&lt;&gt;"",E125&lt;&gt;"!!!"),"NEW","")))</f>
        <v/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/>
      </c>
      <c r="H125" s="24" t="str">
        <f t="shared" ca="1" si="12"/>
        <v/>
      </c>
      <c r="I125" s="25" t="str">
        <f>IF(OR(E125="",E125="!!!",F125="NEW"),"",INDEX(B$2:B124,-1+SUMPRODUCT(MAX(ROW(E$2:E124)*(E125=E$2:E124)))))</f>
        <v/>
      </c>
      <c r="J125" s="25" t="str">
        <f ca="1">IF(OR(E125="",E125="!!!",F125="NEW"),"",COUNTBLANK(OFFSET(A$1,,,SUMPRODUCT(MAX(ROW(E$2:E125)*(E125=E$2:E125)))))-COUNTBLANK(OFFSET(A$1,,,SUMPRODUCT(MAX(ROW(E$1:E124)*(E2=E$1:E124))))))</f>
        <v/>
      </c>
      <c r="K125" s="25" t="str">
        <f>IF(OR(E125="",E125="!!!",F125="NEW"),"",INDEX(J$1:J124,SUMPRODUCT(MAX(ROW(E$1:E124)*(E125=E$1:E124)))))</f>
        <v/>
      </c>
      <c r="L125" s="26"/>
    </row>
    <row r="126" spans="1:12" x14ac:dyDescent="0.3">
      <c r="A126" t="s">
        <v>13</v>
      </c>
      <c r="E126" s="21" t="str">
        <f t="shared" si="13"/>
        <v/>
      </c>
      <c r="F126" s="22" t="str">
        <f>IF(OR(E126="",E126="!!!"),"",IF(NOT(ISNA(VLOOKUP(E126,E$1:E125,1,FALSE()))),"OLD",IF(AND(E126&lt;&gt;"",E126&lt;&gt;"!!!"),"NEW","")))</f>
        <v/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/>
      </c>
      <c r="H126" s="24" t="str">
        <f t="shared" ca="1" si="12"/>
        <v/>
      </c>
      <c r="I126" s="25" t="str">
        <f>IF(OR(E126="",E126="!!!",F126="NEW"),"",INDEX(B$2:B125,-1+SUMPRODUCT(MAX(ROW(E$2:E125)*(E126=E$2:E125)))))</f>
        <v/>
      </c>
      <c r="J126" s="25" t="str">
        <f ca="1">IF(OR(E126="",E126="!!!",F126="NEW"),"",COUNTBLANK(OFFSET(A$1,,,SUMPRODUCT(MAX(ROW(E$2:E126)*(E126=E$2:E126)))))-COUNTBLANK(OFFSET(A$1,,,SUMPRODUCT(MAX(ROW(E$1:E125)*(E2=E$1:E125))))))</f>
        <v/>
      </c>
      <c r="K126" s="25" t="str">
        <f>IF(OR(E126="",E126="!!!",F126="NEW"),"",INDEX(J$1:J125,SUMPRODUCT(MAX(ROW(E$1:E125)*(E126=E$1:E125)))))</f>
        <v/>
      </c>
      <c r="L126" s="26"/>
    </row>
    <row r="127" spans="1:12" x14ac:dyDescent="0.3">
      <c r="A127" t="s">
        <v>269</v>
      </c>
      <c r="B127" s="20" t="s">
        <v>270</v>
      </c>
      <c r="E127" s="21" t="str">
        <f t="shared" si="13"/>
        <v/>
      </c>
      <c r="F127" s="22" t="str">
        <f>IF(OR(E127="",E127="!!!"),"",IF(NOT(ISNA(VLOOKUP(E127,E$1:E126,1,FALSE()))),"OLD",IF(AND(E127&lt;&gt;"",E127&lt;&gt;"!!!"),"NEW","")))</f>
        <v/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/>
      </c>
      <c r="H127" s="24" t="str">
        <f t="shared" ca="1" si="12"/>
        <v/>
      </c>
      <c r="I127" s="25" t="str">
        <f>IF(OR(E127="",E127="!!!",F127="NEW"),"",INDEX(B$2:B126,-1+SUMPRODUCT(MAX(ROW(E$2:E126)*(E127=E$2:E126)))))</f>
        <v/>
      </c>
      <c r="J127" s="25" t="str">
        <f ca="1">IF(OR(E127="",E127="!!!",F127="NEW"),"",COUNTBLANK(OFFSET(A$1,,,SUMPRODUCT(MAX(ROW(E$2:E127)*(E127=E$2:E127)))))-COUNTBLANK(OFFSET(A$1,,,SUMPRODUCT(MAX(ROW(E$1:E126)*(E2=E$1:E126))))))</f>
        <v/>
      </c>
      <c r="K127" s="25" t="str">
        <f>IF(OR(E127="",E127="!!!",F127="NEW"),"",INDEX(J$1:J126,SUMPRODUCT(MAX(ROW(E$1:E126)*(E127=E$1:E126)))))</f>
        <v/>
      </c>
      <c r="L127" s="26"/>
    </row>
    <row r="128" spans="1:12" x14ac:dyDescent="0.3">
      <c r="A128" t="s">
        <v>206</v>
      </c>
      <c r="E128" s="21" t="str">
        <f t="shared" si="13"/>
        <v/>
      </c>
      <c r="F128" s="22" t="str">
        <f>IF(OR(E128="",E128="!!!"),"",IF(NOT(ISNA(VLOOKUP(E128,E$1:E127,1,FALSE()))),"OLD",IF(AND(E128&lt;&gt;"",E128&lt;&gt;"!!!"),"NEW","")))</f>
        <v/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/>
      </c>
      <c r="H128" s="24" t="str">
        <f t="shared" ca="1" si="12"/>
        <v/>
      </c>
      <c r="I128" s="25" t="str">
        <f>IF(OR(E128="",E128="!!!",F128="NEW"),"",INDEX(B$2:B127,-1+SUMPRODUCT(MAX(ROW(E$2:E127)*(E128=E$2:E127)))))</f>
        <v/>
      </c>
      <c r="J128" s="25" t="str">
        <f ca="1">IF(OR(E128="",E128="!!!",F128="NEW"),"",COUNTBLANK(OFFSET(A$1,,,SUMPRODUCT(MAX(ROW(E$2:E128)*(E128=E$2:E128)))))-COUNTBLANK(OFFSET(A$1,,,SUMPRODUCT(MAX(ROW(E$1:E127)*(E2=E$1:E127))))))</f>
        <v/>
      </c>
      <c r="K128" s="25" t="str">
        <f>IF(OR(E128="",E128="!!!",F128="NEW"),"",INDEX(J$1:J127,SUMPRODUCT(MAX(ROW(E$1:E127)*(E128=E$1:E127)))))</f>
        <v/>
      </c>
      <c r="L128" s="26"/>
    </row>
    <row r="129" spans="1:12" x14ac:dyDescent="0.3">
      <c r="A129" t="s">
        <v>271</v>
      </c>
      <c r="E129" s="21" t="str">
        <f t="shared" si="13"/>
        <v/>
      </c>
      <c r="F129" s="22" t="str">
        <f>IF(OR(E129="",E129="!!!"),"",IF(NOT(ISNA(VLOOKUP(E129,E$1:E128,1,FALSE()))),"OLD",IF(AND(E129&lt;&gt;"",E129&lt;&gt;"!!!"),"NEW","")))</f>
        <v/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/>
      </c>
      <c r="H129" s="24" t="str">
        <f t="shared" ca="1" si="12"/>
        <v/>
      </c>
      <c r="I129" s="25" t="str">
        <f>IF(OR(E129="",E129="!!!",F129="NEW"),"",INDEX(B$2:B128,-1+SUMPRODUCT(MAX(ROW(E$2:E128)*(E129=E$2:E128)))))</f>
        <v/>
      </c>
      <c r="J129" s="25" t="str">
        <f ca="1">IF(OR(E129="",E129="!!!",F129="NEW"),"",COUNTBLANK(OFFSET(A$1,,,SUMPRODUCT(MAX(ROW(E$2:E129)*(E129=E$2:E129)))))-COUNTBLANK(OFFSET(A$1,,,SUMPRODUCT(MAX(ROW(E$1:E128)*(E2=E$1:E128))))))</f>
        <v/>
      </c>
      <c r="K129" s="25" t="str">
        <f>IF(OR(E129="",E129="!!!",F129="NEW"),"",INDEX(J$1:J128,SUMPRODUCT(MAX(ROW(E$1:E128)*(E129=E$1:E128)))))</f>
        <v/>
      </c>
      <c r="L129" s="26"/>
    </row>
    <row r="130" spans="1:12" x14ac:dyDescent="0.3">
      <c r="A130" t="s">
        <v>189</v>
      </c>
      <c r="E130" s="21" t="str">
        <f t="shared" si="13"/>
        <v/>
      </c>
      <c r="F130" s="22" t="str">
        <f>IF(OR(E130="",E130="!!!"),"",IF(NOT(ISNA(VLOOKUP(E130,E$1:E129,1,FALSE()))),"OLD",IF(AND(E130&lt;&gt;"",E130&lt;&gt;"!!!"),"NEW","")))</f>
        <v/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/>
      </c>
      <c r="H130" s="24" t="str">
        <f t="shared" ca="1" si="12"/>
        <v/>
      </c>
      <c r="I130" s="25" t="str">
        <f>IF(OR(E130="",E130="!!!",F130="NEW"),"",INDEX(B$2:B129,-1+SUMPRODUCT(MAX(ROW(E$2:E129)*(E130=E$2:E129)))))</f>
        <v/>
      </c>
      <c r="J130" s="25" t="str">
        <f ca="1">IF(OR(E130="",E130="!!!",F130="NEW"),"",COUNTBLANK(OFFSET(A$1,,,SUMPRODUCT(MAX(ROW(E$2:E130)*(E130=E$2:E130)))))-COUNTBLANK(OFFSET(A$1,,,SUMPRODUCT(MAX(ROW(E$1:E129)*(E2=E$1:E129))))))</f>
        <v/>
      </c>
      <c r="K130" s="25" t="str">
        <f>IF(OR(E130="",E130="!!!",F130="NEW"),"",INDEX(J$1:J129,SUMPRODUCT(MAX(ROW(E$1:E129)*(E130=E$1:E129)))))</f>
        <v/>
      </c>
      <c r="L130" s="26"/>
    </row>
    <row r="131" spans="1:12" x14ac:dyDescent="0.3">
      <c r="A131" t="s">
        <v>86</v>
      </c>
      <c r="E131" s="21" t="str">
        <f t="shared" si="13"/>
        <v/>
      </c>
      <c r="F131" s="22" t="str">
        <f>IF(OR(E131="",E131="!!!"),"",IF(NOT(ISNA(VLOOKUP(E131,E$1:E130,1,FALSE()))),"OLD",IF(AND(E131&lt;&gt;"",E131&lt;&gt;"!!!"),"NEW","")))</f>
        <v/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/>
      </c>
      <c r="H131" s="24" t="str">
        <f t="shared" ca="1" si="12"/>
        <v/>
      </c>
      <c r="I131" s="25" t="str">
        <f>IF(OR(E131="",E131="!!!",F131="NEW"),"",INDEX(B$2:B130,-1+SUMPRODUCT(MAX(ROW(E$2:E130)*(E131=E$2:E130)))))</f>
        <v/>
      </c>
      <c r="J131" s="25" t="str">
        <f ca="1">IF(OR(E131="",E131="!!!",F131="NEW"),"",COUNTBLANK(OFFSET(A$1,,,SUMPRODUCT(MAX(ROW(E$2:E131)*(E131=E$2:E131)))))-COUNTBLANK(OFFSET(A$1,,,SUMPRODUCT(MAX(ROW(E$1:E130)*(E2=E$1:E130))))))</f>
        <v/>
      </c>
      <c r="K131" s="25" t="str">
        <f>IF(OR(E131="",E131="!!!",F131="NEW"),"",INDEX(J$1:J130,SUMPRODUCT(MAX(ROW(E$1:E130)*(E131=E$1:E130)))))</f>
        <v/>
      </c>
      <c r="L131" s="26"/>
    </row>
    <row r="132" spans="1:12" x14ac:dyDescent="0.3">
      <c r="A132" t="s">
        <v>272</v>
      </c>
      <c r="B132" s="20" t="s">
        <v>209</v>
      </c>
      <c r="C132" s="20" t="s">
        <v>216</v>
      </c>
      <c r="E132" s="21" t="str">
        <f t="shared" si="13"/>
        <v/>
      </c>
      <c r="F132" s="22" t="str">
        <f>IF(OR(E132="",E132="!!!"),"",IF(NOT(ISNA(VLOOKUP(E132,E$1:E131,1,FALSE()))),"OLD",IF(AND(E132&lt;&gt;"",E132&lt;&gt;"!!!"),"NEW","")))</f>
        <v/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/>
      </c>
      <c r="H132" s="24" t="str">
        <f t="shared" ca="1" si="12"/>
        <v/>
      </c>
      <c r="I132" s="25" t="str">
        <f>IF(OR(E132="",E132="!!!",F132="NEW"),"",INDEX(B$2:B131,-1+SUMPRODUCT(MAX(ROW(E$2:E131)*(E132=E$2:E131)))))</f>
        <v/>
      </c>
      <c r="J132" s="25" t="str">
        <f ca="1">IF(OR(E132="",E132="!!!",F132="NEW"),"",COUNTBLANK(OFFSET(A$1,,,SUMPRODUCT(MAX(ROW(E$2:E132)*(E132=E$2:E132)))))-COUNTBLANK(OFFSET(A$1,,,SUMPRODUCT(MAX(ROW(E$1:E131)*(E2=E$1:E131))))))</f>
        <v/>
      </c>
      <c r="K132" s="25" t="str">
        <f>IF(OR(E132="",E132="!!!",F132="NEW"),"",INDEX(J$1:J131,SUMPRODUCT(MAX(ROW(E$1:E131)*(E132=E$1:E131)))))</f>
        <v/>
      </c>
      <c r="L132" s="26"/>
    </row>
    <row r="133" spans="1:12" x14ac:dyDescent="0.3">
      <c r="A133" t="s">
        <v>273</v>
      </c>
      <c r="B133" s="20" t="s">
        <v>257</v>
      </c>
      <c r="C133" s="20" t="s">
        <v>202</v>
      </c>
      <c r="E133" s="21" t="str">
        <f t="shared" si="13"/>
        <v/>
      </c>
      <c r="F133" s="22" t="str">
        <f>IF(OR(E133="",E133="!!!"),"",IF(NOT(ISNA(VLOOKUP(E133,E$1:E132,1,FALSE()))),"OLD",IF(AND(E133&lt;&gt;"",E133&lt;&gt;"!!!"),"NEW","")))</f>
        <v/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/>
      </c>
      <c r="H133" s="24" t="str">
        <f t="shared" ca="1" si="12"/>
        <v/>
      </c>
      <c r="I133" s="25" t="str">
        <f>IF(OR(E133="",E133="!!!",F133="NEW"),"",INDEX(B$2:B132,-1+SUMPRODUCT(MAX(ROW(E$2:E132)*(E133=E$2:E132)))))</f>
        <v/>
      </c>
      <c r="J133" s="25" t="str">
        <f ca="1">IF(OR(E133="",E133="!!!",F133="NEW"),"",COUNTBLANK(OFFSET(A$1,,,SUMPRODUCT(MAX(ROW(E$2:E133)*(E133=E$2:E133)))))-COUNTBLANK(OFFSET(A$1,,,SUMPRODUCT(MAX(ROW(E$1:E132)*(E2=E$1:E132))))))</f>
        <v/>
      </c>
      <c r="K133" s="25" t="str">
        <f>IF(OR(E133="",E133="!!!",F133="NEW"),"",INDEX(J$1:J132,SUMPRODUCT(MAX(ROW(E$1:E132)*(E133=E$1:E132)))))</f>
        <v/>
      </c>
      <c r="L133" s="26"/>
    </row>
    <row r="134" spans="1:12" x14ac:dyDescent="0.3">
      <c r="A134" t="s">
        <v>173</v>
      </c>
      <c r="B134" s="20" t="s">
        <v>268</v>
      </c>
      <c r="C134" s="20" t="s">
        <v>216</v>
      </c>
      <c r="E134" s="21" t="str">
        <f t="shared" si="13"/>
        <v/>
      </c>
      <c r="F134" s="22" t="str">
        <f>IF(OR(E134="",E134="!!!"),"",IF(NOT(ISNA(VLOOKUP(E134,E$1:E133,1,FALSE()))),"OLD",IF(AND(E134&lt;&gt;"",E134&lt;&gt;"!!!"),"NEW","")))</f>
        <v/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/>
      </c>
      <c r="H134" s="24" t="str">
        <f t="shared" ca="1" si="12"/>
        <v/>
      </c>
      <c r="I134" s="25" t="str">
        <f>IF(OR(E134="",E134="!!!",F134="NEW"),"",INDEX(B$2:B133,-1+SUMPRODUCT(MAX(ROW(E$2:E133)*(E134=E$2:E133)))))</f>
        <v/>
      </c>
      <c r="J134" s="25" t="str">
        <f ca="1">IF(OR(E134="",E134="!!!",F134="NEW"),"",COUNTBLANK(OFFSET(A$1,,,SUMPRODUCT(MAX(ROW(E$2:E134)*(E134=E$2:E134)))))-COUNTBLANK(OFFSET(A$1,,,SUMPRODUCT(MAX(ROW(E$1:E133)*(E2=E$1:E133))))))</f>
        <v/>
      </c>
      <c r="K134" s="25" t="str">
        <f>IF(OR(E134="",E134="!!!",F134="NEW"),"",INDEX(J$1:J133,SUMPRODUCT(MAX(ROW(E$1:E133)*(E134=E$1:E133)))))</f>
        <v/>
      </c>
      <c r="L134" s="26"/>
    </row>
    <row r="135" spans="1:12" x14ac:dyDescent="0.3">
      <c r="A135" t="s">
        <v>274</v>
      </c>
      <c r="E135" s="21" t="str">
        <f t="shared" si="13"/>
        <v/>
      </c>
      <c r="F135" s="22" t="str">
        <f>IF(OR(E135="",E135="!!!"),"",IF(NOT(ISNA(VLOOKUP(E135,E$1:E134,1,FALSE()))),"OLD",IF(AND(E135&lt;&gt;"",E135&lt;&gt;"!!!"),"NEW","")))</f>
        <v/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/>
      </c>
      <c r="H135" s="24" t="str">
        <f t="shared" ca="1" si="12"/>
        <v/>
      </c>
      <c r="I135" s="25" t="str">
        <f>IF(OR(E135="",E135="!!!",F135="NEW"),"",INDEX(B$2:B134,-1+SUMPRODUCT(MAX(ROW(E$2:E134)*(E135=E$2:E134)))))</f>
        <v/>
      </c>
      <c r="J135" s="25" t="str">
        <f ca="1">IF(OR(E135="",E135="!!!",F135="NEW"),"",COUNTBLANK(OFFSET(A$1,,,SUMPRODUCT(MAX(ROW(E$2:E135)*(E135=E$2:E135)))))-COUNTBLANK(OFFSET(A$1,,,SUMPRODUCT(MAX(ROW(E$1:E134)*(E2=E$1:E134))))))</f>
        <v/>
      </c>
      <c r="K135" s="25" t="str">
        <f>IF(OR(E135="",E135="!!!",F135="NEW"),"",INDEX(J$1:J134,SUMPRODUCT(MAX(ROW(E$1:E134)*(E135=E$1:E134)))))</f>
        <v/>
      </c>
      <c r="L135" s="26"/>
    </row>
    <row r="136" spans="1:12" x14ac:dyDescent="0.3">
      <c r="A136" t="s">
        <v>275</v>
      </c>
      <c r="B136" s="20" t="s">
        <v>182</v>
      </c>
      <c r="C136" s="20" t="s">
        <v>175</v>
      </c>
      <c r="E136" s="21" t="str">
        <f t="shared" si="13"/>
        <v/>
      </c>
      <c r="F136" s="22" t="str">
        <f>IF(OR(E136="",E136="!!!"),"",IF(NOT(ISNA(VLOOKUP(E136,E$1:E135,1,FALSE()))),"OLD",IF(AND(E136&lt;&gt;"",E136&lt;&gt;"!!!"),"NEW","")))</f>
        <v/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/>
      </c>
      <c r="H136" s="24" t="str">
        <f t="shared" ca="1" si="12"/>
        <v/>
      </c>
      <c r="I136" s="25" t="str">
        <f>IF(OR(E136="",E136="!!!",F136="NEW"),"",INDEX(B$2:B135,-1+SUMPRODUCT(MAX(ROW(E$2:E135)*(E136=E$2:E135)))))</f>
        <v/>
      </c>
      <c r="J136" s="25" t="str">
        <f ca="1">IF(OR(E136="",E136="!!!",F136="NEW"),"",COUNTBLANK(OFFSET(A$1,,,SUMPRODUCT(MAX(ROW(E$2:E136)*(E136=E$2:E136)))))-COUNTBLANK(OFFSET(A$1,,,SUMPRODUCT(MAX(ROW(E$1:E135)*(E2=E$1:E135))))))</f>
        <v/>
      </c>
      <c r="K136" s="25" t="str">
        <f>IF(OR(E136="",E136="!!!",F136="NEW"),"",INDEX(J$1:J135,SUMPRODUCT(MAX(ROW(E$1:E135)*(E136=E$1:E135)))))</f>
        <v/>
      </c>
      <c r="L136" s="26"/>
    </row>
    <row r="137" spans="1:12" x14ac:dyDescent="0.3">
      <c r="A137" t="s">
        <v>276</v>
      </c>
      <c r="E137" s="21" t="str">
        <f t="shared" si="13"/>
        <v/>
      </c>
      <c r="F137" s="22" t="str">
        <f>IF(OR(E137="",E137="!!!"),"",IF(NOT(ISNA(VLOOKUP(E137,E$1:E136,1,FALSE()))),"OLD",IF(AND(E137&lt;&gt;"",E137&lt;&gt;"!!!"),"NEW","")))</f>
        <v/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/>
      </c>
      <c r="H137" s="24" t="str">
        <f t="shared" ca="1" si="12"/>
        <v/>
      </c>
      <c r="I137" s="25" t="str">
        <f>IF(OR(E137="",E137="!!!",F137="NEW"),"",INDEX(B$2:B136,-1+SUMPRODUCT(MAX(ROW(E$2:E136)*(E137=E$2:E136)))))</f>
        <v/>
      </c>
      <c r="J137" s="25" t="str">
        <f ca="1">IF(OR(E137="",E137="!!!",F137="NEW"),"",COUNTBLANK(OFFSET(A$1,,,SUMPRODUCT(MAX(ROW(E$2:E137)*(E137=E$2:E137)))))-COUNTBLANK(OFFSET(A$1,,,SUMPRODUCT(MAX(ROW(E$1:E136)*(E2=E$1:E136))))))</f>
        <v/>
      </c>
      <c r="K137" s="25" t="str">
        <f>IF(OR(E137="",E137="!!!",F137="NEW"),"",INDEX(J$1:J136,SUMPRODUCT(MAX(ROW(E$1:E136)*(E137=E$1:E136)))))</f>
        <v/>
      </c>
      <c r="L137" s="26"/>
    </row>
    <row r="138" spans="1:12" x14ac:dyDescent="0.3">
      <c r="A138" t="s">
        <v>197</v>
      </c>
      <c r="E138" s="21" t="str">
        <f t="shared" si="13"/>
        <v/>
      </c>
      <c r="F138" s="22" t="str">
        <f>IF(OR(E138="",E138="!!!"),"",IF(NOT(ISNA(VLOOKUP(E138,E$1:E137,1,FALSE()))),"OLD",IF(AND(E138&lt;&gt;"",E138&lt;&gt;"!!!"),"NEW","")))</f>
        <v/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/>
      </c>
      <c r="H138" s="24" t="str">
        <f t="shared" ca="1" si="12"/>
        <v/>
      </c>
      <c r="I138" s="25" t="str">
        <f>IF(OR(E138="",E138="!!!",F138="NEW"),"",INDEX(B$2:B137,-1+SUMPRODUCT(MAX(ROW(E$2:E137)*(E138=E$2:E137)))))</f>
        <v/>
      </c>
      <c r="J138" s="25" t="str">
        <f ca="1">IF(OR(E138="",E138="!!!",F138="NEW"),"",COUNTBLANK(OFFSET(A$1,,,SUMPRODUCT(MAX(ROW(E$2:E138)*(E138=E$2:E138)))))-COUNTBLANK(OFFSET(A$1,,,SUMPRODUCT(MAX(ROW(E$1:E137)*(E2=E$1:E137))))))</f>
        <v/>
      </c>
      <c r="K138" s="25" t="str">
        <f>IF(OR(E138="",E138="!!!",F138="NEW"),"",INDEX(J$1:J137,SUMPRODUCT(MAX(ROW(E$1:E137)*(E138=E$1:E137)))))</f>
        <v/>
      </c>
      <c r="L138" s="26"/>
    </row>
    <row r="139" spans="1:12" x14ac:dyDescent="0.3">
      <c r="A139" t="s">
        <v>226</v>
      </c>
      <c r="E139" s="21" t="str">
        <f t="shared" si="13"/>
        <v/>
      </c>
      <c r="F139" s="22" t="str">
        <f>IF(OR(E139="",E139="!!!"),"",IF(NOT(ISNA(VLOOKUP(E139,E$1:E138,1,FALSE()))),"OLD",IF(AND(E139&lt;&gt;"",E139&lt;&gt;"!!!"),"NEW","")))</f>
        <v/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/>
      </c>
      <c r="H139" s="24" t="str">
        <f t="shared" ca="1" si="12"/>
        <v/>
      </c>
      <c r="I139" s="25" t="str">
        <f>IF(OR(E139="",E139="!!!",F139="NEW"),"",INDEX(B$2:B138,-1+SUMPRODUCT(MAX(ROW(E$2:E138)*(E139=E$2:E138)))))</f>
        <v/>
      </c>
      <c r="J139" s="25" t="str">
        <f ca="1">IF(OR(E139="",E139="!!!",F139="NEW"),"",COUNTBLANK(OFFSET(A$1,,,SUMPRODUCT(MAX(ROW(E$2:E139)*(E139=E$2:E139)))))-COUNTBLANK(OFFSET(A$1,,,SUMPRODUCT(MAX(ROW(E$1:E138)*(E2=E$1:E138))))))</f>
        <v/>
      </c>
      <c r="K139" s="25" t="str">
        <f>IF(OR(E139="",E139="!!!",F139="NEW"),"",INDEX(J$1:J138,SUMPRODUCT(MAX(ROW(E$1:E138)*(E139=E$1:E138)))))</f>
        <v/>
      </c>
      <c r="L139" s="26"/>
    </row>
    <row r="141" spans="1:12" x14ac:dyDescent="0.3">
      <c r="A141" t="s">
        <v>277</v>
      </c>
    </row>
    <row r="142" spans="1:12" x14ac:dyDescent="0.3">
      <c r="A142" t="s">
        <v>178</v>
      </c>
      <c r="E142" s="21" t="str">
        <f t="shared" ref="E142:E152" si="14">IF(D142="?OLD","!!!","")</f>
        <v/>
      </c>
      <c r="F142" s="22" t="str">
        <f>IF(OR(E142="",E142="!!!"),"",IF(NOT(ISNA(VLOOKUP(E142,E$1:E141,1,FALSE()))),"OLD",IF(AND(E142&lt;&gt;"",E142&lt;&gt;"!!!"),"NEW","")))</f>
        <v/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/>
      </c>
      <c r="H142" s="24" t="str">
        <f t="shared" ref="H142:H152" ca="1" si="15">IF(J142&lt;&gt;1,"",IF(I142="SBJ","CB","?"))</f>
        <v/>
      </c>
      <c r="I142" s="25" t="str">
        <f>IF(OR(E142="",E142="!!!",F142="NEW"),"",INDEX(B$2:B141,-1+SUMPRODUCT(MAX(ROW(E$2:E141)*(E142=E$2:E141)))))</f>
        <v/>
      </c>
      <c r="J142" s="25" t="str">
        <f ca="1">IF(OR(E142="",E142="!!!",F142="NEW"),"",COUNTBLANK(OFFSET(A$1,,,SUMPRODUCT(MAX(ROW(E$2:E142)*(E142=E$2:E142)))))-COUNTBLANK(OFFSET(A$1,,,SUMPRODUCT(MAX(ROW(E$1:E141)*(E2=E$1:E141))))))</f>
        <v/>
      </c>
      <c r="K142" s="25" t="str">
        <f>IF(OR(E142="",E142="!!!",F142="NEW"),"",INDEX(J$1:J141,SUMPRODUCT(MAX(ROW(E$1:E141)*(E142=E$1:E141)))))</f>
        <v/>
      </c>
      <c r="L142" s="26"/>
    </row>
    <row r="143" spans="1:12" x14ac:dyDescent="0.3">
      <c r="A143" t="s">
        <v>246</v>
      </c>
      <c r="E143" s="21" t="str">
        <f t="shared" si="14"/>
        <v/>
      </c>
      <c r="F143" s="22" t="str">
        <f>IF(OR(E143="",E143="!!!"),"",IF(NOT(ISNA(VLOOKUP(E143,E$1:E142,1,FALSE()))),"OLD",IF(AND(E143&lt;&gt;"",E143&lt;&gt;"!!!"),"NEW","")))</f>
        <v/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/>
      </c>
      <c r="H143" s="24" t="str">
        <f t="shared" ca="1" si="15"/>
        <v/>
      </c>
      <c r="I143" s="25" t="str">
        <f>IF(OR(E143="",E143="!!!",F143="NEW"),"",INDEX(B$2:B142,-1+SUMPRODUCT(MAX(ROW(E$2:E142)*(E143=E$2:E142)))))</f>
        <v/>
      </c>
      <c r="J143" s="25" t="str">
        <f ca="1">IF(OR(E143="",E143="!!!",F143="NEW"),"",COUNTBLANK(OFFSET(A$1,,,SUMPRODUCT(MAX(ROW(E$2:E143)*(E143=E$2:E143)))))-COUNTBLANK(OFFSET(A$1,,,SUMPRODUCT(MAX(ROW(E$1:E142)*(E2=E$1:E142))))))</f>
        <v/>
      </c>
      <c r="K143" s="25" t="str">
        <f>IF(OR(E143="",E143="!!!",F143="NEW"),"",INDEX(J$1:J142,SUMPRODUCT(MAX(ROW(E$1:E142)*(E143=E$1:E142)))))</f>
        <v/>
      </c>
      <c r="L143" s="26"/>
    </row>
    <row r="144" spans="1:12" x14ac:dyDescent="0.3">
      <c r="A144" t="s">
        <v>173</v>
      </c>
      <c r="B144" s="20" t="s">
        <v>166</v>
      </c>
      <c r="C144" s="20" t="s">
        <v>195</v>
      </c>
      <c r="D144" s="20" t="s">
        <v>171</v>
      </c>
      <c r="E144" s="21" t="s">
        <v>472</v>
      </c>
      <c r="F144" s="22" t="str">
        <f>IF(OR(E144="",E144="!!!"),"",IF(NOT(ISNA(VLOOKUP(E144,E$1:E143,1,FALSE()))),"OLD",IF(AND(E144&lt;&gt;"",E144&lt;&gt;"!!!"),"NEW","")))</f>
        <v>OLD</v>
      </c>
      <c r="G144" s="23" t="s">
        <v>509</v>
      </c>
      <c r="H144" s="24" t="str">
        <f t="shared" ca="1" si="15"/>
        <v/>
      </c>
      <c r="I144" s="25" t="str">
        <f>IF(OR(E144="",E144="!!!",F144="NEW"),"",INDEX(B$2:B143,-1+SUMPRODUCT(MAX(ROW(E$2:E143)*(E144=E$2:E143)))))</f>
        <v>OBJ_2</v>
      </c>
      <c r="J144" s="25">
        <f ca="1">IF(OR(E144="",E144="!!!",F144="NEW"),"",COUNTBLANK(OFFSET(A$1,,,SUMPRODUCT(MAX(ROW(E$2:E144)*(E144=E$2:E144)))))-COUNTBLANK(OFFSET(A$1,,,SUMPRODUCT(MAX(ROW(E$1:E143)*(E2=E$1:E143))))))</f>
        <v>0</v>
      </c>
      <c r="K144" s="25">
        <f ca="1">IF(OR(E144="",E144="!!!",F144="NEW"),"",INDEX(J$1:J143,SUMPRODUCT(MAX(ROW(E$1:E143)*(E144=E$1:E143)))))</f>
        <v>0</v>
      </c>
      <c r="L144" s="26"/>
    </row>
    <row r="145" spans="1:12" x14ac:dyDescent="0.3">
      <c r="A145" t="s">
        <v>278</v>
      </c>
      <c r="E145" s="21" t="str">
        <f t="shared" si="14"/>
        <v/>
      </c>
      <c r="F145" s="22" t="str">
        <f>IF(OR(E145="",E145="!!!"),"",IF(NOT(ISNA(VLOOKUP(E145,E$1:E144,1,FALSE()))),"OLD",IF(AND(E145&lt;&gt;"",E145&lt;&gt;"!!!"),"NEW","")))</f>
        <v/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/>
      </c>
      <c r="H145" s="24" t="str">
        <f t="shared" ca="1" si="15"/>
        <v/>
      </c>
      <c r="I145" s="25" t="str">
        <f>IF(OR(E145="",E145="!!!",F145="NEW"),"",INDEX(B$2:B144,-1+SUMPRODUCT(MAX(ROW(E$2:E144)*(E145=E$2:E144)))))</f>
        <v/>
      </c>
      <c r="J145" s="25" t="str">
        <f ca="1">IF(OR(E145="",E145="!!!",F145="NEW"),"",COUNTBLANK(OFFSET(A$1,,,SUMPRODUCT(MAX(ROW(E$2:E145)*(E145=E$2:E145)))))-COUNTBLANK(OFFSET(A$1,,,SUMPRODUCT(MAX(ROW(E$1:E144)*(E2=E$1:E144))))))</f>
        <v/>
      </c>
      <c r="K145" s="25" t="str">
        <f>IF(OR(E145="",E145="!!!",F145="NEW"),"",INDEX(J$1:J144,SUMPRODUCT(MAX(ROW(E$1:E144)*(E145=E$1:E144)))))</f>
        <v/>
      </c>
      <c r="L145" s="26"/>
    </row>
    <row r="146" spans="1:12" x14ac:dyDescent="0.3">
      <c r="A146" t="s">
        <v>279</v>
      </c>
      <c r="E146" s="21" t="str">
        <f t="shared" si="14"/>
        <v/>
      </c>
      <c r="F146" s="22" t="str">
        <f>IF(OR(E146="",E146="!!!"),"",IF(NOT(ISNA(VLOOKUP(E146,E$1:E145,1,FALSE()))),"OLD",IF(AND(E146&lt;&gt;"",E146&lt;&gt;"!!!"),"NEW","")))</f>
        <v/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/>
      </c>
      <c r="H146" s="24" t="str">
        <f t="shared" ca="1" si="15"/>
        <v/>
      </c>
      <c r="I146" s="25" t="str">
        <f>IF(OR(E146="",E146="!!!",F146="NEW"),"",INDEX(B$2:B145,-1+SUMPRODUCT(MAX(ROW(E$2:E145)*(E146=E$2:E145)))))</f>
        <v/>
      </c>
      <c r="J146" s="25" t="str">
        <f ca="1">IF(OR(E146="",E146="!!!",F146="NEW"),"",COUNTBLANK(OFFSET(A$1,,,SUMPRODUCT(MAX(ROW(E$2:E146)*(E146=E$2:E146)))))-COUNTBLANK(OFFSET(A$1,,,SUMPRODUCT(MAX(ROW(E$1:E145)*(E2=E$1:E145))))))</f>
        <v/>
      </c>
      <c r="K146" s="25" t="str">
        <f>IF(OR(E146="",E146="!!!",F146="NEW"),"",INDEX(J$1:J145,SUMPRODUCT(MAX(ROW(E$1:E145)*(E146=E$1:E145)))))</f>
        <v/>
      </c>
      <c r="L146" s="26"/>
    </row>
    <row r="147" spans="1:12" x14ac:dyDescent="0.3">
      <c r="A147" t="s">
        <v>280</v>
      </c>
      <c r="E147" s="21" t="str">
        <f t="shared" si="14"/>
        <v/>
      </c>
      <c r="F147" s="22" t="str">
        <f>IF(OR(E147="",E147="!!!"),"",IF(NOT(ISNA(VLOOKUP(E147,E$1:E146,1,FALSE()))),"OLD",IF(AND(E147&lt;&gt;"",E147&lt;&gt;"!!!"),"NEW","")))</f>
        <v/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/>
      </c>
      <c r="H147" s="24" t="str">
        <f t="shared" ca="1" si="15"/>
        <v/>
      </c>
      <c r="I147" s="25" t="str">
        <f>IF(OR(E147="",E147="!!!",F147="NEW"),"",INDEX(B$2:B146,-1+SUMPRODUCT(MAX(ROW(E$2:E146)*(E147=E$2:E146)))))</f>
        <v/>
      </c>
      <c r="J147" s="25" t="str">
        <f ca="1">IF(OR(E147="",E147="!!!",F147="NEW"),"",COUNTBLANK(OFFSET(A$1,,,SUMPRODUCT(MAX(ROW(E$2:E147)*(E147=E$2:E147)))))-COUNTBLANK(OFFSET(A$1,,,SUMPRODUCT(MAX(ROW(E$1:E146)*(E2=E$1:E146))))))</f>
        <v/>
      </c>
      <c r="K147" s="25" t="str">
        <f>IF(OR(E147="",E147="!!!",F147="NEW"),"",INDEX(J$1:J146,SUMPRODUCT(MAX(ROW(E$1:E146)*(E147=E$1:E146)))))</f>
        <v/>
      </c>
      <c r="L147" s="26"/>
    </row>
    <row r="148" spans="1:12" x14ac:dyDescent="0.3">
      <c r="A148" t="s">
        <v>192</v>
      </c>
      <c r="E148" s="21" t="str">
        <f t="shared" si="14"/>
        <v/>
      </c>
      <c r="F148" s="22" t="str">
        <f>IF(OR(E148="",E148="!!!"),"",IF(NOT(ISNA(VLOOKUP(E148,E$1:E147,1,FALSE()))),"OLD",IF(AND(E148&lt;&gt;"",E148&lt;&gt;"!!!"),"NEW","")))</f>
        <v/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/>
      </c>
      <c r="H148" s="24" t="str">
        <f t="shared" ca="1" si="15"/>
        <v/>
      </c>
      <c r="I148" s="25" t="str">
        <f>IF(OR(E148="",E148="!!!",F148="NEW"),"",INDEX(B$2:B147,-1+SUMPRODUCT(MAX(ROW(E$2:E147)*(E148=E$2:E147)))))</f>
        <v/>
      </c>
      <c r="J148" s="25" t="str">
        <f ca="1">IF(OR(E148="",E148="!!!",F148="NEW"),"",COUNTBLANK(OFFSET(A$1,,,SUMPRODUCT(MAX(ROW(E$2:E148)*(E148=E$2:E148)))))-COUNTBLANK(OFFSET(A$1,,,SUMPRODUCT(MAX(ROW(E$1:E147)*(E2=E$1:E147))))))</f>
        <v/>
      </c>
      <c r="K148" s="25" t="str">
        <f>IF(OR(E148="",E148="!!!",F148="NEW"),"",INDEX(J$1:J147,SUMPRODUCT(MAX(ROW(E$1:E147)*(E148=E$1:E147)))))</f>
        <v/>
      </c>
      <c r="L148" s="26"/>
    </row>
    <row r="149" spans="1:12" x14ac:dyDescent="0.3">
      <c r="A149" t="s">
        <v>281</v>
      </c>
      <c r="E149" s="21" t="str">
        <f t="shared" si="14"/>
        <v/>
      </c>
      <c r="F149" s="22" t="str">
        <f>IF(OR(E149="",E149="!!!"),"",IF(NOT(ISNA(VLOOKUP(E149,E$1:E148,1,FALSE()))),"OLD",IF(AND(E149&lt;&gt;"",E149&lt;&gt;"!!!"),"NEW","")))</f>
        <v/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/>
      </c>
      <c r="H149" s="24" t="str">
        <f t="shared" ca="1" si="15"/>
        <v/>
      </c>
      <c r="I149" s="25" t="str">
        <f>IF(OR(E149="",E149="!!!",F149="NEW"),"",INDEX(B$2:B148,-1+SUMPRODUCT(MAX(ROW(E$2:E148)*(E149=E$2:E148)))))</f>
        <v/>
      </c>
      <c r="J149" s="25" t="str">
        <f ca="1">IF(OR(E149="",E149="!!!",F149="NEW"),"",COUNTBLANK(OFFSET(A$1,,,SUMPRODUCT(MAX(ROW(E$2:E149)*(E149=E$2:E149)))))-COUNTBLANK(OFFSET(A$1,,,SUMPRODUCT(MAX(ROW(E$1:E148)*(E2=E$1:E148))))))</f>
        <v/>
      </c>
      <c r="K149" s="25" t="str">
        <f>IF(OR(E149="",E149="!!!",F149="NEW"),"",INDEX(J$1:J148,SUMPRODUCT(MAX(ROW(E$1:E148)*(E149=E$1:E148)))))</f>
        <v/>
      </c>
      <c r="L149" s="26"/>
    </row>
    <row r="150" spans="1:12" x14ac:dyDescent="0.3">
      <c r="A150" t="s">
        <v>282</v>
      </c>
      <c r="B150" s="20" t="s">
        <v>183</v>
      </c>
      <c r="C150" s="20" t="s">
        <v>195</v>
      </c>
      <c r="D150" s="20" t="s">
        <v>171</v>
      </c>
      <c r="E150" s="21"/>
      <c r="F150" s="22" t="s">
        <v>486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/>
      </c>
      <c r="H150" s="24" t="str">
        <f t="shared" ca="1" si="15"/>
        <v/>
      </c>
      <c r="I150" s="25" t="str">
        <f>IF(OR(E150="",E150="!!!",F150="NEW"),"",INDEX(B$2:B149,-1+SUMPRODUCT(MAX(ROW(E$2:E149)*(E150=E$2:E149)))))</f>
        <v/>
      </c>
      <c r="J150" s="25" t="str">
        <f ca="1">IF(OR(E150="",E150="!!!",F150="NEW"),"",COUNTBLANK(OFFSET(A$1,,,SUMPRODUCT(MAX(ROW(E$2:E150)*(E150=E$2:E150)))))-COUNTBLANK(OFFSET(A$1,,,SUMPRODUCT(MAX(ROW(E$1:E149)*(E2=E$1:E149))))))</f>
        <v/>
      </c>
      <c r="K150" s="25" t="str">
        <f>IF(OR(E150="",E150="!!!",F150="NEW"),"",INDEX(J$1:J149,SUMPRODUCT(MAX(ROW(E$1:E149)*(E150=E$1:E149)))))</f>
        <v/>
      </c>
      <c r="L150" s="26"/>
    </row>
    <row r="151" spans="1:12" x14ac:dyDescent="0.3">
      <c r="A151" t="s">
        <v>48</v>
      </c>
      <c r="E151" s="21" t="str">
        <f t="shared" si="14"/>
        <v/>
      </c>
      <c r="F151" s="22" t="str">
        <f>IF(OR(E151="",E151="!!!"),"",IF(NOT(ISNA(VLOOKUP(E151,E$1:E150,1,FALSE()))),"OLD",IF(AND(E151&lt;&gt;"",E151&lt;&gt;"!!!"),"NEW","")))</f>
        <v/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/>
      </c>
      <c r="H151" s="24" t="str">
        <f t="shared" ca="1" si="15"/>
        <v/>
      </c>
      <c r="I151" s="25" t="str">
        <f>IF(OR(E151="",E151="!!!",F151="NEW"),"",INDEX(B$2:B150,-1+SUMPRODUCT(MAX(ROW(E$2:E150)*(E151=E$2:E150)))))</f>
        <v/>
      </c>
      <c r="J151" s="25" t="str">
        <f ca="1">IF(OR(E151="",E151="!!!",F151="NEW"),"",COUNTBLANK(OFFSET(A$1,,,SUMPRODUCT(MAX(ROW(E$2:E151)*(E151=E$2:E151)))))-COUNTBLANK(OFFSET(A$1,,,SUMPRODUCT(MAX(ROW(E$1:E150)*(E2=E$1:E150))))))</f>
        <v/>
      </c>
      <c r="K151" s="25" t="str">
        <f>IF(OR(E151="",E151="!!!",F151="NEW"),"",INDEX(J$1:J150,SUMPRODUCT(MAX(ROW(E$1:E150)*(E151=E$1:E150)))))</f>
        <v/>
      </c>
      <c r="L151" s="26"/>
    </row>
    <row r="152" spans="1:12" x14ac:dyDescent="0.3">
      <c r="A152" t="s">
        <v>197</v>
      </c>
      <c r="E152" s="21" t="str">
        <f t="shared" si="14"/>
        <v/>
      </c>
      <c r="F152" s="22" t="str">
        <f>IF(OR(E152="",E152="!!!"),"",IF(NOT(ISNA(VLOOKUP(E152,E$1:E151,1,FALSE()))),"OLD",IF(AND(E152&lt;&gt;"",E152&lt;&gt;"!!!"),"NEW","")))</f>
        <v/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/>
      </c>
      <c r="H152" s="24" t="str">
        <f t="shared" ca="1" si="15"/>
        <v/>
      </c>
      <c r="I152" s="25" t="str">
        <f>IF(OR(E152="",E152="!!!",F152="NEW"),"",INDEX(B$2:B151,-1+SUMPRODUCT(MAX(ROW(E$2:E151)*(E152=E$2:E151)))))</f>
        <v/>
      </c>
      <c r="J152" s="25" t="str">
        <f ca="1">IF(OR(E152="",E152="!!!",F152="NEW"),"",COUNTBLANK(OFFSET(A$1,,,SUMPRODUCT(MAX(ROW(E$2:E152)*(E152=E$2:E152)))))-COUNTBLANK(OFFSET(A$1,,,SUMPRODUCT(MAX(ROW(E$1:E151)*(E2=E$1:E151))))))</f>
        <v/>
      </c>
      <c r="K152" s="25" t="str">
        <f>IF(OR(E152="",E152="!!!",F152="NEW"),"",INDEX(J$1:J151,SUMPRODUCT(MAX(ROW(E$1:E151)*(E152=E$1:E151)))))</f>
        <v/>
      </c>
      <c r="L152" s="26"/>
    </row>
    <row r="154" spans="1:12" x14ac:dyDescent="0.3">
      <c r="A154" t="s">
        <v>219</v>
      </c>
      <c r="E154" s="21" t="str">
        <f>IF(D154="?OLD","!!!","")</f>
        <v/>
      </c>
      <c r="F154" s="22" t="str">
        <f>IF(OR(E154="",E154="!!!"),"",IF(NOT(ISNA(VLOOKUP(E154,E$1:E153,1,FALSE()))),"OLD",IF(AND(E154&lt;&gt;"",E154&lt;&gt;"!!!"),"NEW","")))</f>
        <v/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/>
      </c>
      <c r="H154" s="24" t="str">
        <f ca="1">IF(J154&lt;&gt;1,"",IF(I154="SBJ","CB","?"))</f>
        <v/>
      </c>
      <c r="I154" s="25" t="str">
        <f>IF(OR(E154="",E154="!!!",F154="NEW"),"",INDEX(B$2:B153,-1+SUMPRODUCT(MAX(ROW(E$2:E153)*(E154=E$2:E153)))))</f>
        <v/>
      </c>
      <c r="J154" s="25" t="str">
        <f ca="1">IF(OR(E154="",E154="!!!",F154="NEW"),"",COUNTBLANK(OFFSET(A$1,,,SUMPRODUCT(MAX(ROW(E$2:E154)*(E154=E$2:E154)))))-COUNTBLANK(OFFSET(A$1,,,SUMPRODUCT(MAX(ROW(E$1:E153)*(E2=E$1:E153))))))</f>
        <v/>
      </c>
      <c r="K154" s="25" t="str">
        <f>IF(OR(E154="",E154="!!!",F154="NEW"),"",INDEX(J$1:J153,SUMPRODUCT(MAX(ROW(E$1:E153)*(E154=E$1:E153)))))</f>
        <v/>
      </c>
      <c r="L154" s="26"/>
    </row>
    <row r="155" spans="1:12" x14ac:dyDescent="0.3">
      <c r="A155" t="s">
        <v>283</v>
      </c>
    </row>
    <row r="156" spans="1:12" x14ac:dyDescent="0.3">
      <c r="A156" t="s">
        <v>284</v>
      </c>
      <c r="E156" s="21" t="str">
        <f t="shared" ref="E156:E183" si="16">IF(D156="?OLD","!!!","")</f>
        <v/>
      </c>
      <c r="F156" s="22" t="str">
        <f>IF(OR(E156="",E156="!!!"),"",IF(NOT(ISNA(VLOOKUP(E156,E$1:E155,1,FALSE()))),"OLD",IF(AND(E156&lt;&gt;"",E156&lt;&gt;"!!!"),"NEW","")))</f>
        <v/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/>
      </c>
      <c r="H156" s="24" t="str">
        <f t="shared" ref="H156:H183" ca="1" si="17">IF(J156&lt;&gt;1,"",IF(I156="SBJ","CB","?"))</f>
        <v/>
      </c>
      <c r="I156" s="25" t="str">
        <f>IF(OR(E156="",E156="!!!",F156="NEW"),"",INDEX(B$2:B155,-1+SUMPRODUCT(MAX(ROW(E$2:E155)*(E156=E$2:E155)))))</f>
        <v/>
      </c>
      <c r="J156" s="25" t="str">
        <f ca="1">IF(OR(E156="",E156="!!!",F156="NEW"),"",COUNTBLANK(OFFSET(A$1,,,SUMPRODUCT(MAX(ROW(E$2:E156)*(E156=E$2:E156)))))-COUNTBLANK(OFFSET(A$1,,,SUMPRODUCT(MAX(ROW(E$1:E155)*(E2=E$1:E155))))))</f>
        <v/>
      </c>
      <c r="K156" s="25" t="str">
        <f>IF(OR(E156="",E156="!!!",F156="NEW"),"",INDEX(J$1:J155,SUMPRODUCT(MAX(ROW(E$1:E155)*(E156=E$1:E155)))))</f>
        <v/>
      </c>
      <c r="L156" s="26"/>
    </row>
    <row r="157" spans="1:12" x14ac:dyDescent="0.3">
      <c r="A157" t="s">
        <v>285</v>
      </c>
      <c r="E157" s="21" t="str">
        <f t="shared" si="16"/>
        <v/>
      </c>
      <c r="F157" s="22" t="str">
        <f>IF(OR(E157="",E157="!!!"),"",IF(NOT(ISNA(VLOOKUP(E157,E$1:E156,1,FALSE()))),"OLD",IF(AND(E157&lt;&gt;"",E157&lt;&gt;"!!!"),"NEW","")))</f>
        <v/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/>
      </c>
      <c r="H157" s="24" t="str">
        <f t="shared" ca="1" si="17"/>
        <v/>
      </c>
      <c r="I157" s="25" t="str">
        <f>IF(OR(E157="",E157="!!!",F157="NEW"),"",INDEX(B$2:B156,-1+SUMPRODUCT(MAX(ROW(E$2:E156)*(E157=E$2:E156)))))</f>
        <v/>
      </c>
      <c r="J157" s="25" t="str">
        <f ca="1">IF(OR(E157="",E157="!!!",F157="NEW"),"",COUNTBLANK(OFFSET(A$1,,,SUMPRODUCT(MAX(ROW(E$2:E157)*(E157=E$2:E157)))))-COUNTBLANK(OFFSET(A$1,,,SUMPRODUCT(MAX(ROW(E$1:E156)*(E2=E$1:E156))))))</f>
        <v/>
      </c>
      <c r="K157" s="25" t="str">
        <f>IF(OR(E157="",E157="!!!",F157="NEW"),"",INDEX(J$1:J156,SUMPRODUCT(MAX(ROW(E$1:E156)*(E157=E$1:E156)))))</f>
        <v/>
      </c>
      <c r="L157" s="26"/>
    </row>
    <row r="158" spans="1:12" x14ac:dyDescent="0.3">
      <c r="A158" t="s">
        <v>286</v>
      </c>
      <c r="B158" s="20" t="s">
        <v>166</v>
      </c>
      <c r="C158" s="20" t="s">
        <v>195</v>
      </c>
      <c r="D158" s="20" t="s">
        <v>171</v>
      </c>
      <c r="E158" s="21" t="s">
        <v>488</v>
      </c>
      <c r="F158" s="22" t="str">
        <f>IF(OR(E158="",E158="!!!"),"",IF(NOT(ISNA(VLOOKUP(E158,E$1:E157,1,FALSE()))),"OLD",IF(AND(E158&lt;&gt;"",E158&lt;&gt;"!!!"),"NEW","")))</f>
        <v>NEW</v>
      </c>
      <c r="G158" s="23" t="s">
        <v>510</v>
      </c>
      <c r="H158" s="24" t="str">
        <f t="shared" ca="1" si="17"/>
        <v/>
      </c>
      <c r="I158" s="25" t="str">
        <f>IF(OR(E158="",E158="!!!",F158="NEW"),"",INDEX(B$2:B157,-1+SUMPRODUCT(MAX(ROW(E$2:E157)*(E158=E$2:E157)))))</f>
        <v/>
      </c>
      <c r="J158" s="25" t="str">
        <f ca="1">IF(OR(E158="",E158="!!!",F158="NEW"),"",COUNTBLANK(OFFSET(A$1,,,SUMPRODUCT(MAX(ROW(E$2:E158)*(E158=E$2:E158)))))-COUNTBLANK(OFFSET(A$1,,,SUMPRODUCT(MAX(ROW(E$1:E157)*(E2=E$1:E157))))))</f>
        <v/>
      </c>
      <c r="K158" s="25" t="str">
        <f>IF(OR(E158="",E158="!!!",F158="NEW"),"",INDEX(J$1:J157,SUMPRODUCT(MAX(ROW(E$1:E157)*(E158=E$1:E157)))))</f>
        <v/>
      </c>
      <c r="L158" s="26"/>
    </row>
    <row r="159" spans="1:12" x14ac:dyDescent="0.3">
      <c r="A159" t="s">
        <v>192</v>
      </c>
      <c r="E159" s="21" t="str">
        <f t="shared" si="16"/>
        <v/>
      </c>
      <c r="F159" s="22" t="str">
        <f>IF(OR(E159="",E159="!!!"),"",IF(NOT(ISNA(VLOOKUP(E159,E$1:E158,1,FALSE()))),"OLD",IF(AND(E159&lt;&gt;"",E159&lt;&gt;"!!!"),"NEW","")))</f>
        <v/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/>
      </c>
      <c r="H159" s="24" t="str">
        <f t="shared" ca="1" si="17"/>
        <v/>
      </c>
      <c r="I159" s="25" t="str">
        <f>IF(OR(E159="",E159="!!!",F159="NEW"),"",INDEX(B$2:B158,-1+SUMPRODUCT(MAX(ROW(E$2:E158)*(E159=E$2:E158)))))</f>
        <v/>
      </c>
      <c r="J159" s="25" t="str">
        <f ca="1">IF(OR(E159="",E159="!!!",F159="NEW"),"",COUNTBLANK(OFFSET(A$1,,,SUMPRODUCT(MAX(ROW(E$2:E159)*(E159=E$2:E159)))))-COUNTBLANK(OFFSET(A$1,,,SUMPRODUCT(MAX(ROW(E$1:E158)*(E2=E$1:E158))))))</f>
        <v/>
      </c>
      <c r="K159" s="25" t="str">
        <f>IF(OR(E159="",E159="!!!",F159="NEW"),"",INDEX(J$1:J158,SUMPRODUCT(MAX(ROW(E$1:E158)*(E159=E$1:E158)))))</f>
        <v/>
      </c>
      <c r="L159" s="26"/>
    </row>
    <row r="160" spans="1:12" x14ac:dyDescent="0.3">
      <c r="A160" t="s">
        <v>281</v>
      </c>
      <c r="E160" s="21" t="str">
        <f t="shared" si="16"/>
        <v/>
      </c>
      <c r="F160" s="22" t="str">
        <f>IF(OR(E160="",E160="!!!"),"",IF(NOT(ISNA(VLOOKUP(E160,E$1:E159,1,FALSE()))),"OLD",IF(AND(E160&lt;&gt;"",E160&lt;&gt;"!!!"),"NEW","")))</f>
        <v/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/>
      </c>
      <c r="H160" s="24" t="str">
        <f t="shared" ca="1" si="17"/>
        <v/>
      </c>
      <c r="I160" s="25" t="str">
        <f>IF(OR(E160="",E160="!!!",F160="NEW"),"",INDEX(B$2:B159,-1+SUMPRODUCT(MAX(ROW(E$2:E159)*(E160=E$2:E159)))))</f>
        <v/>
      </c>
      <c r="J160" s="25" t="str">
        <f ca="1">IF(OR(E160="",E160="!!!",F160="NEW"),"",COUNTBLANK(OFFSET(A$1,,,SUMPRODUCT(MAX(ROW(E$2:E160)*(E160=E$2:E160)))))-COUNTBLANK(OFFSET(A$1,,,SUMPRODUCT(MAX(ROW(E$1:E159)*(E2=E$1:E159))))))</f>
        <v/>
      </c>
      <c r="K160" s="25" t="str">
        <f>IF(OR(E160="",E160="!!!",F160="NEW"),"",INDEX(J$1:J159,SUMPRODUCT(MAX(ROW(E$1:E159)*(E160=E$1:E159)))))</f>
        <v/>
      </c>
      <c r="L160" s="26"/>
    </row>
    <row r="161" spans="1:12" x14ac:dyDescent="0.3">
      <c r="A161" t="s">
        <v>287</v>
      </c>
      <c r="B161" s="20" t="s">
        <v>182</v>
      </c>
      <c r="C161" s="20" t="s">
        <v>195</v>
      </c>
      <c r="D161" s="20" t="s">
        <v>171</v>
      </c>
      <c r="E161" s="21" t="s">
        <v>487</v>
      </c>
      <c r="F161" s="22" t="str">
        <f>IF(OR(E161="",E161="!!!"),"",IF(NOT(ISNA(VLOOKUP(E161,E$1:E160,1,FALSE()))),"OLD",IF(AND(E161&lt;&gt;"",E161&lt;&gt;"!!!"),"NEW","")))</f>
        <v>NEW</v>
      </c>
      <c r="G161" s="23" t="s">
        <v>510</v>
      </c>
      <c r="H161" s="24" t="str">
        <f t="shared" ca="1" si="17"/>
        <v/>
      </c>
      <c r="I161" s="25" t="str">
        <f>IF(OR(E161="",E161="!!!",F161="NEW"),"",INDEX(B$2:B160,-1+SUMPRODUCT(MAX(ROW(E$2:E160)*(E161=E$2:E160)))))</f>
        <v/>
      </c>
      <c r="J161" s="25" t="str">
        <f ca="1">IF(OR(E161="",E161="!!!",F161="NEW"),"",COUNTBLANK(OFFSET(A$1,,,SUMPRODUCT(MAX(ROW(E$2:E161)*(E161=E$2:E161)))))-COUNTBLANK(OFFSET(A$1,,,SUMPRODUCT(MAX(ROW(E$1:E160)*(E2=E$1:E160))))))</f>
        <v/>
      </c>
      <c r="K161" s="25" t="str">
        <f>IF(OR(E161="",E161="!!!",F161="NEW"),"",INDEX(J$1:J160,SUMPRODUCT(MAX(ROW(E$1:E160)*(E161=E$1:E160)))))</f>
        <v/>
      </c>
      <c r="L161" s="26"/>
    </row>
    <row r="162" spans="1:12" x14ac:dyDescent="0.3">
      <c r="A162" t="s">
        <v>288</v>
      </c>
      <c r="E162" s="21" t="str">
        <f t="shared" si="16"/>
        <v/>
      </c>
      <c r="F162" s="22" t="str">
        <f>IF(OR(E162="",E162="!!!"),"",IF(NOT(ISNA(VLOOKUP(E162,E$1:E161,1,FALSE()))),"OLD",IF(AND(E162&lt;&gt;"",E162&lt;&gt;"!!!"),"NEW","")))</f>
        <v/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/>
      </c>
      <c r="H162" s="24" t="str">
        <f t="shared" ca="1" si="17"/>
        <v/>
      </c>
      <c r="I162" s="25" t="str">
        <f>IF(OR(E162="",E162="!!!",F162="NEW"),"",INDEX(B$2:B161,-1+SUMPRODUCT(MAX(ROW(E$2:E161)*(E162=E$2:E161)))))</f>
        <v/>
      </c>
      <c r="J162" s="25" t="str">
        <f ca="1">IF(OR(E162="",E162="!!!",F162="NEW"),"",COUNTBLANK(OFFSET(A$1,,,SUMPRODUCT(MAX(ROW(E$2:E162)*(E162=E$2:E162)))))-COUNTBLANK(OFFSET(A$1,,,SUMPRODUCT(MAX(ROW(E$1:E161)*(E2=E$1:E161))))))</f>
        <v/>
      </c>
      <c r="K162" s="25" t="str">
        <f>IF(OR(E162="",E162="!!!",F162="NEW"),"",INDEX(J$1:J161,SUMPRODUCT(MAX(ROW(E$1:E161)*(E162=E$1:E161)))))</f>
        <v/>
      </c>
      <c r="L162" s="26"/>
    </row>
    <row r="163" spans="1:12" x14ac:dyDescent="0.3">
      <c r="A163" t="s">
        <v>289</v>
      </c>
      <c r="E163" s="21" t="str">
        <f t="shared" si="16"/>
        <v/>
      </c>
      <c r="F163" s="22" t="str">
        <f>IF(OR(E163="",E163="!!!"),"",IF(NOT(ISNA(VLOOKUP(E163,E$1:E162,1,FALSE()))),"OLD",IF(AND(E163&lt;&gt;"",E163&lt;&gt;"!!!"),"NEW","")))</f>
        <v/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/>
      </c>
      <c r="H163" s="24" t="str">
        <f t="shared" ca="1" si="17"/>
        <v/>
      </c>
      <c r="I163" s="25" t="str">
        <f>IF(OR(E163="",E163="!!!",F163="NEW"),"",INDEX(B$2:B162,-1+SUMPRODUCT(MAX(ROW(E$2:E162)*(E163=E$2:E162)))))</f>
        <v/>
      </c>
      <c r="J163" s="25" t="str">
        <f ca="1">IF(OR(E163="",E163="!!!",F163="NEW"),"",COUNTBLANK(OFFSET(A$1,,,SUMPRODUCT(MAX(ROW(E$2:E163)*(E163=E$2:E163)))))-COUNTBLANK(OFFSET(A$1,,,SUMPRODUCT(MAX(ROW(E$1:E162)*(E2=E$1:E162))))))</f>
        <v/>
      </c>
      <c r="K163" s="25" t="str">
        <f>IF(OR(E163="",E163="!!!",F163="NEW"),"",INDEX(J$1:J162,SUMPRODUCT(MAX(ROW(E$1:E162)*(E163=E$1:E162)))))</f>
        <v/>
      </c>
      <c r="L163" s="26"/>
    </row>
    <row r="164" spans="1:12" x14ac:dyDescent="0.3">
      <c r="A164" t="s">
        <v>206</v>
      </c>
      <c r="E164" s="21" t="str">
        <f t="shared" si="16"/>
        <v/>
      </c>
      <c r="F164" s="22" t="str">
        <f>IF(OR(E164="",E164="!!!"),"",IF(NOT(ISNA(VLOOKUP(E164,E$1:E163,1,FALSE()))),"OLD",IF(AND(E164&lt;&gt;"",E164&lt;&gt;"!!!"),"NEW","")))</f>
        <v/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/>
      </c>
      <c r="H164" s="24" t="str">
        <f t="shared" ca="1" si="17"/>
        <v/>
      </c>
      <c r="I164" s="25" t="str">
        <f>IF(OR(E164="",E164="!!!",F164="NEW"),"",INDEX(B$2:B163,-1+SUMPRODUCT(MAX(ROW(E$2:E163)*(E164=E$2:E163)))))</f>
        <v/>
      </c>
      <c r="J164" s="25" t="str">
        <f ca="1">IF(OR(E164="",E164="!!!",F164="NEW"),"",COUNTBLANK(OFFSET(A$1,,,SUMPRODUCT(MAX(ROW(E$2:E164)*(E164=E$2:E164)))))-COUNTBLANK(OFFSET(A$1,,,SUMPRODUCT(MAX(ROW(E$1:E163)*(E2=E$1:E163))))))</f>
        <v/>
      </c>
      <c r="K164" s="25" t="str">
        <f>IF(OR(E164="",E164="!!!",F164="NEW"),"",INDEX(J$1:J163,SUMPRODUCT(MAX(ROW(E$1:E163)*(E164=E$1:E163)))))</f>
        <v/>
      </c>
      <c r="L164" s="26"/>
    </row>
    <row r="165" spans="1:12" x14ac:dyDescent="0.3">
      <c r="A165" t="s">
        <v>290</v>
      </c>
      <c r="E165" s="21" t="str">
        <f t="shared" si="16"/>
        <v/>
      </c>
      <c r="F165" s="22" t="str">
        <f>IF(OR(E165="",E165="!!!"),"",IF(NOT(ISNA(VLOOKUP(E165,E$1:E164,1,FALSE()))),"OLD",IF(AND(E165&lt;&gt;"",E165&lt;&gt;"!!!"),"NEW","")))</f>
        <v/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/>
      </c>
      <c r="H165" s="24" t="str">
        <f t="shared" ca="1" si="17"/>
        <v/>
      </c>
      <c r="I165" s="25" t="str">
        <f>IF(OR(E165="",E165="!!!",F165="NEW"),"",INDEX(B$2:B164,-1+SUMPRODUCT(MAX(ROW(E$2:E164)*(E165=E$2:E164)))))</f>
        <v/>
      </c>
      <c r="J165" s="25" t="str">
        <f ca="1">IF(OR(E165="",E165="!!!",F165="NEW"),"",COUNTBLANK(OFFSET(A$1,,,SUMPRODUCT(MAX(ROW(E$2:E165)*(E165=E$2:E165)))))-COUNTBLANK(OFFSET(A$1,,,SUMPRODUCT(MAX(ROW(E$1:E164)*(E2=E$1:E164))))))</f>
        <v/>
      </c>
      <c r="K165" s="25" t="str">
        <f>IF(OR(E165="",E165="!!!",F165="NEW"),"",INDEX(J$1:J164,SUMPRODUCT(MAX(ROW(E$1:E164)*(E165=E$1:E164)))))</f>
        <v/>
      </c>
      <c r="L165" s="26"/>
    </row>
    <row r="166" spans="1:12" x14ac:dyDescent="0.3">
      <c r="A166" t="s">
        <v>258</v>
      </c>
      <c r="B166" s="20" t="s">
        <v>183</v>
      </c>
      <c r="C166" s="20" t="s">
        <v>170</v>
      </c>
      <c r="D166" s="20" t="s">
        <v>171</v>
      </c>
      <c r="E166" s="21" t="s">
        <v>474</v>
      </c>
      <c r="F166" s="22" t="str">
        <f>IF(OR(E166="",E166="!!!"),"",IF(NOT(ISNA(VLOOKUP(E166,E$1:E165,1,FALSE()))),"OLD",IF(AND(E166&lt;&gt;"",E166&lt;&gt;"!!!"),"NEW","")))</f>
        <v>OLD</v>
      </c>
      <c r="G166" s="23" t="s">
        <v>514</v>
      </c>
      <c r="H166" s="24" t="str">
        <f t="shared" ca="1" si="17"/>
        <v/>
      </c>
      <c r="I166" s="25" t="str">
        <f>IF(OR(E166="",E166="!!!",F166="NEW"),"",INDEX(B$2:B165,-1+SUMPRODUCT(MAX(ROW(E$2:E165)*(E166=E$2:E165)))))</f>
        <v>other_4</v>
      </c>
      <c r="J166" s="25">
        <f ca="1">IF(OR(E166="",E166="!!!",F166="NEW"),"",COUNTBLANK(OFFSET(A$1,,,SUMPRODUCT(MAX(ROW(E$2:E166)*(E166=E$2:E166)))))-COUNTBLANK(OFFSET(A$1,,,SUMPRODUCT(MAX(ROW(E$1:E165)*(E2=E$1:E165))))))</f>
        <v>0</v>
      </c>
      <c r="K166" s="25" t="str">
        <f ca="1">IF(OR(E166="",E166="!!!",F166="NEW"),"",INDEX(J$1:J165,SUMPRODUCT(MAX(ROW(E$1:E165)*(E166=E$1:E165)))))</f>
        <v/>
      </c>
      <c r="L166" s="26"/>
    </row>
    <row r="167" spans="1:12" x14ac:dyDescent="0.3">
      <c r="A167" t="s">
        <v>185</v>
      </c>
      <c r="E167" s="21" t="str">
        <f t="shared" si="16"/>
        <v/>
      </c>
      <c r="F167" s="22" t="str">
        <f>IF(OR(E167="",E167="!!!"),"",IF(NOT(ISNA(VLOOKUP(E167,E$1:E166,1,FALSE()))),"OLD",IF(AND(E167&lt;&gt;"",E167&lt;&gt;"!!!"),"NEW","")))</f>
        <v/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/>
      </c>
      <c r="H167" s="24" t="str">
        <f t="shared" ca="1" si="17"/>
        <v/>
      </c>
      <c r="I167" s="25" t="str">
        <f>IF(OR(E167="",E167="!!!",F167="NEW"),"",INDEX(B$2:B166,-1+SUMPRODUCT(MAX(ROW(E$2:E166)*(E167=E$2:E166)))))</f>
        <v/>
      </c>
      <c r="J167" s="25" t="str">
        <f ca="1">IF(OR(E167="",E167="!!!",F167="NEW"),"",COUNTBLANK(OFFSET(A$1,,,SUMPRODUCT(MAX(ROW(E$2:E167)*(E167=E$2:E167)))))-COUNTBLANK(OFFSET(A$1,,,SUMPRODUCT(MAX(ROW(E$1:E166)*(E2=E$1:E166))))))</f>
        <v/>
      </c>
      <c r="K167" s="25" t="str">
        <f>IF(OR(E167="",E167="!!!",F167="NEW"),"",INDEX(J$1:J166,SUMPRODUCT(MAX(ROW(E$1:E166)*(E167=E$1:E166)))))</f>
        <v/>
      </c>
      <c r="L167" s="26"/>
    </row>
    <row r="168" spans="1:12" x14ac:dyDescent="0.3">
      <c r="A168" t="s">
        <v>226</v>
      </c>
      <c r="E168" s="21" t="str">
        <f t="shared" si="16"/>
        <v/>
      </c>
      <c r="F168" s="22" t="str">
        <f>IF(OR(E168="",E168="!!!"),"",IF(NOT(ISNA(VLOOKUP(E168,E$1:E167,1,FALSE()))),"OLD",IF(AND(E168&lt;&gt;"",E168&lt;&gt;"!!!"),"NEW","")))</f>
        <v/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/>
      </c>
      <c r="H168" s="24" t="str">
        <f t="shared" ca="1" si="17"/>
        <v/>
      </c>
      <c r="I168" s="25" t="str">
        <f>IF(OR(E168="",E168="!!!",F168="NEW"),"",INDEX(B$2:B167,-1+SUMPRODUCT(MAX(ROW(E$2:E167)*(E168=E$2:E167)))))</f>
        <v/>
      </c>
      <c r="J168" s="25" t="str">
        <f ca="1">IF(OR(E168="",E168="!!!",F168="NEW"),"",COUNTBLANK(OFFSET(A$1,,,SUMPRODUCT(MAX(ROW(E$2:E168)*(E168=E$2:E168)))))-COUNTBLANK(OFFSET(A$1,,,SUMPRODUCT(MAX(ROW(E$1:E167)*(E2=E$1:E167))))))</f>
        <v/>
      </c>
      <c r="K168" s="25" t="str">
        <f>IF(OR(E168="",E168="!!!",F168="NEW"),"",INDEX(J$1:J167,SUMPRODUCT(MAX(ROW(E$1:E167)*(E168=E$1:E167)))))</f>
        <v/>
      </c>
      <c r="L168" s="26"/>
    </row>
    <row r="169" spans="1:12" x14ac:dyDescent="0.3">
      <c r="A169" t="s">
        <v>199</v>
      </c>
      <c r="E169" s="21" t="str">
        <f t="shared" si="16"/>
        <v/>
      </c>
      <c r="F169" s="22" t="str">
        <f>IF(OR(E169="",E169="!!!"),"",IF(NOT(ISNA(VLOOKUP(E169,E$1:E168,1,FALSE()))),"OLD",IF(AND(E169&lt;&gt;"",E169&lt;&gt;"!!!"),"NEW","")))</f>
        <v/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/>
      </c>
      <c r="H169" s="24" t="str">
        <f t="shared" ca="1" si="17"/>
        <v/>
      </c>
      <c r="I169" s="25" t="str">
        <f>IF(OR(E169="",E169="!!!",F169="NEW"),"",INDEX(B$2:B168,-1+SUMPRODUCT(MAX(ROW(E$2:E168)*(E169=E$2:E168)))))</f>
        <v/>
      </c>
      <c r="J169" s="25" t="str">
        <f ca="1">IF(OR(E169="",E169="!!!",F169="NEW"),"",COUNTBLANK(OFFSET(A$1,,,SUMPRODUCT(MAX(ROW(E$2:E169)*(E169=E$2:E169)))))-COUNTBLANK(OFFSET(A$1,,,SUMPRODUCT(MAX(ROW(E$1:E168)*(E2=E$1:E168))))))</f>
        <v/>
      </c>
      <c r="K169" s="25" t="str">
        <f>IF(OR(E169="",E169="!!!",F169="NEW"),"",INDEX(J$1:J168,SUMPRODUCT(MAX(ROW(E$1:E168)*(E169=E$1:E168)))))</f>
        <v/>
      </c>
      <c r="L169" s="26"/>
    </row>
    <row r="170" spans="1:12" x14ac:dyDescent="0.3">
      <c r="A170" t="s">
        <v>240</v>
      </c>
      <c r="E170" s="21" t="str">
        <f t="shared" si="16"/>
        <v/>
      </c>
      <c r="F170" s="22" t="str">
        <f>IF(OR(E170="",E170="!!!"),"",IF(NOT(ISNA(VLOOKUP(E170,E$1:E169,1,FALSE()))),"OLD",IF(AND(E170&lt;&gt;"",E170&lt;&gt;"!!!"),"NEW","")))</f>
        <v/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/>
      </c>
      <c r="H170" s="24" t="str">
        <f t="shared" ca="1" si="17"/>
        <v/>
      </c>
      <c r="I170" s="25" t="str">
        <f>IF(OR(E170="",E170="!!!",F170="NEW"),"",INDEX(B$2:B169,-1+SUMPRODUCT(MAX(ROW(E$2:E169)*(E170=E$2:E169)))))</f>
        <v/>
      </c>
      <c r="J170" s="25" t="str">
        <f ca="1">IF(OR(E170="",E170="!!!",F170="NEW"),"",COUNTBLANK(OFFSET(A$1,,,SUMPRODUCT(MAX(ROW(E$2:E170)*(E170=E$2:E170)))))-COUNTBLANK(OFFSET(A$1,,,SUMPRODUCT(MAX(ROW(E$1:E169)*(E2=E$1:E169))))))</f>
        <v/>
      </c>
      <c r="K170" s="25" t="str">
        <f>IF(OR(E170="",E170="!!!",F170="NEW"),"",INDEX(J$1:J169,SUMPRODUCT(MAX(ROW(E$1:E169)*(E170=E$1:E169)))))</f>
        <v/>
      </c>
      <c r="L170" s="26"/>
    </row>
    <row r="171" spans="1:12" x14ac:dyDescent="0.3">
      <c r="A171" t="s">
        <v>201</v>
      </c>
      <c r="B171" s="20" t="s">
        <v>255</v>
      </c>
      <c r="C171" s="20" t="s">
        <v>202</v>
      </c>
      <c r="E171" s="21" t="str">
        <f t="shared" si="16"/>
        <v/>
      </c>
      <c r="F171" s="22" t="str">
        <f>IF(OR(E171="",E171="!!!"),"",IF(NOT(ISNA(VLOOKUP(E171,E$1:E170,1,FALSE()))),"OLD",IF(AND(E171&lt;&gt;"",E171&lt;&gt;"!!!"),"NEW","")))</f>
        <v/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/>
      </c>
      <c r="H171" s="24" t="str">
        <f t="shared" ca="1" si="17"/>
        <v/>
      </c>
      <c r="I171" s="25" t="str">
        <f>IF(OR(E171="",E171="!!!",F171="NEW"),"",INDEX(B$2:B170,-1+SUMPRODUCT(MAX(ROW(E$2:E170)*(E171=E$2:E170)))))</f>
        <v/>
      </c>
      <c r="J171" s="25" t="str">
        <f ca="1">IF(OR(E171="",E171="!!!",F171="NEW"),"",COUNTBLANK(OFFSET(A$1,,,SUMPRODUCT(MAX(ROW(E$2:E171)*(E171=E$2:E171)))))-COUNTBLANK(OFFSET(A$1,,,SUMPRODUCT(MAX(ROW(E$1:E170)*(E2=E$1:E170))))))</f>
        <v/>
      </c>
      <c r="K171" s="25" t="str">
        <f>IF(OR(E171="",E171="!!!",F171="NEW"),"",INDEX(J$1:J170,SUMPRODUCT(MAX(ROW(E$1:E170)*(E171=E$1:E170)))))</f>
        <v/>
      </c>
      <c r="L171" s="26"/>
    </row>
    <row r="172" spans="1:12" x14ac:dyDescent="0.3">
      <c r="A172" t="s">
        <v>263</v>
      </c>
      <c r="E172" s="21" t="str">
        <f t="shared" si="16"/>
        <v/>
      </c>
      <c r="F172" s="22" t="str">
        <f>IF(OR(E172="",E172="!!!"),"",IF(NOT(ISNA(VLOOKUP(E172,E$1:E171,1,FALSE()))),"OLD",IF(AND(E172&lt;&gt;"",E172&lt;&gt;"!!!"),"NEW","")))</f>
        <v/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/>
      </c>
      <c r="H172" s="24" t="str">
        <f t="shared" ca="1" si="17"/>
        <v/>
      </c>
      <c r="I172" s="25" t="str">
        <f>IF(OR(E172="",E172="!!!",F172="NEW"),"",INDEX(B$2:B171,-1+SUMPRODUCT(MAX(ROW(E$2:E171)*(E172=E$2:E171)))))</f>
        <v/>
      </c>
      <c r="J172" s="25" t="str">
        <f ca="1">IF(OR(E172="",E172="!!!",F172="NEW"),"",COUNTBLANK(OFFSET(A$1,,,SUMPRODUCT(MAX(ROW(E$2:E172)*(E172=E$2:E172)))))-COUNTBLANK(OFFSET(A$1,,,SUMPRODUCT(MAX(ROW(E$1:E171)*(E2=E$1:E171))))))</f>
        <v/>
      </c>
      <c r="K172" s="25" t="str">
        <f>IF(OR(E172="",E172="!!!",F172="NEW"),"",INDEX(J$1:J171,SUMPRODUCT(MAX(ROW(E$1:E171)*(E172=E$1:E171)))))</f>
        <v/>
      </c>
      <c r="L172" s="26"/>
    </row>
    <row r="173" spans="1:12" x14ac:dyDescent="0.3">
      <c r="A173" t="s">
        <v>187</v>
      </c>
      <c r="B173" s="20" t="s">
        <v>268</v>
      </c>
      <c r="C173" s="20" t="s">
        <v>175</v>
      </c>
      <c r="E173" s="21" t="s">
        <v>490</v>
      </c>
      <c r="F173" s="22" t="str">
        <f>IF(OR(E173="",E173="!!!"),"",IF(NOT(ISNA(VLOOKUP(E173,E$1:E172,1,FALSE()))),"OLD",IF(AND(E173&lt;&gt;"",E173&lt;&gt;"!!!"),"NEW","")))</f>
        <v>OLD</v>
      </c>
      <c r="G173" s="23" t="s">
        <v>509</v>
      </c>
      <c r="H173" s="24" t="str">
        <f t="shared" ca="1" si="17"/>
        <v/>
      </c>
      <c r="I173" s="25" t="str">
        <f>IF(OR(E173="",E173="!!!",F173="NEW"),"",INDEX(B$2:B172,-1+SUMPRODUCT(MAX(ROW(E$2:E172)*(E173=E$2:E172)))))</f>
        <v>SBJ</v>
      </c>
      <c r="J173" s="25">
        <f ca="1">IF(OR(E173="",E173="!!!",F173="NEW"),"",COUNTBLANK(OFFSET(A$1,,,SUMPRODUCT(MAX(ROW(E$2:E173)*(E173=E$2:E173)))))-COUNTBLANK(OFFSET(A$1,,,SUMPRODUCT(MAX(ROW(E$1:E172)*(E2=E$1:E172))))))</f>
        <v>0</v>
      </c>
      <c r="K173" s="25" t="str">
        <f ca="1">IF(OR(E173="",E173="!!!",F173="NEW"),"",INDEX(J$1:J172,SUMPRODUCT(MAX(ROW(E$1:E172)*(E173=E$1:E172)))))</f>
        <v/>
      </c>
      <c r="L173" s="26" t="s">
        <v>473</v>
      </c>
    </row>
    <row r="174" spans="1:12" x14ac:dyDescent="0.3">
      <c r="A174" t="s">
        <v>243</v>
      </c>
      <c r="E174" s="21" t="str">
        <f t="shared" si="16"/>
        <v/>
      </c>
      <c r="F174" s="22" t="str">
        <f>IF(OR(E174="",E174="!!!"),"",IF(NOT(ISNA(VLOOKUP(E174,E$1:E173,1,FALSE()))),"OLD",IF(AND(E174&lt;&gt;"",E174&lt;&gt;"!!!"),"NEW","")))</f>
        <v/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/>
      </c>
      <c r="H174" s="24" t="str">
        <f t="shared" ca="1" si="17"/>
        <v/>
      </c>
      <c r="I174" s="25" t="str">
        <f>IF(OR(E174="",E174="!!!",F174="NEW"),"",INDEX(B$2:B173,-1+SUMPRODUCT(MAX(ROW(E$2:E173)*(E174=E$2:E173)))))</f>
        <v/>
      </c>
      <c r="J174" s="25" t="str">
        <f ca="1">IF(OR(E174="",E174="!!!",F174="NEW"),"",COUNTBLANK(OFFSET(A$1,,,SUMPRODUCT(MAX(ROW(E$2:E174)*(E174=E$2:E174)))))-COUNTBLANK(OFFSET(A$1,,,SUMPRODUCT(MAX(ROW(E$1:E173)*(E2=E$1:E173))))))</f>
        <v/>
      </c>
      <c r="K174" s="25" t="str">
        <f>IF(OR(E174="",E174="!!!",F174="NEW"),"",INDEX(J$1:J173,SUMPRODUCT(MAX(ROW(E$1:E173)*(E174=E$1:E173)))))</f>
        <v/>
      </c>
      <c r="L174" s="26"/>
    </row>
    <row r="175" spans="1:12" x14ac:dyDescent="0.3">
      <c r="A175" t="s">
        <v>206</v>
      </c>
      <c r="E175" s="21" t="str">
        <f t="shared" si="16"/>
        <v/>
      </c>
      <c r="F175" s="22" t="str">
        <f>IF(OR(E175="",E175="!!!"),"",IF(NOT(ISNA(VLOOKUP(E175,E$1:E174,1,FALSE()))),"OLD",IF(AND(E175&lt;&gt;"",E175&lt;&gt;"!!!"),"NEW","")))</f>
        <v/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/>
      </c>
      <c r="H175" s="24" t="str">
        <f t="shared" ca="1" si="17"/>
        <v/>
      </c>
      <c r="I175" s="25" t="str">
        <f>IF(OR(E175="",E175="!!!",F175="NEW"),"",INDEX(B$2:B174,-1+SUMPRODUCT(MAX(ROW(E$2:E174)*(E175=E$2:E174)))))</f>
        <v/>
      </c>
      <c r="J175" s="25" t="str">
        <f ca="1">IF(OR(E175="",E175="!!!",F175="NEW"),"",COUNTBLANK(OFFSET(A$1,,,SUMPRODUCT(MAX(ROW(E$2:E175)*(E175=E$2:E175)))))-COUNTBLANK(OFFSET(A$1,,,SUMPRODUCT(MAX(ROW(E$1:E174)*(E2=E$1:E174))))))</f>
        <v/>
      </c>
      <c r="K175" s="25" t="str">
        <f>IF(OR(E175="",E175="!!!",F175="NEW"),"",INDEX(J$1:J174,SUMPRODUCT(MAX(ROW(E$1:E174)*(E175=E$1:E174)))))</f>
        <v/>
      </c>
      <c r="L175" s="26"/>
    </row>
    <row r="176" spans="1:12" x14ac:dyDescent="0.3">
      <c r="A176" t="s">
        <v>193</v>
      </c>
      <c r="B176" s="20" t="s">
        <v>291</v>
      </c>
      <c r="E176" s="21" t="str">
        <f t="shared" si="16"/>
        <v/>
      </c>
      <c r="F176" s="22" t="str">
        <f>IF(OR(E176="",E176="!!!"),"",IF(NOT(ISNA(VLOOKUP(E176,E$1:E175,1,FALSE()))),"OLD",IF(AND(E176&lt;&gt;"",E176&lt;&gt;"!!!"),"NEW","")))</f>
        <v/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/>
      </c>
      <c r="H176" s="24" t="str">
        <f t="shared" ca="1" si="17"/>
        <v/>
      </c>
      <c r="I176" s="25" t="str">
        <f>IF(OR(E176="",E176="!!!",F176="NEW"),"",INDEX(B$2:B175,-1+SUMPRODUCT(MAX(ROW(E$2:E175)*(E176=E$2:E175)))))</f>
        <v/>
      </c>
      <c r="J176" s="25" t="str">
        <f ca="1">IF(OR(E176="",E176="!!!",F176="NEW"),"",COUNTBLANK(OFFSET(A$1,,,SUMPRODUCT(MAX(ROW(E$2:E176)*(E176=E$2:E176)))))-COUNTBLANK(OFFSET(A$1,,,SUMPRODUCT(MAX(ROW(E$1:E175)*(E2=E$1:E175))))))</f>
        <v/>
      </c>
      <c r="K176" s="25" t="str">
        <f>IF(OR(E176="",E176="!!!",F176="NEW"),"",INDEX(J$1:J175,SUMPRODUCT(MAX(ROW(E$1:E175)*(E176=E$1:E175)))))</f>
        <v/>
      </c>
      <c r="L176" s="26"/>
    </row>
    <row r="177" spans="1:12" x14ac:dyDescent="0.3">
      <c r="A177" t="s">
        <v>203</v>
      </c>
      <c r="E177" s="21" t="str">
        <f t="shared" si="16"/>
        <v/>
      </c>
      <c r="F177" s="22" t="str">
        <f>IF(OR(E177="",E177="!!!"),"",IF(NOT(ISNA(VLOOKUP(E177,E$1:E176,1,FALSE()))),"OLD",IF(AND(E177&lt;&gt;"",E177&lt;&gt;"!!!"),"NEW","")))</f>
        <v/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/>
      </c>
      <c r="H177" s="24" t="str">
        <f t="shared" ca="1" si="17"/>
        <v/>
      </c>
      <c r="I177" s="25" t="str">
        <f>IF(OR(E177="",E177="!!!",F177="NEW"),"",INDEX(B$2:B176,-1+SUMPRODUCT(MAX(ROW(E$2:E176)*(E177=E$2:E176)))))</f>
        <v/>
      </c>
      <c r="J177" s="25" t="str">
        <f ca="1">IF(OR(E177="",E177="!!!",F177="NEW"),"",COUNTBLANK(OFFSET(A$1,,,SUMPRODUCT(MAX(ROW(E$2:E177)*(E177=E$2:E177)))))-COUNTBLANK(OFFSET(A$1,,,SUMPRODUCT(MAX(ROW(E$1:E176)*(E2=E$1:E176))))))</f>
        <v/>
      </c>
      <c r="K177" s="25" t="str">
        <f>IF(OR(E177="",E177="!!!",F177="NEW"),"",INDEX(J$1:J176,SUMPRODUCT(MAX(ROW(E$1:E176)*(E177=E$1:E176)))))</f>
        <v/>
      </c>
      <c r="L177" s="26"/>
    </row>
    <row r="178" spans="1:12" x14ac:dyDescent="0.3">
      <c r="A178" t="s">
        <v>292</v>
      </c>
      <c r="E178" s="21" t="str">
        <f t="shared" si="16"/>
        <v/>
      </c>
      <c r="F178" s="22" t="str">
        <f>IF(OR(E178="",E178="!!!"),"",IF(NOT(ISNA(VLOOKUP(E178,E$1:E177,1,FALSE()))),"OLD",IF(AND(E178&lt;&gt;"",E178&lt;&gt;"!!!"),"NEW","")))</f>
        <v/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/>
      </c>
      <c r="H178" s="24" t="str">
        <f t="shared" ca="1" si="17"/>
        <v/>
      </c>
      <c r="I178" s="25" t="str">
        <f>IF(OR(E178="",E178="!!!",F178="NEW"),"",INDEX(B$2:B177,-1+SUMPRODUCT(MAX(ROW(E$2:E177)*(E178=E$2:E177)))))</f>
        <v/>
      </c>
      <c r="J178" s="25" t="str">
        <f ca="1">IF(OR(E178="",E178="!!!",F178="NEW"),"",COUNTBLANK(OFFSET(A$1,,,SUMPRODUCT(MAX(ROW(E$2:E178)*(E178=E$2:E178)))))-COUNTBLANK(OFFSET(A$1,,,SUMPRODUCT(MAX(ROW(E$1:E177)*(E2=E$1:E177))))))</f>
        <v/>
      </c>
      <c r="K178" s="25" t="str">
        <f>IF(OR(E178="",E178="!!!",F178="NEW"),"",INDEX(J$1:J177,SUMPRODUCT(MAX(ROW(E$1:E177)*(E178=E$1:E177)))))</f>
        <v/>
      </c>
      <c r="L178" s="26"/>
    </row>
    <row r="179" spans="1:12" x14ac:dyDescent="0.3">
      <c r="A179" t="s">
        <v>267</v>
      </c>
      <c r="B179" s="20" t="s">
        <v>257</v>
      </c>
      <c r="C179" s="20" t="s">
        <v>175</v>
      </c>
      <c r="E179" s="21" t="s">
        <v>489</v>
      </c>
      <c r="F179" s="22" t="str">
        <f>IF(OR(E179="",E179="!!!"),"",IF(NOT(ISNA(VLOOKUP(E179,E$1:E178,1,FALSE()))),"OLD",IF(AND(E179&lt;&gt;"",E179&lt;&gt;"!!!"),"NEW","")))</f>
        <v>NEW</v>
      </c>
      <c r="G179" s="23" t="s">
        <v>510</v>
      </c>
      <c r="H179" s="24" t="str">
        <f t="shared" ca="1" si="17"/>
        <v/>
      </c>
      <c r="I179" s="25" t="str">
        <f>IF(OR(E179="",E179="!!!",F179="NEW"),"",INDEX(B$2:B178,-1+SUMPRODUCT(MAX(ROW(E$2:E178)*(E179=E$2:E178)))))</f>
        <v/>
      </c>
      <c r="J179" s="25" t="str">
        <f ca="1">IF(OR(E179="",E179="!!!",F179="NEW"),"",COUNTBLANK(OFFSET(A$1,,,SUMPRODUCT(MAX(ROW(E$2:E179)*(E179=E$2:E179)))))-COUNTBLANK(OFFSET(A$1,,,SUMPRODUCT(MAX(ROW(E$1:E178)*(E2=E$1:E178))))))</f>
        <v/>
      </c>
      <c r="K179" s="25" t="str">
        <f>IF(OR(E179="",E179="!!!",F179="NEW"),"",INDEX(J$1:J178,SUMPRODUCT(MAX(ROW(E$1:E178)*(E179=E$1:E178)))))</f>
        <v/>
      </c>
      <c r="L179" s="26" t="s">
        <v>473</v>
      </c>
    </row>
    <row r="180" spans="1:12" x14ac:dyDescent="0.3">
      <c r="A180" t="s">
        <v>13</v>
      </c>
      <c r="E180" s="21" t="str">
        <f t="shared" si="16"/>
        <v/>
      </c>
      <c r="F180" s="22" t="str">
        <f>IF(OR(E180="",E180="!!!"),"",IF(NOT(ISNA(VLOOKUP(E180,E$1:E179,1,FALSE()))),"OLD",IF(AND(E180&lt;&gt;"",E180&lt;&gt;"!!!"),"NEW","")))</f>
        <v/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/>
      </c>
      <c r="H180" s="24" t="str">
        <f t="shared" ca="1" si="17"/>
        <v/>
      </c>
      <c r="I180" s="25" t="str">
        <f>IF(OR(E180="",E180="!!!",F180="NEW"),"",INDEX(B$2:B179,-1+SUMPRODUCT(MAX(ROW(E$2:E179)*(E180=E$2:E179)))))</f>
        <v/>
      </c>
      <c r="J180" s="25" t="str">
        <f ca="1">IF(OR(E180="",E180="!!!",F180="NEW"),"",COUNTBLANK(OFFSET(A$1,,,SUMPRODUCT(MAX(ROW(E$2:E180)*(E180=E$2:E180)))))-COUNTBLANK(OFFSET(A$1,,,SUMPRODUCT(MAX(ROW(E$1:E179)*(E2=E$1:E179))))))</f>
        <v/>
      </c>
      <c r="K180" s="25" t="str">
        <f>IF(OR(E180="",E180="!!!",F180="NEW"),"",INDEX(J$1:J179,SUMPRODUCT(MAX(ROW(E$1:E179)*(E180=E$1:E179)))))</f>
        <v/>
      </c>
      <c r="L180" s="26"/>
    </row>
    <row r="181" spans="1:12" x14ac:dyDescent="0.3">
      <c r="A181" t="s">
        <v>56</v>
      </c>
      <c r="E181" s="21" t="str">
        <f t="shared" si="16"/>
        <v/>
      </c>
      <c r="F181" s="22" t="str">
        <f>IF(OR(E181="",E181="!!!"),"",IF(NOT(ISNA(VLOOKUP(E181,E$1:E180,1,FALSE()))),"OLD",IF(AND(E181&lt;&gt;"",E181&lt;&gt;"!!!"),"NEW","")))</f>
        <v/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/>
      </c>
      <c r="H181" s="24" t="str">
        <f t="shared" ca="1" si="17"/>
        <v/>
      </c>
      <c r="I181" s="25" t="str">
        <f>IF(OR(E181="",E181="!!!",F181="NEW"),"",INDEX(B$2:B180,-1+SUMPRODUCT(MAX(ROW(E$2:E180)*(E181=E$2:E180)))))</f>
        <v/>
      </c>
      <c r="J181" s="25" t="str">
        <f ca="1">IF(OR(E181="",E181="!!!",F181="NEW"),"",COUNTBLANK(OFFSET(A$1,,,SUMPRODUCT(MAX(ROW(E$2:E181)*(E181=E$2:E181)))))-COUNTBLANK(OFFSET(A$1,,,SUMPRODUCT(MAX(ROW(E$1:E180)*(E2=E$1:E180))))))</f>
        <v/>
      </c>
      <c r="K181" s="25" t="str">
        <f>IF(OR(E181="",E181="!!!",F181="NEW"),"",INDEX(J$1:J180,SUMPRODUCT(MAX(ROW(E$1:E180)*(E181=E$1:E180)))))</f>
        <v/>
      </c>
      <c r="L181" s="26"/>
    </row>
    <row r="182" spans="1:12" x14ac:dyDescent="0.3">
      <c r="A182" t="s">
        <v>176</v>
      </c>
      <c r="E182" s="21" t="str">
        <f t="shared" si="16"/>
        <v/>
      </c>
      <c r="F182" s="22" t="str">
        <f>IF(OR(E182="",E182="!!!"),"",IF(NOT(ISNA(VLOOKUP(E182,E$1:E181,1,FALSE()))),"OLD",IF(AND(E182&lt;&gt;"",E182&lt;&gt;"!!!"),"NEW","")))</f>
        <v/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/>
      </c>
      <c r="H182" s="24" t="str">
        <f t="shared" ca="1" si="17"/>
        <v/>
      </c>
      <c r="I182" s="25" t="str">
        <f>IF(OR(E182="",E182="!!!",F182="NEW"),"",INDEX(B$2:B181,-1+SUMPRODUCT(MAX(ROW(E$2:E181)*(E182=E$2:E181)))))</f>
        <v/>
      </c>
      <c r="J182" s="25" t="str">
        <f ca="1">IF(OR(E182="",E182="!!!",F182="NEW"),"",COUNTBLANK(OFFSET(A$1,,,SUMPRODUCT(MAX(ROW(E$2:E182)*(E182=E$2:E182)))))-COUNTBLANK(OFFSET(A$1,,,SUMPRODUCT(MAX(ROW(E$1:E181)*(E2=E$1:E181))))))</f>
        <v/>
      </c>
      <c r="K182" s="25" t="str">
        <f>IF(OR(E182="",E182="!!!",F182="NEW"),"",INDEX(J$1:J181,SUMPRODUCT(MAX(ROW(E$1:E181)*(E182=E$1:E181)))))</f>
        <v/>
      </c>
      <c r="L182" s="26"/>
    </row>
    <row r="183" spans="1:12" x14ac:dyDescent="0.3">
      <c r="A183" t="s">
        <v>226</v>
      </c>
      <c r="E183" s="21" t="str">
        <f t="shared" si="16"/>
        <v/>
      </c>
      <c r="F183" s="22" t="str">
        <f>IF(OR(E183="",E183="!!!"),"",IF(NOT(ISNA(VLOOKUP(E183,E$1:E182,1,FALSE()))),"OLD",IF(AND(E183&lt;&gt;"",E183&lt;&gt;"!!!"),"NEW","")))</f>
        <v/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/>
      </c>
      <c r="H183" s="24" t="str">
        <f t="shared" ca="1" si="17"/>
        <v/>
      </c>
      <c r="I183" s="25" t="str">
        <f>IF(OR(E183="",E183="!!!",F183="NEW"),"",INDEX(B$2:B182,-1+SUMPRODUCT(MAX(ROW(E$2:E182)*(E183=E$2:E182)))))</f>
        <v/>
      </c>
      <c r="J183" s="25" t="str">
        <f ca="1">IF(OR(E183="",E183="!!!",F183="NEW"),"",COUNTBLANK(OFFSET(A$1,,,SUMPRODUCT(MAX(ROW(E$2:E183)*(E183=E$2:E183)))))-COUNTBLANK(OFFSET(A$1,,,SUMPRODUCT(MAX(ROW(E$1:E182)*(E2=E$1:E182))))))</f>
        <v/>
      </c>
      <c r="K183" s="25" t="str">
        <f>IF(OR(E183="",E183="!!!",F183="NEW"),"",INDEX(J$1:J182,SUMPRODUCT(MAX(ROW(E$1:E182)*(E183=E$1:E182)))))</f>
        <v/>
      </c>
      <c r="L183" s="26"/>
    </row>
    <row r="185" spans="1:12" x14ac:dyDescent="0.3">
      <c r="A185" t="s">
        <v>219</v>
      </c>
      <c r="E185" s="21" t="str">
        <f>IF(D185="?OLD","!!!","")</f>
        <v/>
      </c>
      <c r="F185" s="22" t="str">
        <f>IF(OR(E185="",E185="!!!"),"",IF(NOT(ISNA(VLOOKUP(E185,E$1:E184,1,FALSE()))),"OLD",IF(AND(E185&lt;&gt;"",E185&lt;&gt;"!!!"),"NEW","")))</f>
        <v/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/>
      </c>
      <c r="H185" s="24" t="str">
        <f ca="1">IF(J185&lt;&gt;1,"",IF(I185="SBJ","CB","?"))</f>
        <v/>
      </c>
      <c r="I185" s="25" t="str">
        <f>IF(OR(E185="",E185="!!!",F185="NEW"),"",INDEX(B$2:B184,-1+SUMPRODUCT(MAX(ROW(E$2:E184)*(E185=E$2:E184)))))</f>
        <v/>
      </c>
      <c r="J185" s="25" t="str">
        <f ca="1">IF(OR(E185="",E185="!!!",F185="NEW"),"",COUNTBLANK(OFFSET(A$1,,,SUMPRODUCT(MAX(ROW(E$2:E185)*(E185=E$2:E185)))))-COUNTBLANK(OFFSET(A$1,,,SUMPRODUCT(MAX(ROW(E$1:E184)*(E2=E$1:E184))))))</f>
        <v/>
      </c>
      <c r="K185" s="25" t="str">
        <f>IF(OR(E185="",E185="!!!",F185="NEW"),"",INDEX(J$1:J184,SUMPRODUCT(MAX(ROW(E$1:E184)*(E185=E$1:E184)))))</f>
        <v/>
      </c>
      <c r="L185" s="26"/>
    </row>
    <row r="186" spans="1:12" x14ac:dyDescent="0.3">
      <c r="A186" t="s">
        <v>293</v>
      </c>
    </row>
    <row r="187" spans="1:12" x14ac:dyDescent="0.3">
      <c r="A187" t="s">
        <v>226</v>
      </c>
      <c r="E187" s="21" t="str">
        <f t="shared" ref="E187:E210" si="18">IF(D187="?OLD","!!!","")</f>
        <v/>
      </c>
      <c r="F187" s="22" t="str">
        <f>IF(OR(E187="",E187="!!!"),"",IF(NOT(ISNA(VLOOKUP(E187,E$1:E186,1,FALSE()))),"OLD",IF(AND(E187&lt;&gt;"",E187&lt;&gt;"!!!"),"NEW","")))</f>
        <v/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/>
      </c>
      <c r="H187" s="24" t="str">
        <f t="shared" ref="H187:H210" ca="1" si="19">IF(J187&lt;&gt;1,"",IF(I187="SBJ","CB","?"))</f>
        <v/>
      </c>
      <c r="I187" s="25" t="str">
        <f>IF(OR(E187="",E187="!!!",F187="NEW"),"",INDEX(B$2:B186,-1+SUMPRODUCT(MAX(ROW(E$2:E186)*(E187=E$2:E186)))))</f>
        <v/>
      </c>
      <c r="J187" s="25" t="str">
        <f ca="1">IF(OR(E187="",E187="!!!",F187="NEW"),"",COUNTBLANK(OFFSET(A$1,,,SUMPRODUCT(MAX(ROW(E$2:E187)*(E187=E$2:E187)))))-COUNTBLANK(OFFSET(A$1,,,SUMPRODUCT(MAX(ROW(E$1:E186)*(E2=E$1:E186))))))</f>
        <v/>
      </c>
      <c r="K187" s="25" t="str">
        <f>IF(OR(E187="",E187="!!!",F187="NEW"),"",INDEX(J$1:J186,SUMPRODUCT(MAX(ROW(E$1:E186)*(E187=E$1:E186)))))</f>
        <v/>
      </c>
      <c r="L187" s="26"/>
    </row>
    <row r="188" spans="1:12" x14ac:dyDescent="0.3">
      <c r="A188" t="s">
        <v>260</v>
      </c>
      <c r="B188" s="20" t="s">
        <v>166</v>
      </c>
      <c r="C188" s="20" t="s">
        <v>184</v>
      </c>
      <c r="D188" s="20" t="s">
        <v>171</v>
      </c>
      <c r="E188" s="21" t="s">
        <v>467</v>
      </c>
      <c r="F188" s="22" t="str">
        <f>IF(OR(E188="",E188="!!!"),"",IF(NOT(ISNA(VLOOKUP(E188,E$1:E187,1,FALSE()))),"OLD",IF(AND(E188&lt;&gt;"",E188&lt;&gt;"!!!"),"NEW","")))</f>
        <v>OLD</v>
      </c>
      <c r="G188" s="23" t="s">
        <v>509</v>
      </c>
      <c r="H188" s="24" t="str">
        <f t="shared" ca="1" si="19"/>
        <v/>
      </c>
      <c r="I188" s="25" t="str">
        <f>IF(OR(E188="",E188="!!!",F188="NEW"),"",INDEX(B$2:B187,-1+SUMPRODUCT(MAX(ROW(E$2:E187)*(E188=E$2:E187)))))</f>
        <v>SBJ</v>
      </c>
      <c r="J188" s="25">
        <f ca="1">IF(OR(E188="",E188="!!!",F188="NEW"),"",COUNTBLANK(OFFSET(A$1,,,SUMPRODUCT(MAX(ROW(E$2:E188)*(E188=E$2:E188)))))-COUNTBLANK(OFFSET(A$1,,,SUMPRODUCT(MAX(ROW(E$1:E187)*(E2=E$1:E187))))))</f>
        <v>0</v>
      </c>
      <c r="K188" s="25">
        <f ca="1">IF(OR(E188="",E188="!!!",F188="NEW"),"",INDEX(J$1:J187,SUMPRODUCT(MAX(ROW(E$1:E187)*(E188=E$1:E187)))))</f>
        <v>0</v>
      </c>
      <c r="L188" s="26"/>
    </row>
    <row r="189" spans="1:12" x14ac:dyDescent="0.3">
      <c r="A189" t="s">
        <v>56</v>
      </c>
      <c r="E189" s="21" t="str">
        <f t="shared" si="18"/>
        <v/>
      </c>
      <c r="F189" s="22" t="str">
        <f>IF(OR(E189="",E189="!!!"),"",IF(NOT(ISNA(VLOOKUP(E189,E$1:E188,1,FALSE()))),"OLD",IF(AND(E189&lt;&gt;"",E189&lt;&gt;"!!!"),"NEW","")))</f>
        <v/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/>
      </c>
      <c r="H189" s="24" t="str">
        <f t="shared" ca="1" si="19"/>
        <v/>
      </c>
      <c r="I189" s="25" t="str">
        <f>IF(OR(E189="",E189="!!!",F189="NEW"),"",INDEX(B$2:B188,-1+SUMPRODUCT(MAX(ROW(E$2:E188)*(E189=E$2:E188)))))</f>
        <v/>
      </c>
      <c r="J189" s="25" t="str">
        <f ca="1">IF(OR(E189="",E189="!!!",F189="NEW"),"",COUNTBLANK(OFFSET(A$1,,,SUMPRODUCT(MAX(ROW(E$2:E189)*(E189=E$2:E189)))))-COUNTBLANK(OFFSET(A$1,,,SUMPRODUCT(MAX(ROW(E$1:E188)*(E2=E$1:E188))))))</f>
        <v/>
      </c>
      <c r="K189" s="25" t="str">
        <f>IF(OR(E189="",E189="!!!",F189="NEW"),"",INDEX(J$1:J188,SUMPRODUCT(MAX(ROW(E$1:E188)*(E189=E$1:E188)))))</f>
        <v/>
      </c>
      <c r="L189" s="26"/>
    </row>
    <row r="190" spans="1:12" x14ac:dyDescent="0.3">
      <c r="A190" t="s">
        <v>206</v>
      </c>
      <c r="E190" s="21" t="str">
        <f t="shared" si="18"/>
        <v/>
      </c>
      <c r="F190" s="22" t="str">
        <f>IF(OR(E190="",E190="!!!"),"",IF(NOT(ISNA(VLOOKUP(E190,E$1:E189,1,FALSE()))),"OLD",IF(AND(E190&lt;&gt;"",E190&lt;&gt;"!!!"),"NEW","")))</f>
        <v/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/>
      </c>
      <c r="H190" s="24" t="str">
        <f t="shared" ca="1" si="19"/>
        <v/>
      </c>
      <c r="I190" s="25" t="str">
        <f>IF(OR(E190="",E190="!!!",F190="NEW"),"",INDEX(B$2:B189,-1+SUMPRODUCT(MAX(ROW(E$2:E189)*(E190=E$2:E189)))))</f>
        <v/>
      </c>
      <c r="J190" s="25" t="str">
        <f ca="1">IF(OR(E190="",E190="!!!",F190="NEW"),"",COUNTBLANK(OFFSET(A$1,,,SUMPRODUCT(MAX(ROW(E$2:E190)*(E190=E$2:E190)))))-COUNTBLANK(OFFSET(A$1,,,SUMPRODUCT(MAX(ROW(E$1:E189)*(E2=E$1:E189))))))</f>
        <v/>
      </c>
      <c r="K190" s="25" t="str">
        <f>IF(OR(E190="",E190="!!!",F190="NEW"),"",INDEX(J$1:J189,SUMPRODUCT(MAX(ROW(E$1:E189)*(E190=E$1:E189)))))</f>
        <v/>
      </c>
      <c r="L190" s="26"/>
    </row>
    <row r="191" spans="1:12" x14ac:dyDescent="0.3">
      <c r="A191" t="s">
        <v>207</v>
      </c>
      <c r="E191" s="21" t="str">
        <f t="shared" si="18"/>
        <v/>
      </c>
      <c r="F191" s="22" t="str">
        <f>IF(OR(E191="",E191="!!!"),"",IF(NOT(ISNA(VLOOKUP(E191,E$1:E190,1,FALSE()))),"OLD",IF(AND(E191&lt;&gt;"",E191&lt;&gt;"!!!"),"NEW","")))</f>
        <v/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/>
      </c>
      <c r="H191" s="24" t="str">
        <f t="shared" ca="1" si="19"/>
        <v/>
      </c>
      <c r="I191" s="25" t="str">
        <f>IF(OR(E191="",E191="!!!",F191="NEW"),"",INDEX(B$2:B190,-1+SUMPRODUCT(MAX(ROW(E$2:E190)*(E191=E$2:E190)))))</f>
        <v/>
      </c>
      <c r="J191" s="25" t="str">
        <f ca="1">IF(OR(E191="",E191="!!!",F191="NEW"),"",COUNTBLANK(OFFSET(A$1,,,SUMPRODUCT(MAX(ROW(E$2:E191)*(E191=E$2:E191)))))-COUNTBLANK(OFFSET(A$1,,,SUMPRODUCT(MAX(ROW(E$1:E190)*(E2=E$1:E190))))))</f>
        <v/>
      </c>
      <c r="K191" s="25" t="str">
        <f>IF(OR(E191="",E191="!!!",F191="NEW"),"",INDEX(J$1:J190,SUMPRODUCT(MAX(ROW(E$1:E190)*(E191=E$1:E190)))))</f>
        <v/>
      </c>
      <c r="L191" s="26"/>
    </row>
    <row r="192" spans="1:12" x14ac:dyDescent="0.3">
      <c r="A192" t="s">
        <v>187</v>
      </c>
      <c r="B192" s="20" t="s">
        <v>209</v>
      </c>
      <c r="C192" s="20" t="s">
        <v>175</v>
      </c>
      <c r="E192" s="21" t="s">
        <v>490</v>
      </c>
      <c r="F192" s="22" t="str">
        <f>IF(OR(E192="",E192="!!!"),"",IF(NOT(ISNA(VLOOKUP(E192,E$1:E191,1,FALSE()))),"OLD",IF(AND(E192&lt;&gt;"",E192&lt;&gt;"!!!"),"NEW","")))</f>
        <v>OLD</v>
      </c>
      <c r="G192" s="23" t="s">
        <v>513</v>
      </c>
      <c r="H192" s="24" t="s">
        <v>160</v>
      </c>
      <c r="I192" s="25" t="str">
        <f>IF(OR(E192="",E192="!!!",F192="NEW"),"",INDEX(B$2:B191,-1+SUMPRODUCT(MAX(ROW(E$2:E191)*(E192=E$2:E191)))))</f>
        <v>other_3</v>
      </c>
      <c r="J192" s="25">
        <f ca="1">IF(OR(E192="",E192="!!!",F192="NEW"),"",COUNTBLANK(OFFSET(A$1,,,SUMPRODUCT(MAX(ROW(E$2:E192)*(E192=E$2:E192)))))-COUNTBLANK(OFFSET(A$1,,,SUMPRODUCT(MAX(ROW(E$1:E191)*(E2=E$1:E191))))))</f>
        <v>0</v>
      </c>
      <c r="K192" s="25">
        <f ca="1">IF(OR(E192="",E192="!!!",F192="NEW"),"",INDEX(J$1:J191,SUMPRODUCT(MAX(ROW(E$1:E191)*(E192=E$1:E191)))))</f>
        <v>0</v>
      </c>
      <c r="L192" s="26"/>
    </row>
    <row r="193" spans="1:12" x14ac:dyDescent="0.3">
      <c r="A193" t="s">
        <v>203</v>
      </c>
      <c r="E193" s="21" t="str">
        <f t="shared" si="18"/>
        <v/>
      </c>
      <c r="F193" s="22" t="str">
        <f>IF(OR(E193="",E193="!!!"),"",IF(NOT(ISNA(VLOOKUP(E193,E$1:E192,1,FALSE()))),"OLD",IF(AND(E193&lt;&gt;"",E193&lt;&gt;"!!!"),"NEW","")))</f>
        <v/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/>
      </c>
      <c r="H193" s="24" t="str">
        <f t="shared" ca="1" si="19"/>
        <v/>
      </c>
      <c r="I193" s="25" t="str">
        <f>IF(OR(E193="",E193="!!!",F193="NEW"),"",INDEX(B$2:B192,-1+SUMPRODUCT(MAX(ROW(E$2:E192)*(E193=E$2:E192)))))</f>
        <v/>
      </c>
      <c r="J193" s="25" t="str">
        <f ca="1">IF(OR(E193="",E193="!!!",F193="NEW"),"",COUNTBLANK(OFFSET(A$1,,,SUMPRODUCT(MAX(ROW(E$2:E193)*(E193=E$2:E193)))))-COUNTBLANK(OFFSET(A$1,,,SUMPRODUCT(MAX(ROW(E$1:E192)*(E2=E$1:E192))))))</f>
        <v/>
      </c>
      <c r="K193" s="25" t="str">
        <f>IF(OR(E193="",E193="!!!",F193="NEW"),"",INDEX(J$1:J192,SUMPRODUCT(MAX(ROW(E$1:E192)*(E193=E$1:E192)))))</f>
        <v/>
      </c>
      <c r="L193" s="26"/>
    </row>
    <row r="194" spans="1:12" x14ac:dyDescent="0.3">
      <c r="A194" t="s">
        <v>294</v>
      </c>
      <c r="B194" s="20" t="s">
        <v>268</v>
      </c>
      <c r="C194" s="20" t="s">
        <v>202</v>
      </c>
      <c r="E194" s="21" t="str">
        <f t="shared" si="18"/>
        <v/>
      </c>
      <c r="F194" s="22" t="str">
        <f>IF(OR(E194="",E194="!!!"),"",IF(NOT(ISNA(VLOOKUP(E194,E$1:E193,1,FALSE()))),"OLD",IF(AND(E194&lt;&gt;"",E194&lt;&gt;"!!!"),"NEW","")))</f>
        <v/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/>
      </c>
      <c r="H194" s="24" t="str">
        <f t="shared" ca="1" si="19"/>
        <v/>
      </c>
      <c r="I194" s="25" t="str">
        <f>IF(OR(E194="",E194="!!!",F194="NEW"),"",INDEX(B$2:B193,-1+SUMPRODUCT(MAX(ROW(E$2:E193)*(E194=E$2:E193)))))</f>
        <v/>
      </c>
      <c r="J194" s="25" t="str">
        <f ca="1">IF(OR(E194="",E194="!!!",F194="NEW"),"",COUNTBLANK(OFFSET(A$1,,,SUMPRODUCT(MAX(ROW(E$2:E194)*(E194=E$2:E194)))))-COUNTBLANK(OFFSET(A$1,,,SUMPRODUCT(MAX(ROW(E$1:E193)*(E2=E$1:E193))))))</f>
        <v/>
      </c>
      <c r="K194" s="25" t="str">
        <f>IF(OR(E194="",E194="!!!",F194="NEW"),"",INDEX(J$1:J193,SUMPRODUCT(MAX(ROW(E$1:E193)*(E194=E$1:E193)))))</f>
        <v/>
      </c>
      <c r="L194" s="26"/>
    </row>
    <row r="195" spans="1:12" x14ac:dyDescent="0.3">
      <c r="A195" t="s">
        <v>267</v>
      </c>
      <c r="B195" s="20" t="s">
        <v>182</v>
      </c>
      <c r="C195" s="20" t="s">
        <v>295</v>
      </c>
      <c r="E195" s="21" t="s">
        <v>489</v>
      </c>
      <c r="F195" s="22" t="str">
        <f>IF(OR(E195="",E195="!!!"),"",IF(NOT(ISNA(VLOOKUP(E195,E$1:E194,1,FALSE()))),"OLD",IF(AND(E195&lt;&gt;"",E195&lt;&gt;"!!!"),"NEW","")))</f>
        <v>OLD</v>
      </c>
      <c r="G195" s="23" t="s">
        <v>514</v>
      </c>
      <c r="H195" s="24" t="str">
        <f t="shared" ca="1" si="19"/>
        <v/>
      </c>
      <c r="I195" s="25" t="str">
        <f>IF(OR(E195="",E195="!!!",F195="NEW"),"",INDEX(B$2:B194,-1+SUMPRODUCT(MAX(ROW(E$2:E194)*(E195=E$2:E194)))))</f>
        <v>other_4</v>
      </c>
      <c r="J195" s="25">
        <f ca="1">IF(OR(E195="",E195="!!!",F195="NEW"),"",COUNTBLANK(OFFSET(A$1,,,SUMPRODUCT(MAX(ROW(E$2:E195)*(E195=E$2:E195)))))-COUNTBLANK(OFFSET(A$1,,,SUMPRODUCT(MAX(ROW(E$1:E194)*(E2=E$1:E194))))))</f>
        <v>0</v>
      </c>
      <c r="K195" s="25" t="str">
        <f ca="1">IF(OR(E195="",E195="!!!",F195="NEW"),"",INDEX(J$1:J194,SUMPRODUCT(MAX(ROW(E$1:E194)*(E195=E$1:E194)))))</f>
        <v/>
      </c>
      <c r="L195" s="26"/>
    </row>
    <row r="196" spans="1:12" x14ac:dyDescent="0.3">
      <c r="A196" t="s">
        <v>296</v>
      </c>
      <c r="E196" s="21" t="str">
        <f t="shared" si="18"/>
        <v/>
      </c>
      <c r="F196" s="22" t="str">
        <f>IF(OR(E196="",E196="!!!"),"",IF(NOT(ISNA(VLOOKUP(E196,E$1:E195,1,FALSE()))),"OLD",IF(AND(E196&lt;&gt;"",E196&lt;&gt;"!!!"),"NEW","")))</f>
        <v/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/>
      </c>
      <c r="H196" s="24" t="str">
        <f t="shared" ca="1" si="19"/>
        <v/>
      </c>
      <c r="I196" s="25" t="str">
        <f>IF(OR(E196="",E196="!!!",F196="NEW"),"",INDEX(B$2:B195,-1+SUMPRODUCT(MAX(ROW(E$2:E195)*(E196=E$2:E195)))))</f>
        <v/>
      </c>
      <c r="J196" s="25" t="str">
        <f ca="1">IF(OR(E196="",E196="!!!",F196="NEW"),"",COUNTBLANK(OFFSET(A$1,,,SUMPRODUCT(MAX(ROW(E$2:E196)*(E196=E$2:E196)))))-COUNTBLANK(OFFSET(A$1,,,SUMPRODUCT(MAX(ROW(E$1:E195)*(E2=E$1:E195))))))</f>
        <v/>
      </c>
      <c r="K196" s="25" t="str">
        <f>IF(OR(E196="",E196="!!!",F196="NEW"),"",INDEX(J$1:J195,SUMPRODUCT(MAX(ROW(E$1:E195)*(E196=E$1:E195)))))</f>
        <v/>
      </c>
      <c r="L196" s="26"/>
    </row>
    <row r="197" spans="1:12" x14ac:dyDescent="0.3">
      <c r="A197" t="s">
        <v>44</v>
      </c>
      <c r="E197" s="21" t="str">
        <f t="shared" si="18"/>
        <v/>
      </c>
      <c r="F197" s="22" t="str">
        <f>IF(OR(E197="",E197="!!!"),"",IF(NOT(ISNA(VLOOKUP(E197,E$1:E196,1,FALSE()))),"OLD",IF(AND(E197&lt;&gt;"",E197&lt;&gt;"!!!"),"NEW","")))</f>
        <v/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/>
      </c>
      <c r="H197" s="24" t="str">
        <f t="shared" ca="1" si="19"/>
        <v/>
      </c>
      <c r="I197" s="25" t="str">
        <f>IF(OR(E197="",E197="!!!",F197="NEW"),"",INDEX(B$2:B196,-1+SUMPRODUCT(MAX(ROW(E$2:E196)*(E197=E$2:E196)))))</f>
        <v/>
      </c>
      <c r="J197" s="25" t="str">
        <f ca="1">IF(OR(E197="",E197="!!!",F197="NEW"),"",COUNTBLANK(OFFSET(A$1,,,SUMPRODUCT(MAX(ROW(E$2:E197)*(E197=E$2:E197)))))-COUNTBLANK(OFFSET(A$1,,,SUMPRODUCT(MAX(ROW(E$1:E196)*(E2=E$1:E196))))))</f>
        <v/>
      </c>
      <c r="K197" s="25" t="str">
        <f>IF(OR(E197="",E197="!!!",F197="NEW"),"",INDEX(J$1:J196,SUMPRODUCT(MAX(ROW(E$1:E196)*(E197=E$1:E196)))))</f>
        <v/>
      </c>
      <c r="L197" s="26"/>
    </row>
    <row r="198" spans="1:12" x14ac:dyDescent="0.3">
      <c r="A198" t="s">
        <v>272</v>
      </c>
      <c r="B198" s="20" t="s">
        <v>268</v>
      </c>
      <c r="C198" s="20" t="s">
        <v>216</v>
      </c>
      <c r="E198" s="21" t="str">
        <f t="shared" si="18"/>
        <v/>
      </c>
      <c r="F198" s="22" t="str">
        <f>IF(OR(E198="",E198="!!!"),"",IF(NOT(ISNA(VLOOKUP(E198,E$1:E197,1,FALSE()))),"OLD",IF(AND(E198&lt;&gt;"",E198&lt;&gt;"!!!"),"NEW","")))</f>
        <v/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/>
      </c>
      <c r="H198" s="24" t="str">
        <f t="shared" ca="1" si="19"/>
        <v/>
      </c>
      <c r="I198" s="25" t="str">
        <f>IF(OR(E198="",E198="!!!",F198="NEW"),"",INDEX(B$2:B197,-1+SUMPRODUCT(MAX(ROW(E$2:E197)*(E198=E$2:E197)))))</f>
        <v/>
      </c>
      <c r="J198" s="25" t="str">
        <f ca="1">IF(OR(E198="",E198="!!!",F198="NEW"),"",COUNTBLANK(OFFSET(A$1,,,SUMPRODUCT(MAX(ROW(E$2:E198)*(E198=E$2:E198)))))-COUNTBLANK(OFFSET(A$1,,,SUMPRODUCT(MAX(ROW(E$1:E197)*(E2=E$1:E197))))))</f>
        <v/>
      </c>
      <c r="K198" s="25" t="str">
        <f>IF(OR(E198="",E198="!!!",F198="NEW"),"",INDEX(J$1:J197,SUMPRODUCT(MAX(ROW(E$1:E197)*(E198=E$1:E197)))))</f>
        <v/>
      </c>
      <c r="L198" s="26"/>
    </row>
    <row r="199" spans="1:12" x14ac:dyDescent="0.3">
      <c r="A199" t="s">
        <v>206</v>
      </c>
      <c r="E199" s="21" t="str">
        <f t="shared" si="18"/>
        <v/>
      </c>
      <c r="F199" s="22" t="str">
        <f>IF(OR(E199="",E199="!!!"),"",IF(NOT(ISNA(VLOOKUP(E199,E$1:E198,1,FALSE()))),"OLD",IF(AND(E199&lt;&gt;"",E199&lt;&gt;"!!!"),"NEW","")))</f>
        <v/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/>
      </c>
      <c r="H199" s="24" t="str">
        <f t="shared" ca="1" si="19"/>
        <v/>
      </c>
      <c r="I199" s="25" t="str">
        <f>IF(OR(E199="",E199="!!!",F199="NEW"),"",INDEX(B$2:B198,-1+SUMPRODUCT(MAX(ROW(E$2:E198)*(E199=E$2:E198)))))</f>
        <v/>
      </c>
      <c r="J199" s="25" t="str">
        <f ca="1">IF(OR(E199="",E199="!!!",F199="NEW"),"",COUNTBLANK(OFFSET(A$1,,,SUMPRODUCT(MAX(ROW(E$2:E199)*(E199=E$2:E199)))))-COUNTBLANK(OFFSET(A$1,,,SUMPRODUCT(MAX(ROW(E$1:E198)*(E2=E$1:E198))))))</f>
        <v/>
      </c>
      <c r="K199" s="25" t="str">
        <f>IF(OR(E199="",E199="!!!",F199="NEW"),"",INDEX(J$1:J198,SUMPRODUCT(MAX(ROW(E$1:E198)*(E199=E$1:E198)))))</f>
        <v/>
      </c>
      <c r="L199" s="26"/>
    </row>
    <row r="200" spans="1:12" x14ac:dyDescent="0.3">
      <c r="A200" t="s">
        <v>297</v>
      </c>
      <c r="E200" s="21" t="str">
        <f t="shared" si="18"/>
        <v/>
      </c>
      <c r="F200" s="22" t="str">
        <f>IF(OR(E200="",E200="!!!"),"",IF(NOT(ISNA(VLOOKUP(E200,E$1:E199,1,FALSE()))),"OLD",IF(AND(E200&lt;&gt;"",E200&lt;&gt;"!!!"),"NEW","")))</f>
        <v/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/>
      </c>
      <c r="H200" s="24" t="str">
        <f t="shared" ca="1" si="19"/>
        <v/>
      </c>
      <c r="I200" s="25" t="str">
        <f>IF(OR(E200="",E200="!!!",F200="NEW"),"",INDEX(B$2:B199,-1+SUMPRODUCT(MAX(ROW(E$2:E199)*(E200=E$2:E199)))))</f>
        <v/>
      </c>
      <c r="J200" s="25" t="str">
        <f ca="1">IF(OR(E200="",E200="!!!",F200="NEW"),"",COUNTBLANK(OFFSET(A$1,,,SUMPRODUCT(MAX(ROW(E$2:E200)*(E200=E$2:E200)))))-COUNTBLANK(OFFSET(A$1,,,SUMPRODUCT(MAX(ROW(E$1:E199)*(E2=E$1:E199))))))</f>
        <v/>
      </c>
      <c r="K200" s="25" t="str">
        <f>IF(OR(E200="",E200="!!!",F200="NEW"),"",INDEX(J$1:J199,SUMPRODUCT(MAX(ROW(E$1:E199)*(E200=E$1:E199)))))</f>
        <v/>
      </c>
      <c r="L200" s="26"/>
    </row>
    <row r="201" spans="1:12" x14ac:dyDescent="0.3">
      <c r="A201" t="s">
        <v>298</v>
      </c>
      <c r="E201" s="21" t="str">
        <f t="shared" si="18"/>
        <v/>
      </c>
      <c r="F201" s="22" t="str">
        <f>IF(OR(E201="",E201="!!!"),"",IF(NOT(ISNA(VLOOKUP(E201,E$1:E200,1,FALSE()))),"OLD",IF(AND(E201&lt;&gt;"",E201&lt;&gt;"!!!"),"NEW","")))</f>
        <v/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/>
      </c>
      <c r="H201" s="24" t="str">
        <f t="shared" ca="1" si="19"/>
        <v/>
      </c>
      <c r="I201" s="25" t="str">
        <f>IF(OR(E201="",E201="!!!",F201="NEW"),"",INDEX(B$2:B200,-1+SUMPRODUCT(MAX(ROW(E$2:E200)*(E201=E$2:E200)))))</f>
        <v/>
      </c>
      <c r="J201" s="25" t="str">
        <f ca="1">IF(OR(E201="",E201="!!!",F201="NEW"),"",COUNTBLANK(OFFSET(A$1,,,SUMPRODUCT(MAX(ROW(E$2:E201)*(E201=E$2:E201)))))-COUNTBLANK(OFFSET(A$1,,,SUMPRODUCT(MAX(ROW(E$1:E200)*(E2=E$1:E200))))))</f>
        <v/>
      </c>
      <c r="K201" s="25" t="str">
        <f>IF(OR(E201="",E201="!!!",F201="NEW"),"",INDEX(J$1:J200,SUMPRODUCT(MAX(ROW(E$1:E200)*(E201=E$1:E200)))))</f>
        <v/>
      </c>
      <c r="L201" s="26"/>
    </row>
    <row r="202" spans="1:12" x14ac:dyDescent="0.3">
      <c r="A202" t="s">
        <v>86</v>
      </c>
      <c r="E202" s="21" t="str">
        <f t="shared" si="18"/>
        <v/>
      </c>
      <c r="F202" s="22" t="str">
        <f>IF(OR(E202="",E202="!!!"),"",IF(NOT(ISNA(VLOOKUP(E202,E$1:E201,1,FALSE()))),"OLD",IF(AND(E202&lt;&gt;"",E202&lt;&gt;"!!!"),"NEW","")))</f>
        <v/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/>
      </c>
      <c r="H202" s="24" t="str">
        <f t="shared" ca="1" si="19"/>
        <v/>
      </c>
      <c r="I202" s="25" t="str">
        <f>IF(OR(E202="",E202="!!!",F202="NEW"),"",INDEX(B$2:B201,-1+SUMPRODUCT(MAX(ROW(E$2:E201)*(E202=E$2:E201)))))</f>
        <v/>
      </c>
      <c r="J202" s="25" t="str">
        <f ca="1">IF(OR(E202="",E202="!!!",F202="NEW"),"",COUNTBLANK(OFFSET(A$1,,,SUMPRODUCT(MAX(ROW(E$2:E202)*(E202=E$2:E202)))))-COUNTBLANK(OFFSET(A$1,,,SUMPRODUCT(MAX(ROW(E$1:E201)*(E2=E$1:E201))))))</f>
        <v/>
      </c>
      <c r="K202" s="25" t="str">
        <f>IF(OR(E202="",E202="!!!",F202="NEW"),"",INDEX(J$1:J201,SUMPRODUCT(MAX(ROW(E$1:E201)*(E202=E$1:E201)))))</f>
        <v/>
      </c>
      <c r="L202" s="26"/>
    </row>
    <row r="203" spans="1:12" x14ac:dyDescent="0.3">
      <c r="A203" t="s">
        <v>272</v>
      </c>
      <c r="B203" s="20" t="s">
        <v>209</v>
      </c>
      <c r="C203" s="20" t="s">
        <v>216</v>
      </c>
      <c r="E203" s="21" t="str">
        <f t="shared" si="18"/>
        <v/>
      </c>
      <c r="F203" s="22" t="str">
        <f>IF(OR(E203="",E203="!!!"),"",IF(NOT(ISNA(VLOOKUP(E203,E$1:E202,1,FALSE()))),"OLD",IF(AND(E203&lt;&gt;"",E203&lt;&gt;"!!!"),"NEW","")))</f>
        <v/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/>
      </c>
      <c r="H203" s="24" t="str">
        <f t="shared" ca="1" si="19"/>
        <v/>
      </c>
      <c r="I203" s="25" t="str">
        <f>IF(OR(E203="",E203="!!!",F203="NEW"),"",INDEX(B$2:B202,-1+SUMPRODUCT(MAX(ROW(E$2:E202)*(E203=E$2:E202)))))</f>
        <v/>
      </c>
      <c r="J203" s="25" t="str">
        <f ca="1">IF(OR(E203="",E203="!!!",F203="NEW"),"",COUNTBLANK(OFFSET(A$1,,,SUMPRODUCT(MAX(ROW(E$2:E203)*(E203=E$2:E203)))))-COUNTBLANK(OFFSET(A$1,,,SUMPRODUCT(MAX(ROW(E$1:E202)*(E2=E$1:E202))))))</f>
        <v/>
      </c>
      <c r="K203" s="25" t="str">
        <f>IF(OR(E203="",E203="!!!",F203="NEW"),"",INDEX(J$1:J202,SUMPRODUCT(MAX(ROW(E$1:E202)*(E203=E$1:E202)))))</f>
        <v/>
      </c>
      <c r="L203" s="26"/>
    </row>
    <row r="204" spans="1:12" x14ac:dyDescent="0.3">
      <c r="A204" t="s">
        <v>223</v>
      </c>
      <c r="E204" s="21" t="str">
        <f t="shared" si="18"/>
        <v/>
      </c>
      <c r="F204" s="22" t="str">
        <f>IF(OR(E204="",E204="!!!"),"",IF(NOT(ISNA(VLOOKUP(E204,E$1:E203,1,FALSE()))),"OLD",IF(AND(E204&lt;&gt;"",E204&lt;&gt;"!!!"),"NEW","")))</f>
        <v/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/>
      </c>
      <c r="H204" s="24" t="str">
        <f t="shared" ca="1" si="19"/>
        <v/>
      </c>
      <c r="I204" s="25" t="str">
        <f>IF(OR(E204="",E204="!!!",F204="NEW"),"",INDEX(B$2:B203,-1+SUMPRODUCT(MAX(ROW(E$2:E203)*(E204=E$2:E203)))))</f>
        <v/>
      </c>
      <c r="J204" s="25" t="str">
        <f ca="1">IF(OR(E204="",E204="!!!",F204="NEW"),"",COUNTBLANK(OFFSET(A$1,,,SUMPRODUCT(MAX(ROW(E$2:E204)*(E204=E$2:E204)))))-COUNTBLANK(OFFSET(A$1,,,SUMPRODUCT(MAX(ROW(E$1:E203)*(E2=E$1:E203))))))</f>
        <v/>
      </c>
      <c r="K204" s="25" t="str">
        <f>IF(OR(E204="",E204="!!!",F204="NEW"),"",INDEX(J$1:J203,SUMPRODUCT(MAX(ROW(E$1:E203)*(E204=E$1:E203)))))</f>
        <v/>
      </c>
      <c r="L204" s="26"/>
    </row>
    <row r="205" spans="1:12" x14ac:dyDescent="0.3">
      <c r="A205" t="s">
        <v>173</v>
      </c>
      <c r="B205" s="20" t="s">
        <v>268</v>
      </c>
      <c r="C205" s="20" t="s">
        <v>195</v>
      </c>
      <c r="D205" s="20" t="s">
        <v>171</v>
      </c>
      <c r="E205" s="21"/>
      <c r="F205" s="22" t="s">
        <v>486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/>
      </c>
      <c r="H205" s="24" t="str">
        <f t="shared" ca="1" si="19"/>
        <v/>
      </c>
      <c r="I205" s="25" t="str">
        <f>IF(OR(E205="",E205="!!!",F205="NEW"),"",INDEX(B$2:B204,-1+SUMPRODUCT(MAX(ROW(E$2:E204)*(E205=E$2:E204)))))</f>
        <v/>
      </c>
      <c r="J205" s="25" t="str">
        <f ca="1">IF(OR(E205="",E205="!!!",F205="NEW"),"",COUNTBLANK(OFFSET(A$1,,,SUMPRODUCT(MAX(ROW(E$2:E205)*(E205=E$2:E205)))))-COUNTBLANK(OFFSET(A$1,,,SUMPRODUCT(MAX(ROW(E$1:E204)*(E2=E$1:E204))))))</f>
        <v/>
      </c>
      <c r="K205" s="25" t="str">
        <f>IF(OR(E205="",E205="!!!",F205="NEW"),"",INDEX(J$1:J204,SUMPRODUCT(MAX(ROW(E$1:E204)*(E205=E$1:E204)))))</f>
        <v/>
      </c>
      <c r="L205" s="26" t="s">
        <v>515</v>
      </c>
    </row>
    <row r="206" spans="1:12" x14ac:dyDescent="0.3">
      <c r="A206" t="s">
        <v>274</v>
      </c>
      <c r="E206" s="21" t="str">
        <f t="shared" si="18"/>
        <v/>
      </c>
      <c r="F206" s="22" t="str">
        <f>IF(OR(E206="",E206="!!!"),"",IF(NOT(ISNA(VLOOKUP(E206,E$1:E205,1,FALSE()))),"OLD",IF(AND(E206&lt;&gt;"",E206&lt;&gt;"!!!"),"NEW","")))</f>
        <v/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/>
      </c>
      <c r="H206" s="24" t="str">
        <f t="shared" ca="1" si="19"/>
        <v/>
      </c>
      <c r="I206" s="25" t="str">
        <f>IF(OR(E206="",E206="!!!",F206="NEW"),"",INDEX(B$2:B205,-1+SUMPRODUCT(MAX(ROW(E$2:E205)*(E206=E$2:E205)))))</f>
        <v/>
      </c>
      <c r="J206" s="25" t="str">
        <f ca="1">IF(OR(E206="",E206="!!!",F206="NEW"),"",COUNTBLANK(OFFSET(A$1,,,SUMPRODUCT(MAX(ROW(E$2:E206)*(E206=E$2:E206)))))-COUNTBLANK(OFFSET(A$1,,,SUMPRODUCT(MAX(ROW(E$1:E205)*(E2=E$1:E205))))))</f>
        <v/>
      </c>
      <c r="K206" s="25" t="str">
        <f>IF(OR(E206="",E206="!!!",F206="NEW"),"",INDEX(J$1:J205,SUMPRODUCT(MAX(ROW(E$1:E205)*(E206=E$1:E205)))))</f>
        <v/>
      </c>
      <c r="L206" s="26"/>
    </row>
    <row r="207" spans="1:12" x14ac:dyDescent="0.3">
      <c r="A207" t="s">
        <v>275</v>
      </c>
      <c r="B207" s="20" t="s">
        <v>182</v>
      </c>
      <c r="C207" s="20" t="s">
        <v>175</v>
      </c>
      <c r="E207" s="21" t="str">
        <f t="shared" si="18"/>
        <v/>
      </c>
      <c r="F207" s="22" t="str">
        <f>IF(OR(E207="",E207="!!!"),"",IF(NOT(ISNA(VLOOKUP(E207,E$1:E206,1,FALSE()))),"OLD",IF(AND(E207&lt;&gt;"",E207&lt;&gt;"!!!"),"NEW","")))</f>
        <v/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/>
      </c>
      <c r="H207" s="24" t="str">
        <f t="shared" ca="1" si="19"/>
        <v/>
      </c>
      <c r="I207" s="25" t="str">
        <f>IF(OR(E207="",E207="!!!",F207="NEW"),"",INDEX(B$2:B206,-1+SUMPRODUCT(MAX(ROW(E$2:E206)*(E207=E$2:E206)))))</f>
        <v/>
      </c>
      <c r="J207" s="25" t="str">
        <f ca="1">IF(OR(E207="",E207="!!!",F207="NEW"),"",COUNTBLANK(OFFSET(A$1,,,SUMPRODUCT(MAX(ROW(E$2:E207)*(E207=E$2:E207)))))-COUNTBLANK(OFFSET(A$1,,,SUMPRODUCT(MAX(ROW(E$1:E206)*(E2=E$1:E206))))))</f>
        <v/>
      </c>
      <c r="K207" s="25" t="str">
        <f>IF(OR(E207="",E207="!!!",F207="NEW"),"",INDEX(J$1:J206,SUMPRODUCT(MAX(ROW(E$1:E206)*(E207=E$1:E206)))))</f>
        <v/>
      </c>
      <c r="L207" s="26"/>
    </row>
    <row r="208" spans="1:12" x14ac:dyDescent="0.3">
      <c r="A208" t="s">
        <v>13</v>
      </c>
      <c r="E208" s="21" t="str">
        <f t="shared" si="18"/>
        <v/>
      </c>
      <c r="F208" s="22" t="str">
        <f>IF(OR(E208="",E208="!!!"),"",IF(NOT(ISNA(VLOOKUP(E208,E$1:E207,1,FALSE()))),"OLD",IF(AND(E208&lt;&gt;"",E208&lt;&gt;"!!!"),"NEW","")))</f>
        <v/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/>
      </c>
      <c r="H208" s="24" t="str">
        <f t="shared" ca="1" si="19"/>
        <v/>
      </c>
      <c r="I208" s="25" t="str">
        <f>IF(OR(E208="",E208="!!!",F208="NEW"),"",INDEX(B$2:B207,-1+SUMPRODUCT(MAX(ROW(E$2:E207)*(E208=E$2:E207)))))</f>
        <v/>
      </c>
      <c r="J208" s="25" t="str">
        <f ca="1">IF(OR(E208="",E208="!!!",F208="NEW"),"",COUNTBLANK(OFFSET(A$1,,,SUMPRODUCT(MAX(ROW(E$2:E208)*(E208=E$2:E208)))))-COUNTBLANK(OFFSET(A$1,,,SUMPRODUCT(MAX(ROW(E$1:E207)*(E2=E$1:E207))))))</f>
        <v/>
      </c>
      <c r="K208" s="25" t="str">
        <f>IF(OR(E208="",E208="!!!",F208="NEW"),"",INDEX(J$1:J207,SUMPRODUCT(MAX(ROW(E$1:E207)*(E208=E$1:E207)))))</f>
        <v/>
      </c>
      <c r="L208" s="26"/>
    </row>
    <row r="209" spans="1:12" x14ac:dyDescent="0.3">
      <c r="A209" t="s">
        <v>197</v>
      </c>
      <c r="E209" s="21" t="str">
        <f t="shared" si="18"/>
        <v/>
      </c>
      <c r="F209" s="22" t="str">
        <f>IF(OR(E209="",E209="!!!"),"",IF(NOT(ISNA(VLOOKUP(E209,E$1:E208,1,FALSE()))),"OLD",IF(AND(E209&lt;&gt;"",E209&lt;&gt;"!!!"),"NEW","")))</f>
        <v/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/>
      </c>
      <c r="H209" s="24" t="str">
        <f t="shared" ca="1" si="19"/>
        <v/>
      </c>
      <c r="I209" s="25" t="str">
        <f>IF(OR(E209="",E209="!!!",F209="NEW"),"",INDEX(B$2:B208,-1+SUMPRODUCT(MAX(ROW(E$2:E208)*(E209=E$2:E208)))))</f>
        <v/>
      </c>
      <c r="J209" s="25" t="str">
        <f ca="1">IF(OR(E209="",E209="!!!",F209="NEW"),"",COUNTBLANK(OFFSET(A$1,,,SUMPRODUCT(MAX(ROW(E$2:E209)*(E209=E$2:E209)))))-COUNTBLANK(OFFSET(A$1,,,SUMPRODUCT(MAX(ROW(E$1:E208)*(E2=E$1:E208))))))</f>
        <v/>
      </c>
      <c r="K209" s="25" t="str">
        <f>IF(OR(E209="",E209="!!!",F209="NEW"),"",INDEX(J$1:J208,SUMPRODUCT(MAX(ROW(E$1:E208)*(E209=E$1:E208)))))</f>
        <v/>
      </c>
      <c r="L209" s="26"/>
    </row>
    <row r="210" spans="1:12" x14ac:dyDescent="0.3">
      <c r="A210" t="s">
        <v>226</v>
      </c>
      <c r="E210" s="21" t="str">
        <f t="shared" si="18"/>
        <v/>
      </c>
      <c r="F210" s="22" t="str">
        <f>IF(OR(E210="",E210="!!!"),"",IF(NOT(ISNA(VLOOKUP(E210,E$1:E209,1,FALSE()))),"OLD",IF(AND(E210&lt;&gt;"",E210&lt;&gt;"!!!"),"NEW","")))</f>
        <v/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/>
      </c>
      <c r="H210" s="24" t="str">
        <f t="shared" ca="1" si="19"/>
        <v/>
      </c>
      <c r="I210" s="25" t="str">
        <f>IF(OR(E210="",E210="!!!",F210="NEW"),"",INDEX(B$2:B209,-1+SUMPRODUCT(MAX(ROW(E$2:E209)*(E210=E$2:E209)))))</f>
        <v/>
      </c>
      <c r="J210" s="25" t="str">
        <f ca="1">IF(OR(E210="",E210="!!!",F210="NEW"),"",COUNTBLANK(OFFSET(A$1,,,SUMPRODUCT(MAX(ROW(E$2:E210)*(E210=E$2:E210)))))-COUNTBLANK(OFFSET(A$1,,,SUMPRODUCT(MAX(ROW(E$1:E209)*(E2=E$1:E209))))))</f>
        <v/>
      </c>
      <c r="K210" s="25" t="str">
        <f>IF(OR(E210="",E210="!!!",F210="NEW"),"",INDEX(J$1:J209,SUMPRODUCT(MAX(ROW(E$1:E209)*(E210=E$1:E209)))))</f>
        <v/>
      </c>
      <c r="L210" s="26"/>
    </row>
    <row r="212" spans="1:12" x14ac:dyDescent="0.3">
      <c r="A212" t="s">
        <v>299</v>
      </c>
    </row>
    <row r="213" spans="1:12" x14ac:dyDescent="0.3">
      <c r="A213" t="s">
        <v>300</v>
      </c>
      <c r="E213" s="21" t="str">
        <f t="shared" ref="E213:E234" si="20">IF(D213="?OLD","!!!","")</f>
        <v/>
      </c>
      <c r="F213" s="22" t="str">
        <f>IF(OR(E213="",E213="!!!"),"",IF(NOT(ISNA(VLOOKUP(E213,E$1:E212,1,FALSE()))),"OLD",IF(AND(E213&lt;&gt;"",E213&lt;&gt;"!!!"),"NEW","")))</f>
        <v/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/>
      </c>
      <c r="H213" s="24" t="str">
        <f t="shared" ref="H213:H234" ca="1" si="21">IF(J213&lt;&gt;1,"",IF(I213="SBJ","CB","?"))</f>
        <v/>
      </c>
      <c r="I213" s="25" t="str">
        <f>IF(OR(E213="",E213="!!!",F213="NEW"),"",INDEX(B$2:B212,-1+SUMPRODUCT(MAX(ROW(E$2:E212)*(E213=E$2:E212)))))</f>
        <v/>
      </c>
      <c r="J213" s="25" t="str">
        <f ca="1">IF(OR(E213="",E213="!!!",F213="NEW"),"",COUNTBLANK(OFFSET(A$1,,,SUMPRODUCT(MAX(ROW(E$2:E213)*(E213=E$2:E213)))))-COUNTBLANK(OFFSET(A$1,,,SUMPRODUCT(MAX(ROW(E$1:E212)*(E2=E$1:E212))))))</f>
        <v/>
      </c>
      <c r="K213" s="25" t="str">
        <f>IF(OR(E213="",E213="!!!",F213="NEW"),"",INDEX(J$1:J212,SUMPRODUCT(MAX(ROW(E$1:E212)*(E213=E$1:E212)))))</f>
        <v/>
      </c>
      <c r="L213" s="26"/>
    </row>
    <row r="214" spans="1:12" x14ac:dyDescent="0.3">
      <c r="A214" t="s">
        <v>301</v>
      </c>
      <c r="E214" s="21" t="str">
        <f t="shared" si="20"/>
        <v/>
      </c>
      <c r="F214" s="22" t="str">
        <f>IF(OR(E214="",E214="!!!"),"",IF(NOT(ISNA(VLOOKUP(E214,E$1:E213,1,FALSE()))),"OLD",IF(AND(E214&lt;&gt;"",E214&lt;&gt;"!!!"),"NEW","")))</f>
        <v/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/>
      </c>
      <c r="H214" s="24" t="str">
        <f t="shared" ca="1" si="21"/>
        <v/>
      </c>
      <c r="I214" s="25" t="str">
        <f>IF(OR(E214="",E214="!!!",F214="NEW"),"",INDEX(B$2:B213,-1+SUMPRODUCT(MAX(ROW(E$2:E213)*(E214=E$2:E213)))))</f>
        <v/>
      </c>
      <c r="J214" s="25" t="str">
        <f ca="1">IF(OR(E214="",E214="!!!",F214="NEW"),"",COUNTBLANK(OFFSET(A$1,,,SUMPRODUCT(MAX(ROW(E$2:E214)*(E214=E$2:E214)))))-COUNTBLANK(OFFSET(A$1,,,SUMPRODUCT(MAX(ROW(E$1:E213)*(E2=E$1:E213))))))</f>
        <v/>
      </c>
      <c r="K214" s="25" t="str">
        <f>IF(OR(E214="",E214="!!!",F214="NEW"),"",INDEX(J$1:J213,SUMPRODUCT(MAX(ROW(E$1:E213)*(E214=E$1:E213)))))</f>
        <v/>
      </c>
      <c r="L214" s="26"/>
    </row>
    <row r="215" spans="1:12" x14ac:dyDescent="0.3">
      <c r="A215" t="s">
        <v>302</v>
      </c>
      <c r="E215" s="21" t="str">
        <f t="shared" si="20"/>
        <v/>
      </c>
      <c r="F215" s="22" t="str">
        <f>IF(OR(E215="",E215="!!!"),"",IF(NOT(ISNA(VLOOKUP(E215,E$1:E214,1,FALSE()))),"OLD",IF(AND(E215&lt;&gt;"",E215&lt;&gt;"!!!"),"NEW","")))</f>
        <v/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/>
      </c>
      <c r="H215" s="24" t="str">
        <f t="shared" ca="1" si="21"/>
        <v/>
      </c>
      <c r="I215" s="25" t="str">
        <f>IF(OR(E215="",E215="!!!",F215="NEW"),"",INDEX(B$2:B214,-1+SUMPRODUCT(MAX(ROW(E$2:E214)*(E215=E$2:E214)))))</f>
        <v/>
      </c>
      <c r="J215" s="25" t="str">
        <f ca="1">IF(OR(E215="",E215="!!!",F215="NEW"),"",COUNTBLANK(OFFSET(A$1,,,SUMPRODUCT(MAX(ROW(E$2:E215)*(E215=E$2:E215)))))-COUNTBLANK(OFFSET(A$1,,,SUMPRODUCT(MAX(ROW(E$1:E214)*(E2=E$1:E214))))))</f>
        <v/>
      </c>
      <c r="K215" s="25" t="str">
        <f>IF(OR(E215="",E215="!!!",F215="NEW"),"",INDEX(J$1:J214,SUMPRODUCT(MAX(ROW(E$1:E214)*(E215=E$1:E214)))))</f>
        <v/>
      </c>
      <c r="L215" s="26"/>
    </row>
    <row r="216" spans="1:12" x14ac:dyDescent="0.3">
      <c r="A216" t="s">
        <v>303</v>
      </c>
      <c r="E216" s="21" t="s">
        <v>491</v>
      </c>
      <c r="F216" s="22" t="str">
        <f>IF(OR(E216="",E216="!!!"),"",IF(NOT(ISNA(VLOOKUP(E216,E$1:E215,1,FALSE()))),"OLD",IF(AND(E216&lt;&gt;"",E216&lt;&gt;"!!!"),"NEW","")))</f>
        <v>OLD</v>
      </c>
      <c r="G216" s="23" t="s">
        <v>509</v>
      </c>
      <c r="H216" s="24" t="str">
        <f t="shared" ca="1" si="21"/>
        <v/>
      </c>
      <c r="I216" s="25" t="str">
        <f>IF(OR(E216="",E216="!!!",F216="NEW"),"",INDEX(B$2:B215,-1+SUMPRODUCT(MAX(ROW(E$2:E215)*(E216=E$2:E215)))))</f>
        <v>other_2</v>
      </c>
      <c r="J216" s="25">
        <f ca="1">IF(OR(E216="",E216="!!!",F216="NEW"),"",COUNTBLANK(OFFSET(A$1,,,SUMPRODUCT(MAX(ROW(E$2:E216)*(E216=E$2:E216)))))-COUNTBLANK(OFFSET(A$1,,,SUMPRODUCT(MAX(ROW(E$1:E215)*(E2=E$1:E215))))))</f>
        <v>0</v>
      </c>
      <c r="K216" s="25" t="str">
        <f ca="1">IF(OR(E216="",E216="!!!",F216="NEW"),"",INDEX(J$1:J215,SUMPRODUCT(MAX(ROW(E$1:E215)*(E216=E$1:E215)))))</f>
        <v/>
      </c>
      <c r="L216" s="26"/>
    </row>
    <row r="217" spans="1:12" x14ac:dyDescent="0.3">
      <c r="A217" t="s">
        <v>12</v>
      </c>
      <c r="E217" s="21" t="str">
        <f t="shared" si="20"/>
        <v/>
      </c>
      <c r="F217" s="22" t="str">
        <f>IF(OR(E217="",E217="!!!"),"",IF(NOT(ISNA(VLOOKUP(E217,E$1:E216,1,FALSE()))),"OLD",IF(AND(E217&lt;&gt;"",E217&lt;&gt;"!!!"),"NEW","")))</f>
        <v/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/>
      </c>
      <c r="H217" s="24" t="str">
        <f t="shared" ca="1" si="21"/>
        <v/>
      </c>
      <c r="I217" s="25" t="str">
        <f>IF(OR(E217="",E217="!!!",F217="NEW"),"",INDEX(B$2:B216,-1+SUMPRODUCT(MAX(ROW(E$2:E216)*(E217=E$2:E216)))))</f>
        <v/>
      </c>
      <c r="J217" s="25" t="str">
        <f ca="1">IF(OR(E217="",E217="!!!",F217="NEW"),"",COUNTBLANK(OFFSET(A$1,,,SUMPRODUCT(MAX(ROW(E$2:E217)*(E217=E$2:E217)))))-COUNTBLANK(OFFSET(A$1,,,SUMPRODUCT(MAX(ROW(E$1:E216)*(E2=E$1:E216))))))</f>
        <v/>
      </c>
      <c r="K217" s="25" t="str">
        <f>IF(OR(E217="",E217="!!!",F217="NEW"),"",INDEX(J$1:J216,SUMPRODUCT(MAX(ROW(E$1:E216)*(E217=E$1:E216)))))</f>
        <v/>
      </c>
      <c r="L217" s="26"/>
    </row>
    <row r="218" spans="1:12" x14ac:dyDescent="0.3">
      <c r="A218" t="s">
        <v>304</v>
      </c>
      <c r="B218" s="20" t="s">
        <v>166</v>
      </c>
      <c r="C218" s="20" t="s">
        <v>229</v>
      </c>
      <c r="E218" s="21" t="str">
        <f t="shared" si="20"/>
        <v/>
      </c>
      <c r="F218" s="22" t="str">
        <f>IF(OR(E218="",E218="!!!"),"",IF(NOT(ISNA(VLOOKUP(E218,E$1:E217,1,FALSE()))),"OLD",IF(AND(E218&lt;&gt;"",E218&lt;&gt;"!!!"),"NEW","")))</f>
        <v/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/>
      </c>
      <c r="H218" s="24" t="str">
        <f t="shared" ca="1" si="21"/>
        <v/>
      </c>
      <c r="I218" s="25" t="str">
        <f>IF(OR(E218="",E218="!!!",F218="NEW"),"",INDEX(B$2:B217,-1+SUMPRODUCT(MAX(ROW(E$2:E217)*(E218=E$2:E217)))))</f>
        <v/>
      </c>
      <c r="J218" s="25" t="str">
        <f ca="1">IF(OR(E218="",E218="!!!",F218="NEW"),"",COUNTBLANK(OFFSET(A$1,,,SUMPRODUCT(MAX(ROW(E$2:E218)*(E218=E$2:E218)))))-COUNTBLANK(OFFSET(A$1,,,SUMPRODUCT(MAX(ROW(E$1:E217)*(E2=E$1:E217))))))</f>
        <v/>
      </c>
      <c r="K218" s="25" t="str">
        <f>IF(OR(E218="",E218="!!!",F218="NEW"),"",INDEX(J$1:J217,SUMPRODUCT(MAX(ROW(E$1:E217)*(E218=E$1:E217)))))</f>
        <v/>
      </c>
      <c r="L218" s="26"/>
    </row>
    <row r="219" spans="1:12" x14ac:dyDescent="0.3">
      <c r="A219" t="s">
        <v>206</v>
      </c>
      <c r="E219" s="21" t="str">
        <f t="shared" si="20"/>
        <v/>
      </c>
      <c r="F219" s="22" t="str">
        <f>IF(OR(E219="",E219="!!!"),"",IF(NOT(ISNA(VLOOKUP(E219,E$1:E218,1,FALSE()))),"OLD",IF(AND(E219&lt;&gt;"",E219&lt;&gt;"!!!"),"NEW","")))</f>
        <v/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/>
      </c>
      <c r="H219" s="24" t="str">
        <f t="shared" ca="1" si="21"/>
        <v/>
      </c>
      <c r="I219" s="25" t="str">
        <f>IF(OR(E219="",E219="!!!",F219="NEW"),"",INDEX(B$2:B218,-1+SUMPRODUCT(MAX(ROW(E$2:E218)*(E219=E$2:E218)))))</f>
        <v/>
      </c>
      <c r="J219" s="25" t="str">
        <f ca="1">IF(OR(E219="",E219="!!!",F219="NEW"),"",COUNTBLANK(OFFSET(A$1,,,SUMPRODUCT(MAX(ROW(E$2:E219)*(E219=E$2:E219)))))-COUNTBLANK(OFFSET(A$1,,,SUMPRODUCT(MAX(ROW(E$1:E218)*(E2=E$1:E218))))))</f>
        <v/>
      </c>
      <c r="K219" s="25" t="str">
        <f>IF(OR(E219="",E219="!!!",F219="NEW"),"",INDEX(J$1:J218,SUMPRODUCT(MAX(ROW(E$1:E218)*(E219=E$1:E218)))))</f>
        <v/>
      </c>
      <c r="L219" s="26"/>
    </row>
    <row r="220" spans="1:12" x14ac:dyDescent="0.3">
      <c r="A220" t="s">
        <v>305</v>
      </c>
      <c r="B220" s="20" t="s">
        <v>255</v>
      </c>
      <c r="E220" s="21" t="str">
        <f t="shared" si="20"/>
        <v/>
      </c>
      <c r="F220" s="22" t="str">
        <f>IF(OR(E220="",E220="!!!"),"",IF(NOT(ISNA(VLOOKUP(E220,E$1:E219,1,FALSE()))),"OLD",IF(AND(E220&lt;&gt;"",E220&lt;&gt;"!!!"),"NEW","")))</f>
        <v/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/>
      </c>
      <c r="H220" s="24" t="str">
        <f t="shared" ca="1" si="21"/>
        <v/>
      </c>
      <c r="I220" s="25" t="str">
        <f>IF(OR(E220="",E220="!!!",F220="NEW"),"",INDEX(B$2:B219,-1+SUMPRODUCT(MAX(ROW(E$2:E219)*(E220=E$2:E219)))))</f>
        <v/>
      </c>
      <c r="J220" s="25" t="str">
        <f ca="1">IF(OR(E220="",E220="!!!",F220="NEW"),"",COUNTBLANK(OFFSET(A$1,,,SUMPRODUCT(MAX(ROW(E$2:E220)*(E220=E$2:E220)))))-COUNTBLANK(OFFSET(A$1,,,SUMPRODUCT(MAX(ROW(E$1:E219)*(E2=E$1:E219))))))</f>
        <v/>
      </c>
      <c r="K220" s="25" t="str">
        <f>IF(OR(E220="",E220="!!!",F220="NEW"),"",INDEX(J$1:J219,SUMPRODUCT(MAX(ROW(E$1:E219)*(E220=E$1:E219)))))</f>
        <v/>
      </c>
      <c r="L220" s="26"/>
    </row>
    <row r="221" spans="1:12" x14ac:dyDescent="0.3">
      <c r="A221" t="s">
        <v>306</v>
      </c>
      <c r="B221" s="20" t="s">
        <v>270</v>
      </c>
      <c r="C221" s="20" t="s">
        <v>175</v>
      </c>
      <c r="E221" s="21" t="str">
        <f t="shared" si="20"/>
        <v/>
      </c>
      <c r="F221" s="22" t="str">
        <f>IF(OR(E221="",E221="!!!"),"",IF(NOT(ISNA(VLOOKUP(E221,E$1:E220,1,FALSE()))),"OLD",IF(AND(E221&lt;&gt;"",E221&lt;&gt;"!!!"),"NEW","")))</f>
        <v/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/>
      </c>
      <c r="H221" s="24" t="str">
        <f t="shared" ca="1" si="21"/>
        <v/>
      </c>
      <c r="I221" s="25" t="str">
        <f>IF(OR(E221="",E221="!!!",F221="NEW"),"",INDEX(B$2:B220,-1+SUMPRODUCT(MAX(ROW(E$2:E220)*(E221=E$2:E220)))))</f>
        <v/>
      </c>
      <c r="J221" s="25" t="str">
        <f ca="1">IF(OR(E221="",E221="!!!",F221="NEW"),"",COUNTBLANK(OFFSET(A$1,,,SUMPRODUCT(MAX(ROW(E$2:E221)*(E221=E$2:E221)))))-COUNTBLANK(OFFSET(A$1,,,SUMPRODUCT(MAX(ROW(E$1:E220)*(E2=E$1:E220))))))</f>
        <v/>
      </c>
      <c r="K221" s="25" t="str">
        <f>IF(OR(E221="",E221="!!!",F221="NEW"),"",INDEX(J$1:J220,SUMPRODUCT(MAX(ROW(E$1:E220)*(E221=E$1:E220)))))</f>
        <v/>
      </c>
      <c r="L221" s="26"/>
    </row>
    <row r="222" spans="1:12" x14ac:dyDescent="0.3">
      <c r="A222" t="s">
        <v>307</v>
      </c>
      <c r="E222" s="21" t="str">
        <f t="shared" si="20"/>
        <v/>
      </c>
      <c r="F222" s="22" t="str">
        <f>IF(OR(E222="",E222="!!!"),"",IF(NOT(ISNA(VLOOKUP(E222,E$1:E221,1,FALSE()))),"OLD",IF(AND(E222&lt;&gt;"",E222&lt;&gt;"!!!"),"NEW","")))</f>
        <v/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/>
      </c>
      <c r="H222" s="24" t="str">
        <f t="shared" ca="1" si="21"/>
        <v/>
      </c>
      <c r="I222" s="25" t="str">
        <f>IF(OR(E222="",E222="!!!",F222="NEW"),"",INDEX(B$2:B221,-1+SUMPRODUCT(MAX(ROW(E$2:E221)*(E222=E$2:E221)))))</f>
        <v/>
      </c>
      <c r="J222" s="25" t="str">
        <f ca="1">IF(OR(E222="",E222="!!!",F222="NEW"),"",COUNTBLANK(OFFSET(A$1,,,SUMPRODUCT(MAX(ROW(E$2:E222)*(E222=E$2:E222)))))-COUNTBLANK(OFFSET(A$1,,,SUMPRODUCT(MAX(ROW(E$1:E221)*(E2=E$1:E221))))))</f>
        <v/>
      </c>
      <c r="K222" s="25" t="str">
        <f>IF(OR(E222="",E222="!!!",F222="NEW"),"",INDEX(J$1:J221,SUMPRODUCT(MAX(ROW(E$1:E221)*(E222=E$1:E221)))))</f>
        <v/>
      </c>
      <c r="L222" s="26"/>
    </row>
    <row r="223" spans="1:12" x14ac:dyDescent="0.3">
      <c r="A223" t="s">
        <v>218</v>
      </c>
      <c r="E223" s="21" t="str">
        <f t="shared" si="20"/>
        <v/>
      </c>
      <c r="F223" s="22" t="str">
        <f>IF(OR(E223="",E223="!!!"),"",IF(NOT(ISNA(VLOOKUP(E223,E$1:E222,1,FALSE()))),"OLD",IF(AND(E223&lt;&gt;"",E223&lt;&gt;"!!!"),"NEW","")))</f>
        <v/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/>
      </c>
      <c r="H223" s="24" t="str">
        <f t="shared" ca="1" si="21"/>
        <v/>
      </c>
      <c r="I223" s="25" t="str">
        <f>IF(OR(E223="",E223="!!!",F223="NEW"),"",INDEX(B$2:B222,-1+SUMPRODUCT(MAX(ROW(E$2:E222)*(E223=E$2:E222)))))</f>
        <v/>
      </c>
      <c r="J223" s="25" t="str">
        <f ca="1">IF(OR(E223="",E223="!!!",F223="NEW"),"",COUNTBLANK(OFFSET(A$1,,,SUMPRODUCT(MAX(ROW(E$2:E223)*(E223=E$2:E223)))))-COUNTBLANK(OFFSET(A$1,,,SUMPRODUCT(MAX(ROW(E$1:E222)*(E2=E$1:E222))))))</f>
        <v/>
      </c>
      <c r="K223" s="25" t="str">
        <f>IF(OR(E223="",E223="!!!",F223="NEW"),"",INDEX(J$1:J222,SUMPRODUCT(MAX(ROW(E$1:E222)*(E223=E$1:E222)))))</f>
        <v/>
      </c>
      <c r="L223" s="26"/>
    </row>
    <row r="224" spans="1:12" x14ac:dyDescent="0.3">
      <c r="A224" t="s">
        <v>180</v>
      </c>
      <c r="E224" s="21" t="str">
        <f t="shared" si="20"/>
        <v/>
      </c>
      <c r="F224" s="22" t="str">
        <f>IF(OR(E224="",E224="!!!"),"",IF(NOT(ISNA(VLOOKUP(E224,E$1:E223,1,FALSE()))),"OLD",IF(AND(E224&lt;&gt;"",E224&lt;&gt;"!!!"),"NEW","")))</f>
        <v/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/>
      </c>
      <c r="H224" s="24" t="str">
        <f t="shared" ca="1" si="21"/>
        <v/>
      </c>
      <c r="I224" s="25" t="str">
        <f>IF(OR(E224="",E224="!!!",F224="NEW"),"",INDEX(B$2:B223,-1+SUMPRODUCT(MAX(ROW(E$2:E223)*(E224=E$2:E223)))))</f>
        <v/>
      </c>
      <c r="J224" s="25" t="str">
        <f ca="1">IF(OR(E224="",E224="!!!",F224="NEW"),"",COUNTBLANK(OFFSET(A$1,,,SUMPRODUCT(MAX(ROW(E$2:E224)*(E224=E$2:E224)))))-COUNTBLANK(OFFSET(A$1,,,SUMPRODUCT(MAX(ROW(E$1:E223)*(E2=E$1:E223))))))</f>
        <v/>
      </c>
      <c r="K224" s="25" t="str">
        <f>IF(OR(E224="",E224="!!!",F224="NEW"),"",INDEX(J$1:J223,SUMPRODUCT(MAX(ROW(E$1:E223)*(E224=E$1:E223)))))</f>
        <v/>
      </c>
      <c r="L224" s="26"/>
    </row>
    <row r="225" spans="1:12" x14ac:dyDescent="0.3">
      <c r="A225" t="s">
        <v>308</v>
      </c>
      <c r="E225" s="21" t="str">
        <f t="shared" si="20"/>
        <v/>
      </c>
      <c r="F225" s="22" t="str">
        <f>IF(OR(E225="",E225="!!!"),"",IF(NOT(ISNA(VLOOKUP(E225,E$1:E224,1,FALSE()))),"OLD",IF(AND(E225&lt;&gt;"",E225&lt;&gt;"!!!"),"NEW","")))</f>
        <v/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/>
      </c>
      <c r="H225" s="24" t="str">
        <f t="shared" ca="1" si="21"/>
        <v/>
      </c>
      <c r="I225" s="25" t="str">
        <f>IF(OR(E225="",E225="!!!",F225="NEW"),"",INDEX(B$2:B224,-1+SUMPRODUCT(MAX(ROW(E$2:E224)*(E225=E$2:E224)))))</f>
        <v/>
      </c>
      <c r="J225" s="25" t="str">
        <f ca="1">IF(OR(E225="",E225="!!!",F225="NEW"),"",COUNTBLANK(OFFSET(A$1,,,SUMPRODUCT(MAX(ROW(E$2:E225)*(E225=E$2:E225)))))-COUNTBLANK(OFFSET(A$1,,,SUMPRODUCT(MAX(ROW(E$1:E224)*(E2=E$1:E224))))))</f>
        <v/>
      </c>
      <c r="K225" s="25" t="str">
        <f>IF(OR(E225="",E225="!!!",F225="NEW"),"",INDEX(J$1:J224,SUMPRODUCT(MAX(ROW(E$1:E224)*(E225=E$1:E224)))))</f>
        <v/>
      </c>
      <c r="L225" s="26"/>
    </row>
    <row r="226" spans="1:12" x14ac:dyDescent="0.3">
      <c r="A226" t="s">
        <v>309</v>
      </c>
      <c r="E226" s="21" t="str">
        <f t="shared" si="20"/>
        <v/>
      </c>
      <c r="F226" s="22" t="str">
        <f>IF(OR(E226="",E226="!!!"),"",IF(NOT(ISNA(VLOOKUP(E226,E$1:E225,1,FALSE()))),"OLD",IF(AND(E226&lt;&gt;"",E226&lt;&gt;"!!!"),"NEW","")))</f>
        <v/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/>
      </c>
      <c r="H226" s="24" t="str">
        <f t="shared" ca="1" si="21"/>
        <v/>
      </c>
      <c r="I226" s="25" t="str">
        <f>IF(OR(E226="",E226="!!!",F226="NEW"),"",INDEX(B$2:B225,-1+SUMPRODUCT(MAX(ROW(E$2:E225)*(E226=E$2:E225)))))</f>
        <v/>
      </c>
      <c r="J226" s="25" t="str">
        <f ca="1">IF(OR(E226="",E226="!!!",F226="NEW"),"",COUNTBLANK(OFFSET(A$1,,,SUMPRODUCT(MAX(ROW(E$2:E226)*(E226=E$2:E226)))))-COUNTBLANK(OFFSET(A$1,,,SUMPRODUCT(MAX(ROW(E$1:E225)*(E2=E$1:E225))))))</f>
        <v/>
      </c>
      <c r="K226" s="25" t="str">
        <f>IF(OR(E226="",E226="!!!",F226="NEW"),"",INDEX(J$1:J225,SUMPRODUCT(MAX(ROW(E$1:E225)*(E226=E$1:E225)))))</f>
        <v/>
      </c>
      <c r="L226" s="26"/>
    </row>
    <row r="227" spans="1:12" x14ac:dyDescent="0.3">
      <c r="A227" t="s">
        <v>98</v>
      </c>
      <c r="E227" s="21" t="str">
        <f t="shared" si="20"/>
        <v/>
      </c>
      <c r="F227" s="22" t="str">
        <f>IF(OR(E227="",E227="!!!"),"",IF(NOT(ISNA(VLOOKUP(E227,E$1:E226,1,FALSE()))),"OLD",IF(AND(E227&lt;&gt;"",E227&lt;&gt;"!!!"),"NEW","")))</f>
        <v/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/>
      </c>
      <c r="H227" s="24" t="str">
        <f t="shared" ca="1" si="21"/>
        <v/>
      </c>
      <c r="I227" s="25" t="str">
        <f>IF(OR(E227="",E227="!!!",F227="NEW"),"",INDEX(B$2:B226,-1+SUMPRODUCT(MAX(ROW(E$2:E226)*(E227=E$2:E226)))))</f>
        <v/>
      </c>
      <c r="J227" s="25" t="str">
        <f ca="1">IF(OR(E227="",E227="!!!",F227="NEW"),"",COUNTBLANK(OFFSET(A$1,,,SUMPRODUCT(MAX(ROW(E$2:E227)*(E227=E$2:E227)))))-COUNTBLANK(OFFSET(A$1,,,SUMPRODUCT(MAX(ROW(E$1:E226)*(E2=E$1:E226))))))</f>
        <v/>
      </c>
      <c r="K227" s="25" t="str">
        <f>IF(OR(E227="",E227="!!!",F227="NEW"),"",INDEX(J$1:J226,SUMPRODUCT(MAX(ROW(E$1:E226)*(E227=E$1:E226)))))</f>
        <v/>
      </c>
      <c r="L227" s="26"/>
    </row>
    <row r="228" spans="1:12" x14ac:dyDescent="0.3">
      <c r="A228" t="s">
        <v>271</v>
      </c>
      <c r="E228" s="21" t="str">
        <f t="shared" si="20"/>
        <v/>
      </c>
      <c r="F228" s="22" t="str">
        <f>IF(OR(E228="",E228="!!!"),"",IF(NOT(ISNA(VLOOKUP(E228,E$1:E227,1,FALSE()))),"OLD",IF(AND(E228&lt;&gt;"",E228&lt;&gt;"!!!"),"NEW","")))</f>
        <v/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/>
      </c>
      <c r="H228" s="24" t="str">
        <f t="shared" ca="1" si="21"/>
        <v/>
      </c>
      <c r="I228" s="25" t="str">
        <f>IF(OR(E228="",E228="!!!",F228="NEW"),"",INDEX(B$2:B227,-1+SUMPRODUCT(MAX(ROW(E$2:E227)*(E228=E$2:E227)))))</f>
        <v/>
      </c>
      <c r="J228" s="25" t="str">
        <f ca="1">IF(OR(E228="",E228="!!!",F228="NEW"),"",COUNTBLANK(OFFSET(A$1,,,SUMPRODUCT(MAX(ROW(E$2:E228)*(E228=E$2:E228)))))-COUNTBLANK(OFFSET(A$1,,,SUMPRODUCT(MAX(ROW(E$1:E227)*(E2=E$1:E227))))))</f>
        <v/>
      </c>
      <c r="K228" s="25" t="str">
        <f>IF(OR(E228="",E228="!!!",F228="NEW"),"",INDEX(J$1:J227,SUMPRODUCT(MAX(ROW(E$1:E227)*(E228=E$1:E227)))))</f>
        <v/>
      </c>
      <c r="L228" s="26"/>
    </row>
    <row r="229" spans="1:12" x14ac:dyDescent="0.3">
      <c r="A229" t="s">
        <v>206</v>
      </c>
      <c r="E229" s="21" t="str">
        <f t="shared" si="20"/>
        <v/>
      </c>
      <c r="F229" s="22" t="str">
        <f>IF(OR(E229="",E229="!!!"),"",IF(NOT(ISNA(VLOOKUP(E229,E$1:E228,1,FALSE()))),"OLD",IF(AND(E229&lt;&gt;"",E229&lt;&gt;"!!!"),"NEW","")))</f>
        <v/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/>
      </c>
      <c r="H229" s="24" t="str">
        <f t="shared" ca="1" si="21"/>
        <v/>
      </c>
      <c r="I229" s="25" t="str">
        <f>IF(OR(E229="",E229="!!!",F229="NEW"),"",INDEX(B$2:B228,-1+SUMPRODUCT(MAX(ROW(E$2:E228)*(E229=E$2:E228)))))</f>
        <v/>
      </c>
      <c r="J229" s="25" t="str">
        <f ca="1">IF(OR(E229="",E229="!!!",F229="NEW"),"",COUNTBLANK(OFFSET(A$1,,,SUMPRODUCT(MAX(ROW(E$2:E229)*(E229=E$2:E229)))))-COUNTBLANK(OFFSET(A$1,,,SUMPRODUCT(MAX(ROW(E$1:E228)*(E2=E$1:E228))))))</f>
        <v/>
      </c>
      <c r="K229" s="25" t="str">
        <f>IF(OR(E229="",E229="!!!",F229="NEW"),"",INDEX(J$1:J228,SUMPRODUCT(MAX(ROW(E$1:E228)*(E229=E$1:E228)))))</f>
        <v/>
      </c>
      <c r="L229" s="26"/>
    </row>
    <row r="230" spans="1:12" x14ac:dyDescent="0.3">
      <c r="A230" t="s">
        <v>245</v>
      </c>
      <c r="E230" s="21" t="str">
        <f t="shared" si="20"/>
        <v/>
      </c>
      <c r="F230" s="22" t="str">
        <f>IF(OR(E230="",E230="!!!"),"",IF(NOT(ISNA(VLOOKUP(E230,E$1:E229,1,FALSE()))),"OLD",IF(AND(E230&lt;&gt;"",E230&lt;&gt;"!!!"),"NEW","")))</f>
        <v/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/>
      </c>
      <c r="H230" s="24" t="str">
        <f t="shared" ca="1" si="21"/>
        <v/>
      </c>
      <c r="I230" s="25" t="str">
        <f>IF(OR(E230="",E230="!!!",F230="NEW"),"",INDEX(B$2:B229,-1+SUMPRODUCT(MAX(ROW(E$2:E229)*(E230=E$2:E229)))))</f>
        <v/>
      </c>
      <c r="J230" s="25" t="str">
        <f ca="1">IF(OR(E230="",E230="!!!",F230="NEW"),"",COUNTBLANK(OFFSET(A$1,,,SUMPRODUCT(MAX(ROW(E$2:E230)*(E230=E$2:E230)))))-COUNTBLANK(OFFSET(A$1,,,SUMPRODUCT(MAX(ROW(E$1:E229)*(E2=E$1:E229))))))</f>
        <v/>
      </c>
      <c r="K230" s="25" t="str">
        <f>IF(OR(E230="",E230="!!!",F230="NEW"),"",INDEX(J$1:J229,SUMPRODUCT(MAX(ROW(E$1:E229)*(E230=E$1:E229)))))</f>
        <v/>
      </c>
      <c r="L230" s="26"/>
    </row>
    <row r="231" spans="1:12" x14ac:dyDescent="0.3">
      <c r="A231" t="s">
        <v>310</v>
      </c>
      <c r="E231" s="21" t="str">
        <f t="shared" si="20"/>
        <v/>
      </c>
      <c r="F231" s="22" t="str">
        <f>IF(OR(E231="",E231="!!!"),"",IF(NOT(ISNA(VLOOKUP(E231,E$1:E230,1,FALSE()))),"OLD",IF(AND(E231&lt;&gt;"",E231&lt;&gt;"!!!"),"NEW","")))</f>
        <v/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/>
      </c>
      <c r="H231" s="24" t="str">
        <f t="shared" ca="1" si="21"/>
        <v/>
      </c>
      <c r="I231" s="25" t="str">
        <f>IF(OR(E231="",E231="!!!",F231="NEW"),"",INDEX(B$2:B230,-1+SUMPRODUCT(MAX(ROW(E$2:E230)*(E231=E$2:E230)))))</f>
        <v/>
      </c>
      <c r="J231" s="25" t="str">
        <f ca="1">IF(OR(E231="",E231="!!!",F231="NEW"),"",COUNTBLANK(OFFSET(A$1,,,SUMPRODUCT(MAX(ROW(E$2:E231)*(E231=E$2:E231)))))-COUNTBLANK(OFFSET(A$1,,,SUMPRODUCT(MAX(ROW(E$1:E230)*(E2=E$1:E230))))))</f>
        <v/>
      </c>
      <c r="K231" s="25" t="str">
        <f>IF(OR(E231="",E231="!!!",F231="NEW"),"",INDEX(J$1:J230,SUMPRODUCT(MAX(ROW(E$1:E230)*(E231=E$1:E230)))))</f>
        <v/>
      </c>
      <c r="L231" s="26"/>
    </row>
    <row r="232" spans="1:12" x14ac:dyDescent="0.3">
      <c r="A232" t="s">
        <v>311</v>
      </c>
      <c r="B232" s="20" t="s">
        <v>183</v>
      </c>
      <c r="C232" s="20" t="s">
        <v>175</v>
      </c>
      <c r="E232" s="21" t="str">
        <f t="shared" si="20"/>
        <v/>
      </c>
      <c r="F232" s="22" t="str">
        <f>IF(OR(E232="",E232="!!!"),"",IF(NOT(ISNA(VLOOKUP(E232,E$1:E231,1,FALSE()))),"OLD",IF(AND(E232&lt;&gt;"",E232&lt;&gt;"!!!"),"NEW","")))</f>
        <v/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/>
      </c>
      <c r="H232" s="24" t="str">
        <f t="shared" ca="1" si="21"/>
        <v/>
      </c>
      <c r="I232" s="25" t="str">
        <f>IF(OR(E232="",E232="!!!",F232="NEW"),"",INDEX(B$2:B231,-1+SUMPRODUCT(MAX(ROW(E$2:E231)*(E232=E$2:E231)))))</f>
        <v/>
      </c>
      <c r="J232" s="25" t="str">
        <f ca="1">IF(OR(E232="",E232="!!!",F232="NEW"),"",COUNTBLANK(OFFSET(A$1,,,SUMPRODUCT(MAX(ROW(E$2:E232)*(E232=E$2:E232)))))-COUNTBLANK(OFFSET(A$1,,,SUMPRODUCT(MAX(ROW(E$1:E231)*(E2=E$1:E231))))))</f>
        <v/>
      </c>
      <c r="K232" s="25" t="str">
        <f>IF(OR(E232="",E232="!!!",F232="NEW"),"",INDEX(J$1:J231,SUMPRODUCT(MAX(ROW(E$1:E231)*(E232=E$1:E231)))))</f>
        <v/>
      </c>
      <c r="L232" s="26"/>
    </row>
    <row r="233" spans="1:12" x14ac:dyDescent="0.3">
      <c r="A233" t="s">
        <v>61</v>
      </c>
      <c r="E233" s="21" t="str">
        <f t="shared" si="20"/>
        <v/>
      </c>
      <c r="F233" s="22" t="str">
        <f>IF(OR(E233="",E233="!!!"),"",IF(NOT(ISNA(VLOOKUP(E233,E$1:E232,1,FALSE()))),"OLD",IF(AND(E233&lt;&gt;"",E233&lt;&gt;"!!!"),"NEW","")))</f>
        <v/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/>
      </c>
      <c r="H233" s="24" t="str">
        <f t="shared" ca="1" si="21"/>
        <v/>
      </c>
      <c r="I233" s="25" t="str">
        <f>IF(OR(E233="",E233="!!!",F233="NEW"),"",INDEX(B$2:B232,-1+SUMPRODUCT(MAX(ROW(E$2:E232)*(E233=E$2:E232)))))</f>
        <v/>
      </c>
      <c r="J233" s="25" t="str">
        <f ca="1">IF(OR(E233="",E233="!!!",F233="NEW"),"",COUNTBLANK(OFFSET(A$1,,,SUMPRODUCT(MAX(ROW(E$2:E233)*(E233=E$2:E233)))))-COUNTBLANK(OFFSET(A$1,,,SUMPRODUCT(MAX(ROW(E$1:E232)*(E2=E$1:E232))))))</f>
        <v/>
      </c>
      <c r="K233" s="25" t="str">
        <f>IF(OR(E233="",E233="!!!",F233="NEW"),"",INDEX(J$1:J232,SUMPRODUCT(MAX(ROW(E$1:E232)*(E233=E$1:E232)))))</f>
        <v/>
      </c>
      <c r="L233" s="26"/>
    </row>
    <row r="234" spans="1:12" x14ac:dyDescent="0.3">
      <c r="A234" t="s">
        <v>197</v>
      </c>
      <c r="E234" s="21" t="str">
        <f t="shared" si="20"/>
        <v/>
      </c>
      <c r="F234" s="22" t="str">
        <f>IF(OR(E234="",E234="!!!"),"",IF(NOT(ISNA(VLOOKUP(E234,E$1:E233,1,FALSE()))),"OLD",IF(AND(E234&lt;&gt;"",E234&lt;&gt;"!!!"),"NEW","")))</f>
        <v/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/>
      </c>
      <c r="H234" s="24" t="str">
        <f t="shared" ca="1" si="21"/>
        <v/>
      </c>
      <c r="I234" s="25" t="str">
        <f>IF(OR(E234="",E234="!!!",F234="NEW"),"",INDEX(B$2:B233,-1+SUMPRODUCT(MAX(ROW(E$2:E233)*(E234=E$2:E233)))))</f>
        <v/>
      </c>
      <c r="J234" s="25" t="str">
        <f ca="1">IF(OR(E234="",E234="!!!",F234="NEW"),"",COUNTBLANK(OFFSET(A$1,,,SUMPRODUCT(MAX(ROW(E$2:E234)*(E234=E$2:E234)))))-COUNTBLANK(OFFSET(A$1,,,SUMPRODUCT(MAX(ROW(E$1:E233)*(E2=E$1:E233))))))</f>
        <v/>
      </c>
      <c r="K234" s="25" t="str">
        <f>IF(OR(E234="",E234="!!!",F234="NEW"),"",INDEX(J$1:J233,SUMPRODUCT(MAX(ROW(E$1:E233)*(E234=E$1:E233)))))</f>
        <v/>
      </c>
      <c r="L234" s="26"/>
    </row>
    <row r="236" spans="1:12" x14ac:dyDescent="0.3">
      <c r="A236" t="s">
        <v>219</v>
      </c>
      <c r="E236" s="21" t="str">
        <f>IF(D236="?OLD","!!!","")</f>
        <v/>
      </c>
      <c r="F236" s="22" t="str">
        <f>IF(OR(E236="",E236="!!!"),"",IF(NOT(ISNA(VLOOKUP(E236,E$1:E235,1,FALSE()))),"OLD",IF(AND(E236&lt;&gt;"",E236&lt;&gt;"!!!"),"NEW","")))</f>
        <v/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/>
      </c>
      <c r="H236" s="24" t="str">
        <f ca="1">IF(J236&lt;&gt;1,"",IF(I236="SBJ","CB","?"))</f>
        <v/>
      </c>
      <c r="I236" s="25" t="str">
        <f>IF(OR(E236="",E236="!!!",F236="NEW"),"",INDEX(B$2:B235,-1+SUMPRODUCT(MAX(ROW(E$2:E235)*(E236=E$2:E235)))))</f>
        <v/>
      </c>
      <c r="J236" s="25" t="str">
        <f ca="1">IF(OR(E236="",E236="!!!",F236="NEW"),"",COUNTBLANK(OFFSET(A$1,,,SUMPRODUCT(MAX(ROW(E$2:E236)*(E236=E$2:E236)))))-COUNTBLANK(OFFSET(A$1,,,SUMPRODUCT(MAX(ROW(E$1:E235)*(E2=E$1:E235))))))</f>
        <v/>
      </c>
      <c r="K236" s="25" t="str">
        <f>IF(OR(E236="",E236="!!!",F236="NEW"),"",INDEX(J$1:J235,SUMPRODUCT(MAX(ROW(E$1:E235)*(E236=E$1:E235)))))</f>
        <v/>
      </c>
      <c r="L236" s="26"/>
    </row>
    <row r="237" spans="1:12" x14ac:dyDescent="0.3">
      <c r="A237" t="s">
        <v>312</v>
      </c>
    </row>
    <row r="238" spans="1:12" x14ac:dyDescent="0.3">
      <c r="A238" t="s">
        <v>313</v>
      </c>
      <c r="E238" s="21" t="str">
        <f t="shared" ref="E238:E255" si="22">IF(D238="?OLD","!!!","")</f>
        <v/>
      </c>
      <c r="F238" s="22" t="str">
        <f>IF(OR(E238="",E238="!!!"),"",IF(NOT(ISNA(VLOOKUP(E238,E$1:E237,1,FALSE()))),"OLD",IF(AND(E238&lt;&gt;"",E238&lt;&gt;"!!!"),"NEW","")))</f>
        <v/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/>
      </c>
      <c r="H238" s="24" t="str">
        <f t="shared" ref="H238:H255" ca="1" si="23">IF(J238&lt;&gt;1,"",IF(I238="SBJ","CB","?"))</f>
        <v/>
      </c>
      <c r="I238" s="25" t="str">
        <f>IF(OR(E238="",E238="!!!",F238="NEW"),"",INDEX(B$2:B237,-1+SUMPRODUCT(MAX(ROW(E$2:E237)*(E238=E$2:E237)))))</f>
        <v/>
      </c>
      <c r="J238" s="25" t="str">
        <f ca="1">IF(OR(E238="",E238="!!!",F238="NEW"),"",COUNTBLANK(OFFSET(A$1,,,SUMPRODUCT(MAX(ROW(E$2:E238)*(E238=E$2:E238)))))-COUNTBLANK(OFFSET(A$1,,,SUMPRODUCT(MAX(ROW(E$1:E237)*(E2=E$1:E237))))))</f>
        <v/>
      </c>
      <c r="K238" s="25" t="str">
        <f>IF(OR(E238="",E238="!!!",F238="NEW"),"",INDEX(J$1:J237,SUMPRODUCT(MAX(ROW(E$1:E237)*(E238=E$1:E237)))))</f>
        <v/>
      </c>
      <c r="L238" s="26"/>
    </row>
    <row r="239" spans="1:12" x14ac:dyDescent="0.3">
      <c r="A239" t="s">
        <v>65</v>
      </c>
      <c r="B239" s="20" t="s">
        <v>183</v>
      </c>
      <c r="C239" s="20" t="s">
        <v>195</v>
      </c>
      <c r="D239" s="20" t="s">
        <v>171</v>
      </c>
      <c r="E239" s="21" t="s">
        <v>507</v>
      </c>
      <c r="F239" s="22" t="str">
        <f>IF(OR(E239="",E239="!!!"),"",IF(NOT(ISNA(VLOOKUP(E239,E$1:E238,1,FALSE()))),"OLD",IF(AND(E239&lt;&gt;"",E239&lt;&gt;"!!!"),"NEW","")))</f>
        <v>NEW</v>
      </c>
      <c r="G239" s="23" t="s">
        <v>510</v>
      </c>
      <c r="H239" s="24" t="str">
        <f t="shared" ca="1" si="23"/>
        <v/>
      </c>
      <c r="I239" s="25" t="str">
        <f>IF(OR(E239="",E239="!!!",F239="NEW"),"",INDEX(B$2:B238,-1+SUMPRODUCT(MAX(ROW(E$2:E238)*(E239=E$2:E238)))))</f>
        <v/>
      </c>
      <c r="J239" s="25" t="str">
        <f ca="1">IF(OR(E239="",E239="!!!",F239="NEW"),"",COUNTBLANK(OFFSET(A$1,,,SUMPRODUCT(MAX(ROW(E$2:E239)*(E239=E$2:E239)))))-COUNTBLANK(OFFSET(A$1,,,SUMPRODUCT(MAX(ROW(E$1:E238)*(E2=E$1:E238))))))</f>
        <v/>
      </c>
      <c r="K239" s="25" t="str">
        <f>IF(OR(E239="",E239="!!!",F239="NEW"),"",INDEX(J$1:J238,SUMPRODUCT(MAX(ROW(E$1:E238)*(E239=E$1:E238)))))</f>
        <v/>
      </c>
      <c r="L239" s="26"/>
    </row>
    <row r="240" spans="1:12" x14ac:dyDescent="0.3">
      <c r="A240" t="s">
        <v>206</v>
      </c>
      <c r="E240" s="21" t="str">
        <f t="shared" si="22"/>
        <v/>
      </c>
      <c r="F240" s="22" t="str">
        <f>IF(OR(E240="",E240="!!!"),"",IF(NOT(ISNA(VLOOKUP(E240,E$1:E239,1,FALSE()))),"OLD",IF(AND(E240&lt;&gt;"",E240&lt;&gt;"!!!"),"NEW","")))</f>
        <v/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/>
      </c>
      <c r="H240" s="24" t="str">
        <f t="shared" ca="1" si="23"/>
        <v/>
      </c>
      <c r="I240" s="25" t="str">
        <f>IF(OR(E240="",E240="!!!",F240="NEW"),"",INDEX(B$2:B239,-1+SUMPRODUCT(MAX(ROW(E$2:E239)*(E240=E$2:E239)))))</f>
        <v/>
      </c>
      <c r="J240" s="25" t="str">
        <f ca="1">IF(OR(E240="",E240="!!!",F240="NEW"),"",COUNTBLANK(OFFSET(A$1,,,SUMPRODUCT(MAX(ROW(E$2:E240)*(E240=E$2:E240)))))-COUNTBLANK(OFFSET(A$1,,,SUMPRODUCT(MAX(ROW(E$1:E239)*(E2=E$1:E239))))))</f>
        <v/>
      </c>
      <c r="K240" s="25" t="str">
        <f>IF(OR(E240="",E240="!!!",F240="NEW"),"",INDEX(J$1:J239,SUMPRODUCT(MAX(ROW(E$1:E239)*(E240=E$1:E239)))))</f>
        <v/>
      </c>
      <c r="L240" s="26"/>
    </row>
    <row r="241" spans="1:12" x14ac:dyDescent="0.3">
      <c r="A241" t="s">
        <v>290</v>
      </c>
      <c r="E241" s="21" t="str">
        <f t="shared" si="22"/>
        <v/>
      </c>
      <c r="F241" s="22" t="str">
        <f>IF(OR(E241="",E241="!!!"),"",IF(NOT(ISNA(VLOOKUP(E241,E$1:E240,1,FALSE()))),"OLD",IF(AND(E241&lt;&gt;"",E241&lt;&gt;"!!!"),"NEW","")))</f>
        <v/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/>
      </c>
      <c r="H241" s="24" t="str">
        <f t="shared" ca="1" si="23"/>
        <v/>
      </c>
      <c r="I241" s="25" t="str">
        <f>IF(OR(E241="",E241="!!!",F241="NEW"),"",INDEX(B$2:B240,-1+SUMPRODUCT(MAX(ROW(E$2:E240)*(E241=E$2:E240)))))</f>
        <v/>
      </c>
      <c r="J241" s="25" t="str">
        <f ca="1">IF(OR(E241="",E241="!!!",F241="NEW"),"",COUNTBLANK(OFFSET(A$1,,,SUMPRODUCT(MAX(ROW(E$2:E241)*(E241=E$2:E241)))))-COUNTBLANK(OFFSET(A$1,,,SUMPRODUCT(MAX(ROW(E$1:E240)*(E2=E$1:E240))))))</f>
        <v/>
      </c>
      <c r="K241" s="25" t="str">
        <f>IF(OR(E241="",E241="!!!",F241="NEW"),"",INDEX(J$1:J240,SUMPRODUCT(MAX(ROW(E$1:E240)*(E241=E$1:E240)))))</f>
        <v/>
      </c>
      <c r="L241" s="26"/>
    </row>
    <row r="242" spans="1:12" x14ac:dyDescent="0.3">
      <c r="A242" t="s">
        <v>258</v>
      </c>
      <c r="B242" s="20" t="s">
        <v>183</v>
      </c>
      <c r="C242" s="20" t="s">
        <v>170</v>
      </c>
      <c r="D242" s="20" t="s">
        <v>171</v>
      </c>
      <c r="E242" s="21" t="s">
        <v>474</v>
      </c>
      <c r="F242" s="22" t="str">
        <f>IF(OR(E242="",E242="!!!"),"",IF(NOT(ISNA(VLOOKUP(E242,E$1:E241,1,FALSE()))),"OLD",IF(AND(E242&lt;&gt;"",E242&lt;&gt;"!!!"),"NEW","")))</f>
        <v>OLD</v>
      </c>
      <c r="G242" s="23" t="s">
        <v>509</v>
      </c>
      <c r="H242" s="24" t="str">
        <f t="shared" ca="1" si="23"/>
        <v/>
      </c>
      <c r="I242" s="25" t="str">
        <f>IF(OR(E242="",E242="!!!",F242="NEW"),"",INDEX(B$2:B241,-1+SUMPRODUCT(MAX(ROW(E$2:E241)*(E242=E$2:E241)))))</f>
        <v>other</v>
      </c>
      <c r="J242" s="25">
        <f ca="1">IF(OR(E242="",E242="!!!",F242="NEW"),"",COUNTBLANK(OFFSET(A$1,,,SUMPRODUCT(MAX(ROW(E$2:E242)*(E242=E$2:E242)))))-COUNTBLANK(OFFSET(A$1,,,SUMPRODUCT(MAX(ROW(E$1:E241)*(E2=E$1:E241))))))</f>
        <v>0</v>
      </c>
      <c r="K242" s="25">
        <f ca="1">IF(OR(E242="",E242="!!!",F242="NEW"),"",INDEX(J$1:J241,SUMPRODUCT(MAX(ROW(E$1:E241)*(E242=E$1:E241)))))</f>
        <v>0</v>
      </c>
      <c r="L242" s="26"/>
    </row>
    <row r="243" spans="1:12" x14ac:dyDescent="0.3">
      <c r="A243" t="s">
        <v>185</v>
      </c>
      <c r="E243" s="21" t="str">
        <f t="shared" si="22"/>
        <v/>
      </c>
      <c r="F243" s="22" t="str">
        <f>IF(OR(E243="",E243="!!!"),"",IF(NOT(ISNA(VLOOKUP(E243,E$1:E242,1,FALSE()))),"OLD",IF(AND(E243&lt;&gt;"",E243&lt;&gt;"!!!"),"NEW","")))</f>
        <v/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/>
      </c>
      <c r="H243" s="24" t="str">
        <f t="shared" ca="1" si="23"/>
        <v/>
      </c>
      <c r="I243" s="25" t="str">
        <f>IF(OR(E243="",E243="!!!",F243="NEW"),"",INDEX(B$2:B242,-1+SUMPRODUCT(MAX(ROW(E$2:E242)*(E243=E$2:E242)))))</f>
        <v/>
      </c>
      <c r="J243" s="25" t="str">
        <f ca="1">IF(OR(E243="",E243="!!!",F243="NEW"),"",COUNTBLANK(OFFSET(A$1,,,SUMPRODUCT(MAX(ROW(E$2:E243)*(E243=E$2:E243)))))-COUNTBLANK(OFFSET(A$1,,,SUMPRODUCT(MAX(ROW(E$1:E242)*(E2=E$1:E242))))))</f>
        <v/>
      </c>
      <c r="K243" s="25" t="str">
        <f>IF(OR(E243="",E243="!!!",F243="NEW"),"",INDEX(J$1:J242,SUMPRODUCT(MAX(ROW(E$1:E242)*(E243=E$1:E242)))))</f>
        <v/>
      </c>
      <c r="L243" s="26"/>
    </row>
    <row r="244" spans="1:12" x14ac:dyDescent="0.3">
      <c r="A244" t="s">
        <v>226</v>
      </c>
      <c r="E244" s="21" t="str">
        <f t="shared" si="22"/>
        <v/>
      </c>
      <c r="F244" s="22" t="str">
        <f>IF(OR(E244="",E244="!!!"),"",IF(NOT(ISNA(VLOOKUP(E244,E$1:E243,1,FALSE()))),"OLD",IF(AND(E244&lt;&gt;"",E244&lt;&gt;"!!!"),"NEW","")))</f>
        <v/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/>
      </c>
      <c r="H244" s="24" t="str">
        <f t="shared" ca="1" si="23"/>
        <v/>
      </c>
      <c r="I244" s="25" t="str">
        <f>IF(OR(E244="",E244="!!!",F244="NEW"),"",INDEX(B$2:B243,-1+SUMPRODUCT(MAX(ROW(E$2:E243)*(E244=E$2:E243)))))</f>
        <v/>
      </c>
      <c r="J244" s="25" t="str">
        <f ca="1">IF(OR(E244="",E244="!!!",F244="NEW"),"",COUNTBLANK(OFFSET(A$1,,,SUMPRODUCT(MAX(ROW(E$2:E244)*(E244=E$2:E244)))))-COUNTBLANK(OFFSET(A$1,,,SUMPRODUCT(MAX(ROW(E$1:E243)*(E2=E$1:E243))))))</f>
        <v/>
      </c>
      <c r="K244" s="25" t="str">
        <f>IF(OR(E244="",E244="!!!",F244="NEW"),"",INDEX(J$1:J243,SUMPRODUCT(MAX(ROW(E$1:E243)*(E244=E$1:E243)))))</f>
        <v/>
      </c>
      <c r="L244" s="26"/>
    </row>
    <row r="245" spans="1:12" x14ac:dyDescent="0.3">
      <c r="A245" t="s">
        <v>314</v>
      </c>
      <c r="E245" s="21" t="str">
        <f t="shared" si="22"/>
        <v/>
      </c>
      <c r="F245" s="22" t="str">
        <f>IF(OR(E245="",E245="!!!"),"",IF(NOT(ISNA(VLOOKUP(E245,E$1:E244,1,FALSE()))),"OLD",IF(AND(E245&lt;&gt;"",E245&lt;&gt;"!!!"),"NEW","")))</f>
        <v/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/>
      </c>
      <c r="H245" s="24" t="str">
        <f t="shared" ca="1" si="23"/>
        <v/>
      </c>
      <c r="I245" s="25" t="str">
        <f>IF(OR(E245="",E245="!!!",F245="NEW"),"",INDEX(B$2:B244,-1+SUMPRODUCT(MAX(ROW(E$2:E244)*(E245=E$2:E244)))))</f>
        <v/>
      </c>
      <c r="J245" s="25" t="str">
        <f ca="1">IF(OR(E245="",E245="!!!",F245="NEW"),"",COUNTBLANK(OFFSET(A$1,,,SUMPRODUCT(MAX(ROW(E$2:E245)*(E245=E$2:E245)))))-COUNTBLANK(OFFSET(A$1,,,SUMPRODUCT(MAX(ROW(E$1:E244)*(E2=E$1:E244))))))</f>
        <v/>
      </c>
      <c r="K245" s="25" t="str">
        <f>IF(OR(E245="",E245="!!!",F245="NEW"),"",INDEX(J$1:J244,SUMPRODUCT(MAX(ROW(E$1:E244)*(E245=E$1:E244)))))</f>
        <v/>
      </c>
      <c r="L245" s="26"/>
    </row>
    <row r="246" spans="1:12" x14ac:dyDescent="0.3">
      <c r="A246" t="s">
        <v>315</v>
      </c>
      <c r="E246" s="21" t="str">
        <f t="shared" si="22"/>
        <v/>
      </c>
      <c r="F246" s="22" t="str">
        <f>IF(OR(E246="",E246="!!!"),"",IF(NOT(ISNA(VLOOKUP(E246,E$1:E245,1,FALSE()))),"OLD",IF(AND(E246&lt;&gt;"",E246&lt;&gt;"!!!"),"NEW","")))</f>
        <v/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/>
      </c>
      <c r="H246" s="24" t="str">
        <f t="shared" ca="1" si="23"/>
        <v/>
      </c>
      <c r="I246" s="25" t="str">
        <f>IF(OR(E246="",E246="!!!",F246="NEW"),"",INDEX(B$2:B245,-1+SUMPRODUCT(MAX(ROW(E$2:E245)*(E246=E$2:E245)))))</f>
        <v/>
      </c>
      <c r="J246" s="25" t="str">
        <f ca="1">IF(OR(E246="",E246="!!!",F246="NEW"),"",COUNTBLANK(OFFSET(A$1,,,SUMPRODUCT(MAX(ROW(E$2:E246)*(E246=E$2:E246)))))-COUNTBLANK(OFFSET(A$1,,,SUMPRODUCT(MAX(ROW(E$1:E245)*(E2=E$1:E245))))))</f>
        <v/>
      </c>
      <c r="K246" s="25" t="str">
        <f>IF(OR(E246="",E246="!!!",F246="NEW"),"",INDEX(J$1:J245,SUMPRODUCT(MAX(ROW(E$1:E245)*(E246=E$1:E245)))))</f>
        <v/>
      </c>
      <c r="L246" s="26"/>
    </row>
    <row r="247" spans="1:12" x14ac:dyDescent="0.3">
      <c r="A247" t="s">
        <v>316</v>
      </c>
      <c r="E247" s="21" t="str">
        <f t="shared" si="22"/>
        <v/>
      </c>
      <c r="F247" s="22" t="str">
        <f>IF(OR(E247="",E247="!!!"),"",IF(NOT(ISNA(VLOOKUP(E247,E$1:E246,1,FALSE()))),"OLD",IF(AND(E247&lt;&gt;"",E247&lt;&gt;"!!!"),"NEW","")))</f>
        <v/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/>
      </c>
      <c r="H247" s="24" t="str">
        <f t="shared" ca="1" si="23"/>
        <v/>
      </c>
      <c r="I247" s="25" t="str">
        <f>IF(OR(E247="",E247="!!!",F247="NEW"),"",INDEX(B$2:B246,-1+SUMPRODUCT(MAX(ROW(E$2:E246)*(E247=E$2:E246)))))</f>
        <v/>
      </c>
      <c r="J247" s="25" t="str">
        <f ca="1">IF(OR(E247="",E247="!!!",F247="NEW"),"",COUNTBLANK(OFFSET(A$1,,,SUMPRODUCT(MAX(ROW(E$2:E247)*(E247=E$2:E247)))))-COUNTBLANK(OFFSET(A$1,,,SUMPRODUCT(MAX(ROW(E$1:E246)*(E2=E$1:E246))))))</f>
        <v/>
      </c>
      <c r="K247" s="25" t="str">
        <f>IF(OR(E247="",E247="!!!",F247="NEW"),"",INDEX(J$1:J246,SUMPRODUCT(MAX(ROW(E$1:E246)*(E247=E$1:E246)))))</f>
        <v/>
      </c>
      <c r="L247" s="26"/>
    </row>
    <row r="248" spans="1:12" x14ac:dyDescent="0.3">
      <c r="A248" t="s">
        <v>308</v>
      </c>
      <c r="E248" s="21" t="str">
        <f t="shared" si="22"/>
        <v/>
      </c>
      <c r="F248" s="22" t="str">
        <f>IF(OR(E248="",E248="!!!"),"",IF(NOT(ISNA(VLOOKUP(E248,E$1:E247,1,FALSE()))),"OLD",IF(AND(E248&lt;&gt;"",E248&lt;&gt;"!!!"),"NEW","")))</f>
        <v/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/>
      </c>
      <c r="H248" s="24" t="str">
        <f t="shared" ca="1" si="23"/>
        <v/>
      </c>
      <c r="I248" s="25" t="str">
        <f>IF(OR(E248="",E248="!!!",F248="NEW"),"",INDEX(B$2:B247,-1+SUMPRODUCT(MAX(ROW(E$2:E247)*(E248=E$2:E247)))))</f>
        <v/>
      </c>
      <c r="J248" s="25" t="str">
        <f ca="1">IF(OR(E248="",E248="!!!",F248="NEW"),"",COUNTBLANK(OFFSET(A$1,,,SUMPRODUCT(MAX(ROW(E$2:E248)*(E248=E$2:E248)))))-COUNTBLANK(OFFSET(A$1,,,SUMPRODUCT(MAX(ROW(E$1:E247)*(E2=E$1:E247))))))</f>
        <v/>
      </c>
      <c r="K248" s="25" t="str">
        <f>IF(OR(E248="",E248="!!!",F248="NEW"),"",INDEX(J$1:J247,SUMPRODUCT(MAX(ROW(E$1:E247)*(E248=E$1:E247)))))</f>
        <v/>
      </c>
      <c r="L248" s="26"/>
    </row>
    <row r="249" spans="1:12" x14ac:dyDescent="0.3">
      <c r="A249" t="s">
        <v>317</v>
      </c>
      <c r="B249" s="20" t="s">
        <v>257</v>
      </c>
      <c r="C249" s="20" t="s">
        <v>184</v>
      </c>
      <c r="D249" s="20" t="s">
        <v>171</v>
      </c>
      <c r="E249" s="21"/>
      <c r="F249" s="22" t="str">
        <f>IF(OR(E249="",E249="!!!"),"",IF(NOT(ISNA(VLOOKUP(E249,E$1:E248,1,FALSE()))),"OLD",IF(AND(E249&lt;&gt;"",E249&lt;&gt;"!!!"),"NEW","")))</f>
        <v/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/>
      </c>
      <c r="H249" s="24" t="str">
        <f t="shared" ca="1" si="23"/>
        <v/>
      </c>
      <c r="I249" s="25" t="str">
        <f>IF(OR(E249="",E249="!!!",F249="NEW"),"",INDEX(B$2:B248,-1+SUMPRODUCT(MAX(ROW(E$2:E248)*(E249=E$2:E248)))))</f>
        <v/>
      </c>
      <c r="J249" s="25" t="str">
        <f ca="1">IF(OR(E249="",E249="!!!",F249="NEW"),"",COUNTBLANK(OFFSET(A$1,,,SUMPRODUCT(MAX(ROW(E$2:E249)*(E249=E$2:E249)))))-COUNTBLANK(OFFSET(A$1,,,SUMPRODUCT(MAX(ROW(E$1:E248)*(E2=E$1:E248))))))</f>
        <v/>
      </c>
      <c r="K249" s="25" t="str">
        <f>IF(OR(E249="",E249="!!!",F249="NEW"),"",INDEX(J$1:J248,SUMPRODUCT(MAX(ROW(E$1:E248)*(E249=E$1:E248)))))</f>
        <v/>
      </c>
      <c r="L249" s="26" t="s">
        <v>492</v>
      </c>
    </row>
    <row r="250" spans="1:12" x14ac:dyDescent="0.3">
      <c r="A250" t="s">
        <v>318</v>
      </c>
      <c r="B250" s="20" t="s">
        <v>270</v>
      </c>
      <c r="C250" s="20" t="s">
        <v>216</v>
      </c>
      <c r="E250" s="21" t="str">
        <f t="shared" si="22"/>
        <v/>
      </c>
      <c r="F250" s="22" t="str">
        <f>IF(OR(E250="",E250="!!!"),"",IF(NOT(ISNA(VLOOKUP(E250,E$1:E249,1,FALSE()))),"OLD",IF(AND(E250&lt;&gt;"",E250&lt;&gt;"!!!"),"NEW","")))</f>
        <v/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/>
      </c>
      <c r="H250" s="24" t="str">
        <f t="shared" ca="1" si="23"/>
        <v/>
      </c>
      <c r="I250" s="25" t="str">
        <f>IF(OR(E250="",E250="!!!",F250="NEW"),"",INDEX(B$2:B249,-1+SUMPRODUCT(MAX(ROW(E$2:E249)*(E250=E$2:E249)))))</f>
        <v/>
      </c>
      <c r="J250" s="25" t="str">
        <f ca="1">IF(OR(E250="",E250="!!!",F250="NEW"),"",COUNTBLANK(OFFSET(A$1,,,SUMPRODUCT(MAX(ROW(E$2:E250)*(E250=E$2:E250)))))-COUNTBLANK(OFFSET(A$1,,,SUMPRODUCT(MAX(ROW(E$1:E249)*(E2=E$1:E249))))))</f>
        <v/>
      </c>
      <c r="K250" s="25" t="str">
        <f>IF(OR(E250="",E250="!!!",F250="NEW"),"",INDEX(J$1:J249,SUMPRODUCT(MAX(ROW(E$1:E249)*(E250=E$1:E249)))))</f>
        <v/>
      </c>
      <c r="L250" s="26"/>
    </row>
    <row r="251" spans="1:12" x14ac:dyDescent="0.3">
      <c r="A251" t="s">
        <v>319</v>
      </c>
      <c r="E251" s="21" t="str">
        <f t="shared" si="22"/>
        <v/>
      </c>
      <c r="F251" s="22" t="str">
        <f>IF(OR(E251="",E251="!!!"),"",IF(NOT(ISNA(VLOOKUP(E251,E$1:E250,1,FALSE()))),"OLD",IF(AND(E251&lt;&gt;"",E251&lt;&gt;"!!!"),"NEW","")))</f>
        <v/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/>
      </c>
      <c r="H251" s="24" t="str">
        <f t="shared" ca="1" si="23"/>
        <v/>
      </c>
      <c r="I251" s="25" t="str">
        <f>IF(OR(E251="",E251="!!!",F251="NEW"),"",INDEX(B$2:B250,-1+SUMPRODUCT(MAX(ROW(E$2:E250)*(E251=E$2:E250)))))</f>
        <v/>
      </c>
      <c r="J251" s="25" t="str">
        <f ca="1">IF(OR(E251="",E251="!!!",F251="NEW"),"",COUNTBLANK(OFFSET(A$1,,,SUMPRODUCT(MAX(ROW(E$2:E251)*(E251=E$2:E251)))))-COUNTBLANK(OFFSET(A$1,,,SUMPRODUCT(MAX(ROW(E$1:E250)*(E2=E$1:E250))))))</f>
        <v/>
      </c>
      <c r="K251" s="25" t="str">
        <f>IF(OR(E251="",E251="!!!",F251="NEW"),"",INDEX(J$1:J250,SUMPRODUCT(MAX(ROW(E$1:E250)*(E251=E$1:E250)))))</f>
        <v/>
      </c>
      <c r="L251" s="26"/>
    </row>
    <row r="252" spans="1:12" x14ac:dyDescent="0.3">
      <c r="A252" t="s">
        <v>210</v>
      </c>
      <c r="E252" s="21" t="str">
        <f t="shared" si="22"/>
        <v/>
      </c>
      <c r="F252" s="22" t="str">
        <f>IF(OR(E252="",E252="!!!"),"",IF(NOT(ISNA(VLOOKUP(E252,E$1:E251,1,FALSE()))),"OLD",IF(AND(E252&lt;&gt;"",E252&lt;&gt;"!!!"),"NEW","")))</f>
        <v/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/>
      </c>
      <c r="H252" s="24" t="str">
        <f t="shared" ca="1" si="23"/>
        <v/>
      </c>
      <c r="I252" s="25" t="str">
        <f>IF(OR(E252="",E252="!!!",F252="NEW"),"",INDEX(B$2:B251,-1+SUMPRODUCT(MAX(ROW(E$2:E251)*(E252=E$2:E251)))))</f>
        <v/>
      </c>
      <c r="J252" s="25" t="str">
        <f ca="1">IF(OR(E252="",E252="!!!",F252="NEW"),"",COUNTBLANK(OFFSET(A$1,,,SUMPRODUCT(MAX(ROW(E$2:E252)*(E252=E$2:E252)))))-COUNTBLANK(OFFSET(A$1,,,SUMPRODUCT(MAX(ROW(E$1:E251)*(E2=E$1:E251))))))</f>
        <v/>
      </c>
      <c r="K252" s="25" t="str">
        <f>IF(OR(E252="",E252="!!!",F252="NEW"),"",INDEX(J$1:J251,SUMPRODUCT(MAX(ROW(E$1:E251)*(E252=E$1:E251)))))</f>
        <v/>
      </c>
      <c r="L252" s="26"/>
    </row>
    <row r="253" spans="1:12" x14ac:dyDescent="0.3">
      <c r="A253" t="s">
        <v>320</v>
      </c>
      <c r="B253" s="20" t="s">
        <v>257</v>
      </c>
      <c r="C253" s="20" t="s">
        <v>195</v>
      </c>
      <c r="D253" s="20" t="s">
        <v>171</v>
      </c>
      <c r="E253" s="21" t="s">
        <v>493</v>
      </c>
      <c r="F253" s="22" t="str">
        <f>IF(OR(E253="",E253="!!!"),"",IF(NOT(ISNA(VLOOKUP(E253,E$1:E252,1,FALSE()))),"OLD",IF(AND(E253&lt;&gt;"",E253&lt;&gt;"!!!"),"NEW","")))</f>
        <v>NEW</v>
      </c>
      <c r="G253" s="23" t="s">
        <v>509</v>
      </c>
      <c r="H253" s="24" t="str">
        <f t="shared" ca="1" si="23"/>
        <v/>
      </c>
      <c r="I253" s="25" t="str">
        <f>IF(OR(E253="",E253="!!!",F253="NEW"),"",INDEX(B$2:B252,-1+SUMPRODUCT(MAX(ROW(E$2:E252)*(E253=E$2:E252)))))</f>
        <v/>
      </c>
      <c r="J253" s="25" t="str">
        <f ca="1">IF(OR(E253="",E253="!!!",F253="NEW"),"",COUNTBLANK(OFFSET(A$1,,,SUMPRODUCT(MAX(ROW(E$2:E253)*(E253=E$2:E253)))))-COUNTBLANK(OFFSET(A$1,,,SUMPRODUCT(MAX(ROW(E$1:E252)*(E2=E$1:E252))))))</f>
        <v/>
      </c>
      <c r="K253" s="25" t="str">
        <f>IF(OR(E253="",E253="!!!",F253="NEW"),"",INDEX(J$1:J252,SUMPRODUCT(MAX(ROW(E$1:E252)*(E253=E$1:E252)))))</f>
        <v/>
      </c>
      <c r="L253" s="26"/>
    </row>
    <row r="254" spans="1:12" x14ac:dyDescent="0.3">
      <c r="A254" t="s">
        <v>197</v>
      </c>
      <c r="E254" s="21" t="str">
        <f t="shared" si="22"/>
        <v/>
      </c>
      <c r="F254" s="22" t="str">
        <f>IF(OR(E254="",E254="!!!"),"",IF(NOT(ISNA(VLOOKUP(E254,E$1:E253,1,FALSE()))),"OLD",IF(AND(E254&lt;&gt;"",E254&lt;&gt;"!!!"),"NEW","")))</f>
        <v/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/>
      </c>
      <c r="H254" s="24" t="str">
        <f t="shared" ca="1" si="23"/>
        <v/>
      </c>
      <c r="I254" s="25" t="str">
        <f>IF(OR(E254="",E254="!!!",F254="NEW"),"",INDEX(B$2:B253,-1+SUMPRODUCT(MAX(ROW(E$2:E253)*(E254=E$2:E253)))))</f>
        <v/>
      </c>
      <c r="J254" s="25" t="str">
        <f ca="1">IF(OR(E254="",E254="!!!",F254="NEW"),"",COUNTBLANK(OFFSET(A$1,,,SUMPRODUCT(MAX(ROW(E$2:E254)*(E254=E$2:E254)))))-COUNTBLANK(OFFSET(A$1,,,SUMPRODUCT(MAX(ROW(E$1:E253)*(E2=E$1:E253))))))</f>
        <v/>
      </c>
      <c r="K254" s="25" t="str">
        <f>IF(OR(E254="",E254="!!!",F254="NEW"),"",INDEX(J$1:J253,SUMPRODUCT(MAX(ROW(E$1:E253)*(E254=E$1:E253)))))</f>
        <v/>
      </c>
      <c r="L254" s="26"/>
    </row>
    <row r="255" spans="1:12" x14ac:dyDescent="0.3">
      <c r="A255" t="s">
        <v>226</v>
      </c>
      <c r="E255" s="21" t="str">
        <f t="shared" si="22"/>
        <v/>
      </c>
      <c r="F255" s="22" t="str">
        <f>IF(OR(E255="",E255="!!!"),"",IF(NOT(ISNA(VLOOKUP(E255,E$1:E254,1,FALSE()))),"OLD",IF(AND(E255&lt;&gt;"",E255&lt;&gt;"!!!"),"NEW","")))</f>
        <v/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/>
      </c>
      <c r="H255" s="24" t="str">
        <f t="shared" ca="1" si="23"/>
        <v/>
      </c>
      <c r="I255" s="25" t="str">
        <f>IF(OR(E255="",E255="!!!",F255="NEW"),"",INDEX(B$2:B254,-1+SUMPRODUCT(MAX(ROW(E$2:E254)*(E255=E$2:E254)))))</f>
        <v/>
      </c>
      <c r="J255" s="25" t="str">
        <f ca="1">IF(OR(E255="",E255="!!!",F255="NEW"),"",COUNTBLANK(OFFSET(A$1,,,SUMPRODUCT(MAX(ROW(E$2:E255)*(E255=E$2:E255)))))-COUNTBLANK(OFFSET(A$1,,,SUMPRODUCT(MAX(ROW(E$1:E254)*(E2=E$1:E254))))))</f>
        <v/>
      </c>
      <c r="K255" s="25" t="str">
        <f>IF(OR(E255="",E255="!!!",F255="NEW"),"",INDEX(J$1:J254,SUMPRODUCT(MAX(ROW(E$1:E254)*(E255=E$1:E254)))))</f>
        <v/>
      </c>
      <c r="L255" s="26"/>
    </row>
    <row r="257" spans="1:12" x14ac:dyDescent="0.3">
      <c r="A257" t="s">
        <v>321</v>
      </c>
    </row>
    <row r="258" spans="1:12" x14ac:dyDescent="0.3">
      <c r="A258" t="s">
        <v>178</v>
      </c>
      <c r="E258" s="21" t="str">
        <f t="shared" ref="E258:E266" si="24">IF(D258="?OLD","!!!","")</f>
        <v/>
      </c>
      <c r="F258" s="22" t="str">
        <f>IF(OR(E258="",E258="!!!"),"",IF(NOT(ISNA(VLOOKUP(E258,E$1:E257,1,FALSE()))),"OLD",IF(AND(E258&lt;&gt;"",E258&lt;&gt;"!!!"),"NEW","")))</f>
        <v/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/>
      </c>
      <c r="H258" s="24" t="str">
        <f t="shared" ref="H258:H266" ca="1" si="25">IF(J258&lt;&gt;1,"",IF(I258="SBJ","CB","?"))</f>
        <v/>
      </c>
      <c r="I258" s="25" t="str">
        <f>IF(OR(E258="",E258="!!!",F258="NEW"),"",INDEX(B$2:B257,-1+SUMPRODUCT(MAX(ROW(E$2:E257)*(E258=E$2:E257)))))</f>
        <v/>
      </c>
      <c r="J258" s="25" t="str">
        <f ca="1">IF(OR(E258="",E258="!!!",F258="NEW"),"",COUNTBLANK(OFFSET(A$1,,,SUMPRODUCT(MAX(ROW(E$2:E258)*(E258=E$2:E258)))))-COUNTBLANK(OFFSET(A$1,,,SUMPRODUCT(MAX(ROW(E$1:E257)*(E2=E$1:E257))))))</f>
        <v/>
      </c>
      <c r="K258" s="25" t="str">
        <f>IF(OR(E258="",E258="!!!",F258="NEW"),"",INDEX(J$1:J257,SUMPRODUCT(MAX(ROW(E$1:E257)*(E258=E$1:E257)))))</f>
        <v/>
      </c>
      <c r="L258" s="26"/>
    </row>
    <row r="259" spans="1:12" x14ac:dyDescent="0.3">
      <c r="A259" t="s">
        <v>322</v>
      </c>
      <c r="B259" s="20" t="s">
        <v>166</v>
      </c>
      <c r="C259" s="20" t="s">
        <v>170</v>
      </c>
      <c r="D259" s="20" t="s">
        <v>171</v>
      </c>
      <c r="E259" s="21" t="s">
        <v>476</v>
      </c>
      <c r="F259" s="22" t="str">
        <f>IF(OR(E259="",E259="!!!"),"",IF(NOT(ISNA(VLOOKUP(E259,E$1:E258,1,FALSE()))),"OLD",IF(AND(E259&lt;&gt;"",E259&lt;&gt;"!!!"),"NEW","")))</f>
        <v>NEW</v>
      </c>
      <c r="G259" s="23" t="s">
        <v>509</v>
      </c>
      <c r="H259" s="24" t="str">
        <f t="shared" ca="1" si="25"/>
        <v/>
      </c>
      <c r="I259" s="25" t="str">
        <f>IF(OR(E259="",E259="!!!",F259="NEW"),"",INDEX(B$2:B258,-1+SUMPRODUCT(MAX(ROW(E$2:E258)*(E259=E$2:E258)))))</f>
        <v/>
      </c>
      <c r="J259" s="25" t="str">
        <f ca="1">IF(OR(E259="",E259="!!!",F259="NEW"),"",COUNTBLANK(OFFSET(A$1,,,SUMPRODUCT(MAX(ROW(E$2:E259)*(E259=E$2:E259)))))-COUNTBLANK(OFFSET(A$1,,,SUMPRODUCT(MAX(ROW(E$1:E258)*(E2=E$1:E258))))))</f>
        <v/>
      </c>
      <c r="K259" s="25" t="str">
        <f>IF(OR(E259="",E259="!!!",F259="NEW"),"",INDEX(J$1:J258,SUMPRODUCT(MAX(ROW(E$1:E258)*(E259=E$1:E258)))))</f>
        <v/>
      </c>
      <c r="L259" s="26"/>
    </row>
    <row r="260" spans="1:12" x14ac:dyDescent="0.3">
      <c r="A260" t="s">
        <v>323</v>
      </c>
      <c r="E260" s="21" t="str">
        <f t="shared" si="24"/>
        <v/>
      </c>
      <c r="F260" s="22" t="str">
        <f>IF(OR(E260="",E260="!!!"),"",IF(NOT(ISNA(VLOOKUP(E260,E$1:E259,1,FALSE()))),"OLD",IF(AND(E260&lt;&gt;"",E260&lt;&gt;"!!!"),"NEW","")))</f>
        <v/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/>
      </c>
      <c r="H260" s="24" t="str">
        <f t="shared" ca="1" si="25"/>
        <v/>
      </c>
      <c r="I260" s="25" t="str">
        <f>IF(OR(E260="",E260="!!!",F260="NEW"),"",INDEX(B$2:B259,-1+SUMPRODUCT(MAX(ROW(E$2:E259)*(E260=E$2:E259)))))</f>
        <v/>
      </c>
      <c r="J260" s="25" t="str">
        <f ca="1">IF(OR(E260="",E260="!!!",F260="NEW"),"",COUNTBLANK(OFFSET(A$1,,,SUMPRODUCT(MAX(ROW(E$2:E260)*(E260=E$2:E260)))))-COUNTBLANK(OFFSET(A$1,,,SUMPRODUCT(MAX(ROW(E$1:E259)*(E2=E$1:E259))))))</f>
        <v/>
      </c>
      <c r="K260" s="25" t="str">
        <f>IF(OR(E260="",E260="!!!",F260="NEW"),"",INDEX(J$1:J259,SUMPRODUCT(MAX(ROW(E$1:E259)*(E260=E$1:E259)))))</f>
        <v/>
      </c>
      <c r="L260" s="26"/>
    </row>
    <row r="261" spans="1:12" x14ac:dyDescent="0.3">
      <c r="A261" t="s">
        <v>187</v>
      </c>
      <c r="B261" s="20" t="s">
        <v>166</v>
      </c>
      <c r="C261" s="20" t="s">
        <v>175</v>
      </c>
      <c r="E261" s="21" t="s">
        <v>490</v>
      </c>
      <c r="F261" s="22" t="str">
        <f>IF(OR(E261="",E261="!!!"),"",IF(NOT(ISNA(VLOOKUP(E261,E$1:E260,1,FALSE()))),"OLD",IF(AND(E261&lt;&gt;"",E261&lt;&gt;"!!!"),"NEW","")))</f>
        <v>OLD</v>
      </c>
      <c r="G261" s="23" t="s">
        <v>509</v>
      </c>
      <c r="H261" s="24" t="str">
        <f t="shared" ca="1" si="25"/>
        <v/>
      </c>
      <c r="I261" s="25" t="str">
        <f>IF(OR(E261="",E261="!!!",F261="NEW"),"",INDEX(B$2:B260,-1+SUMPRODUCT(MAX(ROW(E$2:E260)*(E261=E$2:E260)))))</f>
        <v>SBJ_2</v>
      </c>
      <c r="J261" s="25">
        <f ca="1">IF(OR(E261="",E261="!!!",F261="NEW"),"",COUNTBLANK(OFFSET(A$1,,,SUMPRODUCT(MAX(ROW(E$2:E261)*(E261=E$2:E261)))))-COUNTBLANK(OFFSET(A$1,,,SUMPRODUCT(MAX(ROW(E$1:E260)*(E2=E$1:E260))))))</f>
        <v>0</v>
      </c>
      <c r="K261" s="25">
        <f ca="1">IF(OR(E261="",E261="!!!",F261="NEW"),"",INDEX(J$1:J260,SUMPRODUCT(MAX(ROW(E$1:E260)*(E261=E$1:E260)))))</f>
        <v>0</v>
      </c>
      <c r="L261" s="26"/>
    </row>
    <row r="262" spans="1:12" x14ac:dyDescent="0.3">
      <c r="A262" t="s">
        <v>298</v>
      </c>
      <c r="E262" s="21" t="str">
        <f t="shared" si="24"/>
        <v/>
      </c>
      <c r="F262" s="22" t="str">
        <f>IF(OR(E262="",E262="!!!"),"",IF(NOT(ISNA(VLOOKUP(E262,E$1:E261,1,FALSE()))),"OLD",IF(AND(E262&lt;&gt;"",E262&lt;&gt;"!!!"),"NEW","")))</f>
        <v/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/>
      </c>
      <c r="H262" s="24" t="str">
        <f t="shared" ca="1" si="25"/>
        <v/>
      </c>
      <c r="I262" s="25" t="str">
        <f>IF(OR(E262="",E262="!!!",F262="NEW"),"",INDEX(B$2:B261,-1+SUMPRODUCT(MAX(ROW(E$2:E261)*(E262=E$2:E261)))))</f>
        <v/>
      </c>
      <c r="J262" s="25" t="str">
        <f ca="1">IF(OR(E262="",E262="!!!",F262="NEW"),"",COUNTBLANK(OFFSET(A$1,,,SUMPRODUCT(MAX(ROW(E$2:E262)*(E262=E$2:E262)))))-COUNTBLANK(OFFSET(A$1,,,SUMPRODUCT(MAX(ROW(E$1:E261)*(E2=E$1:E261))))))</f>
        <v/>
      </c>
      <c r="K262" s="25" t="str">
        <f>IF(OR(E262="",E262="!!!",F262="NEW"),"",INDEX(J$1:J261,SUMPRODUCT(MAX(ROW(E$1:E261)*(E262=E$1:E261)))))</f>
        <v/>
      </c>
      <c r="L262" s="26"/>
    </row>
    <row r="263" spans="1:12" x14ac:dyDescent="0.3">
      <c r="A263" t="s">
        <v>324</v>
      </c>
      <c r="E263" s="21" t="str">
        <f t="shared" si="24"/>
        <v/>
      </c>
      <c r="F263" s="22" t="str">
        <f>IF(OR(E263="",E263="!!!"),"",IF(NOT(ISNA(VLOOKUP(E263,E$1:E262,1,FALSE()))),"OLD",IF(AND(E263&lt;&gt;"",E263&lt;&gt;"!!!"),"NEW","")))</f>
        <v/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/>
      </c>
      <c r="H263" s="24" t="str">
        <f t="shared" ca="1" si="25"/>
        <v/>
      </c>
      <c r="I263" s="25" t="str">
        <f>IF(OR(E263="",E263="!!!",F263="NEW"),"",INDEX(B$2:B262,-1+SUMPRODUCT(MAX(ROW(E$2:E262)*(E263=E$2:E262)))))</f>
        <v/>
      </c>
      <c r="J263" s="25" t="str">
        <f ca="1">IF(OR(E263="",E263="!!!",F263="NEW"),"",COUNTBLANK(OFFSET(A$1,,,SUMPRODUCT(MAX(ROW(E$2:E263)*(E263=E$2:E263)))))-COUNTBLANK(OFFSET(A$1,,,SUMPRODUCT(MAX(ROW(E$1:E262)*(E2=E$1:E262))))))</f>
        <v/>
      </c>
      <c r="K263" s="25" t="str">
        <f>IF(OR(E263="",E263="!!!",F263="NEW"),"",INDEX(J$1:J262,SUMPRODUCT(MAX(ROW(E$1:E262)*(E263=E$1:E262)))))</f>
        <v/>
      </c>
      <c r="L263" s="26"/>
    </row>
    <row r="264" spans="1:12" x14ac:dyDescent="0.3">
      <c r="A264" t="s">
        <v>325</v>
      </c>
      <c r="B264" s="20" t="s">
        <v>174</v>
      </c>
      <c r="C264" s="20" t="s">
        <v>216</v>
      </c>
      <c r="E264" s="21" t="str">
        <f t="shared" si="24"/>
        <v/>
      </c>
      <c r="F264" s="22" t="str">
        <f>IF(OR(E264="",E264="!!!"),"",IF(NOT(ISNA(VLOOKUP(E264,E$1:E263,1,FALSE()))),"OLD",IF(AND(E264&lt;&gt;"",E264&lt;&gt;"!!!"),"NEW","")))</f>
        <v/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/>
      </c>
      <c r="H264" s="24" t="str">
        <f t="shared" ca="1" si="25"/>
        <v/>
      </c>
      <c r="I264" s="25" t="str">
        <f>IF(OR(E264="",E264="!!!",F264="NEW"),"",INDEX(B$2:B263,-1+SUMPRODUCT(MAX(ROW(E$2:E263)*(E264=E$2:E263)))))</f>
        <v/>
      </c>
      <c r="J264" s="25" t="str">
        <f ca="1">IF(OR(E264="",E264="!!!",F264="NEW"),"",COUNTBLANK(OFFSET(A$1,,,SUMPRODUCT(MAX(ROW(E$2:E264)*(E264=E$2:E264)))))-COUNTBLANK(OFFSET(A$1,,,SUMPRODUCT(MAX(ROW(E$1:E263)*(E2=E$1:E263))))))</f>
        <v/>
      </c>
      <c r="K264" s="25" t="str">
        <f>IF(OR(E264="",E264="!!!",F264="NEW"),"",INDEX(J$1:J263,SUMPRODUCT(MAX(ROW(E$1:E263)*(E264=E$1:E263)))))</f>
        <v/>
      </c>
      <c r="L264" s="26"/>
    </row>
    <row r="265" spans="1:12" x14ac:dyDescent="0.3">
      <c r="A265" t="s">
        <v>69</v>
      </c>
      <c r="E265" s="21" t="str">
        <f t="shared" si="24"/>
        <v/>
      </c>
      <c r="F265" s="22" t="str">
        <f>IF(OR(E265="",E265="!!!"),"",IF(NOT(ISNA(VLOOKUP(E265,E$1:E264,1,FALSE()))),"OLD",IF(AND(E265&lt;&gt;"",E265&lt;&gt;"!!!"),"NEW","")))</f>
        <v/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/>
      </c>
      <c r="H265" s="24" t="str">
        <f t="shared" ca="1" si="25"/>
        <v/>
      </c>
      <c r="I265" s="25" t="str">
        <f>IF(OR(E265="",E265="!!!",F265="NEW"),"",INDEX(B$2:B264,-1+SUMPRODUCT(MAX(ROW(E$2:E264)*(E265=E$2:E264)))))</f>
        <v/>
      </c>
      <c r="J265" s="25" t="str">
        <f ca="1">IF(OR(E265="",E265="!!!",F265="NEW"),"",COUNTBLANK(OFFSET(A$1,,,SUMPRODUCT(MAX(ROW(E$2:E265)*(E265=E$2:E265)))))-COUNTBLANK(OFFSET(A$1,,,SUMPRODUCT(MAX(ROW(E$1:E264)*(E2=E$1:E264))))))</f>
        <v/>
      </c>
      <c r="K265" s="25" t="str">
        <f>IF(OR(E265="",E265="!!!",F265="NEW"),"",INDEX(J$1:J264,SUMPRODUCT(MAX(ROW(E$1:E264)*(E265=E$1:E264)))))</f>
        <v/>
      </c>
      <c r="L265" s="26"/>
    </row>
    <row r="266" spans="1:12" x14ac:dyDescent="0.3">
      <c r="A266" t="s">
        <v>197</v>
      </c>
      <c r="E266" s="21" t="str">
        <f t="shared" si="24"/>
        <v/>
      </c>
      <c r="F266" s="22" t="str">
        <f>IF(OR(E266="",E266="!!!"),"",IF(NOT(ISNA(VLOOKUP(E266,E$1:E265,1,FALSE()))),"OLD",IF(AND(E266&lt;&gt;"",E266&lt;&gt;"!!!"),"NEW","")))</f>
        <v/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/>
      </c>
      <c r="H266" s="24" t="str">
        <f t="shared" ca="1" si="25"/>
        <v/>
      </c>
      <c r="I266" s="25" t="str">
        <f>IF(OR(E266="",E266="!!!",F266="NEW"),"",INDEX(B$2:B265,-1+SUMPRODUCT(MAX(ROW(E$2:E265)*(E266=E$2:E265)))))</f>
        <v/>
      </c>
      <c r="J266" s="25" t="str">
        <f ca="1">IF(OR(E266="",E266="!!!",F266="NEW"),"",COUNTBLANK(OFFSET(A$1,,,SUMPRODUCT(MAX(ROW(E$2:E266)*(E266=E$2:E266)))))-COUNTBLANK(OFFSET(A$1,,,SUMPRODUCT(MAX(ROW(E$1:E265)*(E2=E$1:E265))))))</f>
        <v/>
      </c>
      <c r="K266" s="25" t="str">
        <f>IF(OR(E266="",E266="!!!",F266="NEW"),"",INDEX(J$1:J265,SUMPRODUCT(MAX(ROW(E$1:E265)*(E266=E$1:E265)))))</f>
        <v/>
      </c>
      <c r="L266" s="26"/>
    </row>
    <row r="268" spans="1:12" x14ac:dyDescent="0.3">
      <c r="A268" t="s">
        <v>326</v>
      </c>
    </row>
    <row r="269" spans="1:12" x14ac:dyDescent="0.3">
      <c r="A269" t="s">
        <v>178</v>
      </c>
      <c r="E269" s="21" t="str">
        <f t="shared" ref="E269:E277" si="26">IF(D269="?OLD","!!!","")</f>
        <v/>
      </c>
      <c r="F269" s="22" t="str">
        <f>IF(OR(E269="",E269="!!!"),"",IF(NOT(ISNA(VLOOKUP(E269,E$1:E268,1,FALSE()))),"OLD",IF(AND(E269&lt;&gt;"",E269&lt;&gt;"!!!"),"NEW","")))</f>
        <v/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/>
      </c>
      <c r="H269" s="24" t="str">
        <f t="shared" ref="H269:H277" ca="1" si="27">IF(J269&lt;&gt;1,"",IF(I269="SBJ","CB","?"))</f>
        <v/>
      </c>
      <c r="I269" s="25" t="str">
        <f>IF(OR(E269="",E269="!!!",F269="NEW"),"",INDEX(B$2:B268,-1+SUMPRODUCT(MAX(ROW(E$2:E268)*(E269=E$2:E268)))))</f>
        <v/>
      </c>
      <c r="J269" s="25" t="str">
        <f ca="1">IF(OR(E269="",E269="!!!",F269="NEW"),"",COUNTBLANK(OFFSET(A$1,,,SUMPRODUCT(MAX(ROW(E$2:E269)*(E269=E$2:E269)))))-COUNTBLANK(OFFSET(A$1,,,SUMPRODUCT(MAX(ROW(E$1:E268)*(E2=E$1:E268))))))</f>
        <v/>
      </c>
      <c r="K269" s="25" t="str">
        <f>IF(OR(E269="",E269="!!!",F269="NEW"),"",INDEX(J$1:J268,SUMPRODUCT(MAX(ROW(E$1:E268)*(E269=E$1:E268)))))</f>
        <v/>
      </c>
      <c r="L269" s="26"/>
    </row>
    <row r="270" spans="1:12" x14ac:dyDescent="0.3">
      <c r="A270" t="s">
        <v>327</v>
      </c>
      <c r="B270" s="20" t="s">
        <v>166</v>
      </c>
      <c r="C270" s="20" t="s">
        <v>195</v>
      </c>
      <c r="D270" s="20" t="s">
        <v>171</v>
      </c>
      <c r="E270" s="21" t="s">
        <v>477</v>
      </c>
      <c r="F270" s="22" t="str">
        <f>IF(OR(E270="",E270="!!!"),"",IF(NOT(ISNA(VLOOKUP(E270,E$1:E269,1,FALSE()))),"OLD",IF(AND(E270&lt;&gt;"",E270&lt;&gt;"!!!"),"NEW","")))</f>
        <v>NEW</v>
      </c>
      <c r="G270" s="23" t="s">
        <v>509</v>
      </c>
      <c r="H270" s="24" t="str">
        <f t="shared" ca="1" si="27"/>
        <v/>
      </c>
      <c r="I270" s="25" t="str">
        <f>IF(OR(E270="",E270="!!!",F270="NEW"),"",INDEX(B$2:B269,-1+SUMPRODUCT(MAX(ROW(E$2:E269)*(E270=E$2:E269)))))</f>
        <v/>
      </c>
      <c r="J270" s="25" t="str">
        <f ca="1">IF(OR(E270="",E270="!!!",F270="NEW"),"",COUNTBLANK(OFFSET(A$1,,,SUMPRODUCT(MAX(ROW(E$2:E270)*(E270=E$2:E270)))))-COUNTBLANK(OFFSET(A$1,,,SUMPRODUCT(MAX(ROW(E$1:E269)*(E2=E$1:E269))))))</f>
        <v/>
      </c>
      <c r="K270" s="25" t="str">
        <f>IF(OR(E270="",E270="!!!",F270="NEW"),"",INDEX(J$1:J269,SUMPRODUCT(MAX(ROW(E$1:E269)*(E270=E$1:E269)))))</f>
        <v/>
      </c>
      <c r="L270" s="26"/>
    </row>
    <row r="271" spans="1:12" x14ac:dyDescent="0.3">
      <c r="A271" t="s">
        <v>269</v>
      </c>
      <c r="E271" s="21" t="str">
        <f t="shared" si="26"/>
        <v/>
      </c>
      <c r="F271" s="22" t="str">
        <f>IF(OR(E271="",E271="!!!"),"",IF(NOT(ISNA(VLOOKUP(E271,E$1:E270,1,FALSE()))),"OLD",IF(AND(E271&lt;&gt;"",E271&lt;&gt;"!!!"),"NEW","")))</f>
        <v/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/>
      </c>
      <c r="H271" s="24" t="str">
        <f t="shared" ca="1" si="27"/>
        <v/>
      </c>
      <c r="I271" s="25" t="str">
        <f>IF(OR(E271="",E271="!!!",F271="NEW"),"",INDEX(B$2:B270,-1+SUMPRODUCT(MAX(ROW(E$2:E270)*(E271=E$2:E270)))))</f>
        <v/>
      </c>
      <c r="J271" s="25" t="str">
        <f ca="1">IF(OR(E271="",E271="!!!",F271="NEW"),"",COUNTBLANK(OFFSET(A$1,,,SUMPRODUCT(MAX(ROW(E$2:E271)*(E271=E$2:E271)))))-COUNTBLANK(OFFSET(A$1,,,SUMPRODUCT(MAX(ROW(E$1:E270)*(E2=E$1:E270))))))</f>
        <v/>
      </c>
      <c r="K271" s="25" t="str">
        <f>IF(OR(E271="",E271="!!!",F271="NEW"),"",INDEX(J$1:J270,SUMPRODUCT(MAX(ROW(E$1:E270)*(E271=E$1:E270)))))</f>
        <v/>
      </c>
      <c r="L271" s="26"/>
    </row>
    <row r="272" spans="1:12" x14ac:dyDescent="0.3">
      <c r="A272" t="s">
        <v>308</v>
      </c>
      <c r="E272" s="21" t="str">
        <f t="shared" si="26"/>
        <v/>
      </c>
      <c r="F272" s="22" t="str">
        <f>IF(OR(E272="",E272="!!!"),"",IF(NOT(ISNA(VLOOKUP(E272,E$1:E271,1,FALSE()))),"OLD",IF(AND(E272&lt;&gt;"",E272&lt;&gt;"!!!"),"NEW","")))</f>
        <v/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/>
      </c>
      <c r="H272" s="24" t="str">
        <f t="shared" ca="1" si="27"/>
        <v/>
      </c>
      <c r="I272" s="25" t="str">
        <f>IF(OR(E272="",E272="!!!",F272="NEW"),"",INDEX(B$2:B271,-1+SUMPRODUCT(MAX(ROW(E$2:E271)*(E272=E$2:E271)))))</f>
        <v/>
      </c>
      <c r="J272" s="25" t="str">
        <f ca="1">IF(OR(E272="",E272="!!!",F272="NEW"),"",COUNTBLANK(OFFSET(A$1,,,SUMPRODUCT(MAX(ROW(E$2:E272)*(E272=E$2:E272)))))-COUNTBLANK(OFFSET(A$1,,,SUMPRODUCT(MAX(ROW(E$1:E271)*(E2=E$1:E271))))))</f>
        <v/>
      </c>
      <c r="K272" s="25" t="str">
        <f>IF(OR(E272="",E272="!!!",F272="NEW"),"",INDEX(J$1:J271,SUMPRODUCT(MAX(ROW(E$1:E271)*(E272=E$1:E271)))))</f>
        <v/>
      </c>
      <c r="L272" s="26"/>
    </row>
    <row r="273" spans="1:12" x14ac:dyDescent="0.3">
      <c r="A273" t="s">
        <v>328</v>
      </c>
      <c r="E273" s="21" t="str">
        <f t="shared" si="26"/>
        <v/>
      </c>
      <c r="F273" s="22" t="str">
        <f>IF(OR(E273="",E273="!!!"),"",IF(NOT(ISNA(VLOOKUP(E273,E$1:E272,1,FALSE()))),"OLD",IF(AND(E273&lt;&gt;"",E273&lt;&gt;"!!!"),"NEW","")))</f>
        <v/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/>
      </c>
      <c r="H273" s="24" t="str">
        <f t="shared" ca="1" si="27"/>
        <v/>
      </c>
      <c r="I273" s="25" t="str">
        <f>IF(OR(E273="",E273="!!!",F273="NEW"),"",INDEX(B$2:B272,-1+SUMPRODUCT(MAX(ROW(E$2:E272)*(E273=E$2:E272)))))</f>
        <v/>
      </c>
      <c r="J273" s="25" t="str">
        <f ca="1">IF(OR(E273="",E273="!!!",F273="NEW"),"",COUNTBLANK(OFFSET(A$1,,,SUMPRODUCT(MAX(ROW(E$2:E273)*(E273=E$2:E273)))))-COUNTBLANK(OFFSET(A$1,,,SUMPRODUCT(MAX(ROW(E$1:E272)*(E2=E$1:E272))))))</f>
        <v/>
      </c>
      <c r="K273" s="25" t="str">
        <f>IF(OR(E273="",E273="!!!",F273="NEW"),"",INDEX(J$1:J272,SUMPRODUCT(MAX(ROW(E$1:E272)*(E273=E$1:E272)))))</f>
        <v/>
      </c>
      <c r="L273" s="26"/>
    </row>
    <row r="274" spans="1:12" x14ac:dyDescent="0.3">
      <c r="A274" t="s">
        <v>329</v>
      </c>
      <c r="B274" s="20" t="s">
        <v>174</v>
      </c>
      <c r="C274" s="20" t="s">
        <v>175</v>
      </c>
      <c r="E274" s="21" t="str">
        <f t="shared" si="26"/>
        <v/>
      </c>
      <c r="F274" s="22" t="str">
        <f>IF(OR(E274="",E274="!!!"),"",IF(NOT(ISNA(VLOOKUP(E274,E$1:E273,1,FALSE()))),"OLD",IF(AND(E274&lt;&gt;"",E274&lt;&gt;"!!!"),"NEW","")))</f>
        <v/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/>
      </c>
      <c r="H274" s="24" t="str">
        <f t="shared" ca="1" si="27"/>
        <v/>
      </c>
      <c r="I274" s="25" t="str">
        <f>IF(OR(E274="",E274="!!!",F274="NEW"),"",INDEX(B$2:B273,-1+SUMPRODUCT(MAX(ROW(E$2:E273)*(E274=E$2:E273)))))</f>
        <v/>
      </c>
      <c r="J274" s="25" t="str">
        <f ca="1">IF(OR(E274="",E274="!!!",F274="NEW"),"",COUNTBLANK(OFFSET(A$1,,,SUMPRODUCT(MAX(ROW(E$2:E274)*(E274=E$2:E274)))))-COUNTBLANK(OFFSET(A$1,,,SUMPRODUCT(MAX(ROW(E$1:E273)*(E2=E$1:E273))))))</f>
        <v/>
      </c>
      <c r="K274" s="25" t="str">
        <f>IF(OR(E274="",E274="!!!",F274="NEW"),"",INDEX(J$1:J273,SUMPRODUCT(MAX(ROW(E$1:E273)*(E274=E$1:E273)))))</f>
        <v/>
      </c>
      <c r="L274" s="26"/>
    </row>
    <row r="275" spans="1:12" x14ac:dyDescent="0.3">
      <c r="A275" t="s">
        <v>310</v>
      </c>
      <c r="E275" s="21" t="str">
        <f t="shared" si="26"/>
        <v/>
      </c>
      <c r="F275" s="22" t="str">
        <f>IF(OR(E275="",E275="!!!"),"",IF(NOT(ISNA(VLOOKUP(E275,E$1:E274,1,FALSE()))),"OLD",IF(AND(E275&lt;&gt;"",E275&lt;&gt;"!!!"),"NEW","")))</f>
        <v/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/>
      </c>
      <c r="H275" s="24" t="str">
        <f t="shared" ca="1" si="27"/>
        <v/>
      </c>
      <c r="I275" s="25" t="str">
        <f>IF(OR(E275="",E275="!!!",F275="NEW"),"",INDEX(B$2:B274,-1+SUMPRODUCT(MAX(ROW(E$2:E274)*(E275=E$2:E274)))))</f>
        <v/>
      </c>
      <c r="J275" s="25" t="str">
        <f ca="1">IF(OR(E275="",E275="!!!",F275="NEW"),"",COUNTBLANK(OFFSET(A$1,,,SUMPRODUCT(MAX(ROW(E$2:E275)*(E275=E$2:E275)))))-COUNTBLANK(OFFSET(A$1,,,SUMPRODUCT(MAX(ROW(E$1:E274)*(E2=E$1:E274))))))</f>
        <v/>
      </c>
      <c r="K275" s="25" t="str">
        <f>IF(OR(E275="",E275="!!!",F275="NEW"),"",INDEX(J$1:J274,SUMPRODUCT(MAX(ROW(E$1:E274)*(E275=E$1:E274)))))</f>
        <v/>
      </c>
      <c r="L275" s="26"/>
    </row>
    <row r="276" spans="1:12" x14ac:dyDescent="0.3">
      <c r="A276" t="s">
        <v>187</v>
      </c>
      <c r="B276" s="20" t="s">
        <v>182</v>
      </c>
      <c r="C276" s="20" t="s">
        <v>175</v>
      </c>
      <c r="E276" s="21" t="s">
        <v>490</v>
      </c>
      <c r="F276" s="22" t="str">
        <f>IF(OR(E276="",E276="!!!"),"",IF(NOT(ISNA(VLOOKUP(E276,E$1:E275,1,FALSE()))),"OLD",IF(AND(E276&lt;&gt;"",E276&lt;&gt;"!!!"),"NEW","")))</f>
        <v>OLD</v>
      </c>
      <c r="G276" s="23" t="s">
        <v>514</v>
      </c>
      <c r="H276" s="24" t="s">
        <v>160</v>
      </c>
      <c r="I276" s="25" t="str">
        <f>IF(OR(E276="",E276="!!!",F276="NEW"),"",INDEX(B$2:B275,-1+SUMPRODUCT(MAX(ROW(E$2:E275)*(E276=E$2:E275)))))</f>
        <v>SBJ</v>
      </c>
      <c r="J276" s="25">
        <f ca="1">IF(OR(E276="",E276="!!!",F276="NEW"),"",COUNTBLANK(OFFSET(A$1,,,SUMPRODUCT(MAX(ROW(E$2:E276)*(E276=E$2:E276)))))-COUNTBLANK(OFFSET(A$1,,,SUMPRODUCT(MAX(ROW(E$1:E275)*(E2=E$1:E275))))))</f>
        <v>0</v>
      </c>
      <c r="K276" s="25">
        <f ca="1">IF(OR(E276="",E276="!!!",F276="NEW"),"",INDEX(J$1:J275,SUMPRODUCT(MAX(ROW(E$1:E275)*(E276=E$1:E275)))))</f>
        <v>0</v>
      </c>
      <c r="L276" s="26"/>
    </row>
    <row r="277" spans="1:12" x14ac:dyDescent="0.3">
      <c r="A277" t="s">
        <v>197</v>
      </c>
      <c r="E277" s="21" t="str">
        <f t="shared" si="26"/>
        <v/>
      </c>
      <c r="F277" s="22" t="str">
        <f>IF(OR(E277="",E277="!!!"),"",IF(NOT(ISNA(VLOOKUP(E277,E$1:E276,1,FALSE()))),"OLD",IF(AND(E277&lt;&gt;"",E277&lt;&gt;"!!!"),"NEW","")))</f>
        <v/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/>
      </c>
      <c r="H277" s="24" t="str">
        <f t="shared" ca="1" si="27"/>
        <v/>
      </c>
      <c r="I277" s="25" t="str">
        <f>IF(OR(E277="",E277="!!!",F277="NEW"),"",INDEX(B$2:B276,-1+SUMPRODUCT(MAX(ROW(E$2:E276)*(E277=E$2:E276)))))</f>
        <v/>
      </c>
      <c r="J277" s="25" t="str">
        <f ca="1">IF(OR(E277="",E277="!!!",F277="NEW"),"",COUNTBLANK(OFFSET(A$1,,,SUMPRODUCT(MAX(ROW(E$2:E277)*(E277=E$2:E277)))))-COUNTBLANK(OFFSET(A$1,,,SUMPRODUCT(MAX(ROW(E$1:E276)*(E2=E$1:E276))))))</f>
        <v/>
      </c>
      <c r="K277" s="25" t="str">
        <f>IF(OR(E277="",E277="!!!",F277="NEW"),"",INDEX(J$1:J276,SUMPRODUCT(MAX(ROW(E$1:E276)*(E277=E$1:E276)))))</f>
        <v/>
      </c>
      <c r="L277" s="26"/>
    </row>
    <row r="279" spans="1:12" x14ac:dyDescent="0.3">
      <c r="A279" t="s">
        <v>330</v>
      </c>
    </row>
    <row r="280" spans="1:12" x14ac:dyDescent="0.3">
      <c r="A280" t="s">
        <v>331</v>
      </c>
      <c r="E280" s="21" t="str">
        <f t="shared" ref="E280:E296" si="28">IF(D280="?OLD","!!!","")</f>
        <v/>
      </c>
      <c r="F280" s="22" t="str">
        <f>IF(OR(E280="",E280="!!!"),"",IF(NOT(ISNA(VLOOKUP(E280,E$1:E279,1,FALSE()))),"OLD",IF(AND(E280&lt;&gt;"",E280&lt;&gt;"!!!"),"NEW","")))</f>
        <v/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/>
      </c>
      <c r="H280" s="24" t="str">
        <f t="shared" ref="H280:H296" ca="1" si="29">IF(J280&lt;&gt;1,"",IF(I280="SBJ","CB","?"))</f>
        <v/>
      </c>
      <c r="I280" s="25" t="str">
        <f>IF(OR(E280="",E280="!!!",F280="NEW"),"",INDEX(B$2:B279,-1+SUMPRODUCT(MAX(ROW(E$2:E279)*(E280=E$2:E279)))))</f>
        <v/>
      </c>
      <c r="J280" s="25" t="str">
        <f ca="1">IF(OR(E280="",E280="!!!",F280="NEW"),"",COUNTBLANK(OFFSET(A$1,,,SUMPRODUCT(MAX(ROW(E$2:E280)*(E280=E$2:E280)))))-COUNTBLANK(OFFSET(A$1,,,SUMPRODUCT(MAX(ROW(E$1:E279)*(E2=E$1:E279))))))</f>
        <v/>
      </c>
      <c r="K280" s="25" t="str">
        <f>IF(OR(E280="",E280="!!!",F280="NEW"),"",INDEX(J$1:J279,SUMPRODUCT(MAX(ROW(E$1:E279)*(E280=E$1:E279)))))</f>
        <v/>
      </c>
      <c r="L280" s="26"/>
    </row>
    <row r="281" spans="1:12" x14ac:dyDescent="0.3">
      <c r="A281" t="s">
        <v>332</v>
      </c>
      <c r="B281" s="20" t="s">
        <v>174</v>
      </c>
      <c r="C281" s="20" t="s">
        <v>295</v>
      </c>
      <c r="D281" s="20" t="s">
        <v>171</v>
      </c>
      <c r="E281" s="21" t="s">
        <v>507</v>
      </c>
      <c r="F281" s="22" t="str">
        <f>IF(OR(E281="",E281="!!!"),"",IF(NOT(ISNA(VLOOKUP(E281,E$1:E280,1,FALSE()))),"OLD",IF(AND(E281&lt;&gt;"",E281&lt;&gt;"!!!"),"NEW","")))</f>
        <v>OLD</v>
      </c>
      <c r="G281" s="23" t="s">
        <v>509</v>
      </c>
      <c r="H281" s="24" t="str">
        <f t="shared" ca="1" si="29"/>
        <v/>
      </c>
      <c r="I281" s="25" t="str">
        <f>IF(OR(E281="",E281="!!!",F281="NEW"),"",INDEX(B$2:B280,-1+SUMPRODUCT(MAX(ROW(E$2:E280)*(E281=E$2:E280)))))</f>
        <v>other</v>
      </c>
      <c r="J281" s="25">
        <f ca="1">IF(OR(E281="",E281="!!!",F281="NEW"),"",COUNTBLANK(OFFSET(A$1,,,SUMPRODUCT(MAX(ROW(E$2:E281)*(E281=E$2:E281)))))-COUNTBLANK(OFFSET(A$1,,,SUMPRODUCT(MAX(ROW(E$1:E280)*(E2=E$1:E280))))))</f>
        <v>0</v>
      </c>
      <c r="K281" s="25" t="str">
        <f ca="1">IF(OR(E281="",E281="!!!",F281="NEW"),"",INDEX(J$1:J280,SUMPRODUCT(MAX(ROW(E$1:E280)*(E281=E$1:E280)))))</f>
        <v/>
      </c>
      <c r="L281" s="26"/>
    </row>
    <row r="282" spans="1:12" x14ac:dyDescent="0.3">
      <c r="A282" t="s">
        <v>206</v>
      </c>
      <c r="E282" s="21" t="str">
        <f t="shared" si="28"/>
        <v/>
      </c>
      <c r="F282" s="22" t="str">
        <f>IF(OR(E282="",E282="!!!"),"",IF(NOT(ISNA(VLOOKUP(E282,E$1:E281,1,FALSE()))),"OLD",IF(AND(E282&lt;&gt;"",E282&lt;&gt;"!!!"),"NEW","")))</f>
        <v/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/>
      </c>
      <c r="H282" s="24" t="str">
        <f t="shared" ca="1" si="29"/>
        <v/>
      </c>
      <c r="I282" s="25" t="str">
        <f>IF(OR(E282="",E282="!!!",F282="NEW"),"",INDEX(B$2:B281,-1+SUMPRODUCT(MAX(ROW(E$2:E281)*(E282=E$2:E281)))))</f>
        <v/>
      </c>
      <c r="J282" s="25" t="str">
        <f ca="1">IF(OR(E282="",E282="!!!",F282="NEW"),"",COUNTBLANK(OFFSET(A$1,,,SUMPRODUCT(MAX(ROW(E$2:E282)*(E282=E$2:E282)))))-COUNTBLANK(OFFSET(A$1,,,SUMPRODUCT(MAX(ROW(E$1:E281)*(E2=E$1:E281))))))</f>
        <v/>
      </c>
      <c r="K282" s="25" t="str">
        <f>IF(OR(E282="",E282="!!!",F282="NEW"),"",INDEX(J$1:J281,SUMPRODUCT(MAX(ROW(E$1:E281)*(E282=E$1:E281)))))</f>
        <v/>
      </c>
      <c r="L282" s="26"/>
    </row>
    <row r="283" spans="1:12" x14ac:dyDescent="0.3">
      <c r="A283" t="s">
        <v>290</v>
      </c>
      <c r="E283" s="21" t="str">
        <f t="shared" si="28"/>
        <v/>
      </c>
      <c r="F283" s="22" t="str">
        <f>IF(OR(E283="",E283="!!!"),"",IF(NOT(ISNA(VLOOKUP(E283,E$1:E282,1,FALSE()))),"OLD",IF(AND(E283&lt;&gt;"",E283&lt;&gt;"!!!"),"NEW","")))</f>
        <v/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/>
      </c>
      <c r="H283" s="24" t="str">
        <f t="shared" ca="1" si="29"/>
        <v/>
      </c>
      <c r="I283" s="25" t="str">
        <f>IF(OR(E283="",E283="!!!",F283="NEW"),"",INDEX(B$2:B282,-1+SUMPRODUCT(MAX(ROW(E$2:E282)*(E283=E$2:E282)))))</f>
        <v/>
      </c>
      <c r="J283" s="25" t="str">
        <f ca="1">IF(OR(E283="",E283="!!!",F283="NEW"),"",COUNTBLANK(OFFSET(A$1,,,SUMPRODUCT(MAX(ROW(E$2:E283)*(E283=E$2:E283)))))-COUNTBLANK(OFFSET(A$1,,,SUMPRODUCT(MAX(ROW(E$1:E282)*(E2=E$1:E282))))))</f>
        <v/>
      </c>
      <c r="K283" s="25" t="str">
        <f>IF(OR(E283="",E283="!!!",F283="NEW"),"",INDEX(J$1:J282,SUMPRODUCT(MAX(ROW(E$1:E282)*(E283=E$1:E282)))))</f>
        <v/>
      </c>
      <c r="L283" s="26"/>
    </row>
    <row r="284" spans="1:12" x14ac:dyDescent="0.3">
      <c r="A284" t="s">
        <v>258</v>
      </c>
      <c r="B284" s="20" t="s">
        <v>183</v>
      </c>
      <c r="C284" s="20" t="s">
        <v>170</v>
      </c>
      <c r="D284" s="20" t="s">
        <v>171</v>
      </c>
      <c r="E284" s="21" t="s">
        <v>474</v>
      </c>
      <c r="F284" s="22" t="str">
        <f>IF(OR(E284="",E284="!!!"),"",IF(NOT(ISNA(VLOOKUP(E284,E$1:E283,1,FALSE()))),"OLD",IF(AND(E284&lt;&gt;"",E284&lt;&gt;"!!!"),"NEW","")))</f>
        <v>OLD</v>
      </c>
      <c r="G284" s="23" t="s">
        <v>509</v>
      </c>
      <c r="H284" s="24" t="str">
        <f t="shared" ca="1" si="29"/>
        <v/>
      </c>
      <c r="I284" s="25" t="str">
        <f>IF(OR(E284="",E284="!!!",F284="NEW"),"",INDEX(B$2:B283,-1+SUMPRODUCT(MAX(ROW(E$2:E283)*(E284=E$2:E283)))))</f>
        <v>other</v>
      </c>
      <c r="J284" s="25">
        <f ca="1">IF(OR(E284="",E284="!!!",F284="NEW"),"",COUNTBLANK(OFFSET(A$1,,,SUMPRODUCT(MAX(ROW(E$2:E284)*(E284=E$2:E284)))))-COUNTBLANK(OFFSET(A$1,,,SUMPRODUCT(MAX(ROW(E$1:E283)*(E2=E$1:E283))))))</f>
        <v>0</v>
      </c>
      <c r="K284" s="25">
        <f ca="1">IF(OR(E284="",E284="!!!",F284="NEW"),"",INDEX(J$1:J283,SUMPRODUCT(MAX(ROW(E$1:E283)*(E284=E$1:E283)))))</f>
        <v>0</v>
      </c>
      <c r="L284" s="26"/>
    </row>
    <row r="285" spans="1:12" x14ac:dyDescent="0.3">
      <c r="A285" t="s">
        <v>206</v>
      </c>
      <c r="E285" s="21" t="str">
        <f t="shared" si="28"/>
        <v/>
      </c>
      <c r="F285" s="22" t="str">
        <f>IF(OR(E285="",E285="!!!"),"",IF(NOT(ISNA(VLOOKUP(E285,E$1:E284,1,FALSE()))),"OLD",IF(AND(E285&lt;&gt;"",E285&lt;&gt;"!!!"),"NEW","")))</f>
        <v/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/>
      </c>
      <c r="H285" s="24" t="str">
        <f t="shared" ca="1" si="29"/>
        <v/>
      </c>
      <c r="I285" s="25" t="str">
        <f>IF(OR(E285="",E285="!!!",F285="NEW"),"",INDEX(B$2:B284,-1+SUMPRODUCT(MAX(ROW(E$2:E284)*(E285=E$2:E284)))))</f>
        <v/>
      </c>
      <c r="J285" s="25" t="str">
        <f ca="1">IF(OR(E285="",E285="!!!",F285="NEW"),"",COUNTBLANK(OFFSET(A$1,,,SUMPRODUCT(MAX(ROW(E$2:E285)*(E285=E$2:E285)))))-COUNTBLANK(OFFSET(A$1,,,SUMPRODUCT(MAX(ROW(E$1:E284)*(E2=E$1:E284))))))</f>
        <v/>
      </c>
      <c r="K285" s="25" t="str">
        <f>IF(OR(E285="",E285="!!!",F285="NEW"),"",INDEX(J$1:J284,SUMPRODUCT(MAX(ROW(E$1:E284)*(E285=E$1:E284)))))</f>
        <v/>
      </c>
      <c r="L285" s="26"/>
    </row>
    <row r="286" spans="1:12" x14ac:dyDescent="0.3">
      <c r="A286" t="s">
        <v>333</v>
      </c>
      <c r="E286" s="21" t="str">
        <f t="shared" si="28"/>
        <v/>
      </c>
      <c r="F286" s="22" t="str">
        <f>IF(OR(E286="",E286="!!!"),"",IF(NOT(ISNA(VLOOKUP(E286,E$1:E285,1,FALSE()))),"OLD",IF(AND(E286&lt;&gt;"",E286&lt;&gt;"!!!"),"NEW","")))</f>
        <v/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/>
      </c>
      <c r="H286" s="24" t="str">
        <f t="shared" ca="1" si="29"/>
        <v/>
      </c>
      <c r="I286" s="25" t="str">
        <f>IF(OR(E286="",E286="!!!",F286="NEW"),"",INDEX(B$2:B285,-1+SUMPRODUCT(MAX(ROW(E$2:E285)*(E286=E$2:E285)))))</f>
        <v/>
      </c>
      <c r="J286" s="25" t="str">
        <f ca="1">IF(OR(E286="",E286="!!!",F286="NEW"),"",COUNTBLANK(OFFSET(A$1,,,SUMPRODUCT(MAX(ROW(E$2:E286)*(E286=E$2:E286)))))-COUNTBLANK(OFFSET(A$1,,,SUMPRODUCT(MAX(ROW(E$1:E285)*(E2=E$1:E285))))))</f>
        <v/>
      </c>
      <c r="K286" s="25" t="str">
        <f>IF(OR(E286="",E286="!!!",F286="NEW"),"",INDEX(J$1:J285,SUMPRODUCT(MAX(ROW(E$1:E285)*(E286=E$1:E285)))))</f>
        <v/>
      </c>
      <c r="L286" s="26"/>
    </row>
    <row r="287" spans="1:12" x14ac:dyDescent="0.3">
      <c r="A287" t="s">
        <v>334</v>
      </c>
      <c r="B287" s="20" t="s">
        <v>215</v>
      </c>
      <c r="E287" s="21" t="str">
        <f t="shared" si="28"/>
        <v/>
      </c>
      <c r="F287" s="22" t="str">
        <f>IF(OR(E287="",E287="!!!"),"",IF(NOT(ISNA(VLOOKUP(E287,E$1:E286,1,FALSE()))),"OLD",IF(AND(E287&lt;&gt;"",E287&lt;&gt;"!!!"),"NEW","")))</f>
        <v/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/>
      </c>
      <c r="H287" s="24" t="str">
        <f t="shared" ca="1" si="29"/>
        <v/>
      </c>
      <c r="I287" s="25" t="str">
        <f>IF(OR(E287="",E287="!!!",F287="NEW"),"",INDEX(B$2:B286,-1+SUMPRODUCT(MAX(ROW(E$2:E286)*(E287=E$2:E286)))))</f>
        <v/>
      </c>
      <c r="J287" s="25" t="str">
        <f ca="1">IF(OR(E287="",E287="!!!",F287="NEW"),"",COUNTBLANK(OFFSET(A$1,,,SUMPRODUCT(MAX(ROW(E$2:E287)*(E287=E$2:E287)))))-COUNTBLANK(OFFSET(A$1,,,SUMPRODUCT(MAX(ROW(E$1:E286)*(E2=E$1:E286))))))</f>
        <v/>
      </c>
      <c r="K287" s="25" t="str">
        <f>IF(OR(E287="",E287="!!!",F287="NEW"),"",INDEX(J$1:J286,SUMPRODUCT(MAX(ROW(E$1:E286)*(E287=E$1:E286)))))</f>
        <v/>
      </c>
      <c r="L287" s="26"/>
    </row>
    <row r="288" spans="1:12" x14ac:dyDescent="0.3">
      <c r="A288" t="s">
        <v>335</v>
      </c>
      <c r="E288" s="21" t="str">
        <f t="shared" si="28"/>
        <v/>
      </c>
      <c r="F288" s="22" t="str">
        <f>IF(OR(E288="",E288="!!!"),"",IF(NOT(ISNA(VLOOKUP(E288,E$1:E287,1,FALSE()))),"OLD",IF(AND(E288&lt;&gt;"",E288&lt;&gt;"!!!"),"NEW","")))</f>
        <v/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/>
      </c>
      <c r="H288" s="24" t="str">
        <f t="shared" ca="1" si="29"/>
        <v/>
      </c>
      <c r="I288" s="25" t="str">
        <f>IF(OR(E288="",E288="!!!",F288="NEW"),"",INDEX(B$2:B287,-1+SUMPRODUCT(MAX(ROW(E$2:E287)*(E288=E$2:E287)))))</f>
        <v/>
      </c>
      <c r="J288" s="25" t="str">
        <f ca="1">IF(OR(E288="",E288="!!!",F288="NEW"),"",COUNTBLANK(OFFSET(A$1,,,SUMPRODUCT(MAX(ROW(E$2:E288)*(E288=E$2:E288)))))-COUNTBLANK(OFFSET(A$1,,,SUMPRODUCT(MAX(ROW(E$1:E287)*(E2=E$1:E287))))))</f>
        <v/>
      </c>
      <c r="K288" s="25" t="str">
        <f>IF(OR(E288="",E288="!!!",F288="NEW"),"",INDEX(J$1:J287,SUMPRODUCT(MAX(ROW(E$1:E287)*(E288=E$1:E287)))))</f>
        <v/>
      </c>
      <c r="L288" s="26"/>
    </row>
    <row r="289" spans="1:12" x14ac:dyDescent="0.3">
      <c r="A289" t="s">
        <v>336</v>
      </c>
      <c r="B289" s="20" t="s">
        <v>209</v>
      </c>
      <c r="C289" s="20" t="s">
        <v>229</v>
      </c>
      <c r="E289" s="21" t="str">
        <f t="shared" si="28"/>
        <v/>
      </c>
      <c r="F289" s="22" t="str">
        <f>IF(OR(E289="",E289="!!!"),"",IF(NOT(ISNA(VLOOKUP(E289,E$1:E288,1,FALSE()))),"OLD",IF(AND(E289&lt;&gt;"",E289&lt;&gt;"!!!"),"NEW","")))</f>
        <v/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/>
      </c>
      <c r="H289" s="24" t="str">
        <f t="shared" ca="1" si="29"/>
        <v/>
      </c>
      <c r="I289" s="25" t="str">
        <f>IF(OR(E289="",E289="!!!",F289="NEW"),"",INDEX(B$2:B288,-1+SUMPRODUCT(MAX(ROW(E$2:E288)*(E289=E$2:E288)))))</f>
        <v/>
      </c>
      <c r="J289" s="25" t="str">
        <f ca="1">IF(OR(E289="",E289="!!!",F289="NEW"),"",COUNTBLANK(OFFSET(A$1,,,SUMPRODUCT(MAX(ROW(E$2:E289)*(E289=E$2:E289)))))-COUNTBLANK(OFFSET(A$1,,,SUMPRODUCT(MAX(ROW(E$1:E288)*(E2=E$1:E288))))))</f>
        <v/>
      </c>
      <c r="K289" s="25" t="str">
        <f>IF(OR(E289="",E289="!!!",F289="NEW"),"",INDEX(J$1:J288,SUMPRODUCT(MAX(ROW(E$1:E288)*(E289=E$1:E288)))))</f>
        <v/>
      </c>
      <c r="L289" s="26"/>
    </row>
    <row r="290" spans="1:12" x14ac:dyDescent="0.3">
      <c r="A290" t="s">
        <v>223</v>
      </c>
      <c r="E290" s="21" t="str">
        <f t="shared" si="28"/>
        <v/>
      </c>
      <c r="F290" s="22" t="str">
        <f>IF(OR(E290="",E290="!!!"),"",IF(NOT(ISNA(VLOOKUP(E290,E$1:E289,1,FALSE()))),"OLD",IF(AND(E290&lt;&gt;"",E290&lt;&gt;"!!!"),"NEW","")))</f>
        <v/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/>
      </c>
      <c r="H290" s="24" t="str">
        <f t="shared" ca="1" si="29"/>
        <v/>
      </c>
      <c r="I290" s="25" t="str">
        <f>IF(OR(E290="",E290="!!!",F290="NEW"),"",INDEX(B$2:B289,-1+SUMPRODUCT(MAX(ROW(E$2:E289)*(E290=E$2:E289)))))</f>
        <v/>
      </c>
      <c r="J290" s="25" t="str">
        <f ca="1">IF(OR(E290="",E290="!!!",F290="NEW"),"",COUNTBLANK(OFFSET(A$1,,,SUMPRODUCT(MAX(ROW(E$2:E290)*(E290=E$2:E290)))))-COUNTBLANK(OFFSET(A$1,,,SUMPRODUCT(MAX(ROW(E$1:E289)*(E2=E$1:E289))))))</f>
        <v/>
      </c>
      <c r="K290" s="25" t="str">
        <f>IF(OR(E290="",E290="!!!",F290="NEW"),"",INDEX(J$1:J289,SUMPRODUCT(MAX(ROW(E$1:E289)*(E290=E$1:E289)))))</f>
        <v/>
      </c>
      <c r="L290" s="26"/>
    </row>
    <row r="291" spans="1:12" x14ac:dyDescent="0.3">
      <c r="A291" t="s">
        <v>337</v>
      </c>
      <c r="B291" s="20" t="s">
        <v>268</v>
      </c>
      <c r="C291" s="20" t="s">
        <v>195</v>
      </c>
      <c r="D291" s="20" t="s">
        <v>171</v>
      </c>
      <c r="E291" s="21"/>
      <c r="F291" s="22" t="s">
        <v>486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/>
      </c>
      <c r="H291" s="24" t="str">
        <f t="shared" ca="1" si="29"/>
        <v/>
      </c>
      <c r="I291" s="25" t="str">
        <f>IF(OR(E291="",E291="!!!",F291="NEW"),"",INDEX(B$2:B290,-1+SUMPRODUCT(MAX(ROW(E$2:E290)*(E291=E$2:E290)))))</f>
        <v/>
      </c>
      <c r="J291" s="25" t="str">
        <f ca="1">IF(OR(E291="",E291="!!!",F291="NEW"),"",COUNTBLANK(OFFSET(A$1,,,SUMPRODUCT(MAX(ROW(E$2:E291)*(E291=E$2:E291)))))-COUNTBLANK(OFFSET(A$1,,,SUMPRODUCT(MAX(ROW(E$1:E290)*(E2=E$1:E290))))))</f>
        <v/>
      </c>
      <c r="K291" s="25" t="str">
        <f>IF(OR(E291="",E291="!!!",F291="NEW"),"",INDEX(J$1:J290,SUMPRODUCT(MAX(ROW(E$1:E290)*(E291=E$1:E290)))))</f>
        <v/>
      </c>
      <c r="L291" s="26"/>
    </row>
    <row r="292" spans="1:12" x14ac:dyDescent="0.3">
      <c r="A292" t="s">
        <v>203</v>
      </c>
      <c r="E292" s="21" t="str">
        <f t="shared" si="28"/>
        <v/>
      </c>
      <c r="F292" s="22" t="str">
        <f>IF(OR(E292="",E292="!!!"),"",IF(NOT(ISNA(VLOOKUP(E292,E$1:E291,1,FALSE()))),"OLD",IF(AND(E292&lt;&gt;"",E292&lt;&gt;"!!!"),"NEW","")))</f>
        <v/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/>
      </c>
      <c r="H292" s="24" t="str">
        <f t="shared" ca="1" si="29"/>
        <v/>
      </c>
      <c r="I292" s="25" t="str">
        <f>IF(OR(E292="",E292="!!!",F292="NEW"),"",INDEX(B$2:B291,-1+SUMPRODUCT(MAX(ROW(E$2:E291)*(E292=E$2:E291)))))</f>
        <v/>
      </c>
      <c r="J292" s="25" t="str">
        <f ca="1">IF(OR(E292="",E292="!!!",F292="NEW"),"",COUNTBLANK(OFFSET(A$1,,,SUMPRODUCT(MAX(ROW(E$2:E292)*(E292=E$2:E292)))))-COUNTBLANK(OFFSET(A$1,,,SUMPRODUCT(MAX(ROW(E$1:E291)*(E2=E$1:E291))))))</f>
        <v/>
      </c>
      <c r="K292" s="25" t="str">
        <f>IF(OR(E292="",E292="!!!",F292="NEW"),"",INDEX(J$1:J291,SUMPRODUCT(MAX(ROW(E$1:E291)*(E292=E$1:E291)))))</f>
        <v/>
      </c>
      <c r="L292" s="26"/>
    </row>
    <row r="293" spans="1:12" x14ac:dyDescent="0.3">
      <c r="A293" t="s">
        <v>281</v>
      </c>
      <c r="E293" s="21" t="str">
        <f t="shared" si="28"/>
        <v/>
      </c>
      <c r="F293" s="22" t="str">
        <f>IF(OR(E293="",E293="!!!"),"",IF(NOT(ISNA(VLOOKUP(E293,E$1:E292,1,FALSE()))),"OLD",IF(AND(E293&lt;&gt;"",E293&lt;&gt;"!!!"),"NEW","")))</f>
        <v/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/>
      </c>
      <c r="H293" s="24" t="str">
        <f t="shared" ca="1" si="29"/>
        <v/>
      </c>
      <c r="I293" s="25" t="str">
        <f>IF(OR(E293="",E293="!!!",F293="NEW"),"",INDEX(B$2:B292,-1+SUMPRODUCT(MAX(ROW(E$2:E292)*(E293=E$2:E292)))))</f>
        <v/>
      </c>
      <c r="J293" s="25" t="str">
        <f ca="1">IF(OR(E293="",E293="!!!",F293="NEW"),"",COUNTBLANK(OFFSET(A$1,,,SUMPRODUCT(MAX(ROW(E$2:E293)*(E293=E$2:E293)))))-COUNTBLANK(OFFSET(A$1,,,SUMPRODUCT(MAX(ROW(E$1:E292)*(E2=E$1:E292))))))</f>
        <v/>
      </c>
      <c r="K293" s="25" t="str">
        <f>IF(OR(E293="",E293="!!!",F293="NEW"),"",INDEX(J$1:J292,SUMPRODUCT(MAX(ROW(E$1:E292)*(E293=E$1:E292)))))</f>
        <v/>
      </c>
      <c r="L293" s="26"/>
    </row>
    <row r="294" spans="1:12" x14ac:dyDescent="0.3">
      <c r="A294" t="s">
        <v>338</v>
      </c>
      <c r="B294" s="20" t="s">
        <v>257</v>
      </c>
      <c r="C294" s="20" t="s">
        <v>195</v>
      </c>
      <c r="D294" s="20" t="s">
        <v>171</v>
      </c>
      <c r="E294" s="21" t="s">
        <v>494</v>
      </c>
      <c r="F294" s="22" t="str">
        <f>IF(OR(E294="",E294="!!!"),"",IF(NOT(ISNA(VLOOKUP(E294,E$1:E293,1,FALSE()))),"OLD",IF(AND(E294&lt;&gt;"",E294&lt;&gt;"!!!"),"NEW","")))</f>
        <v>NEW</v>
      </c>
      <c r="G294" s="23" t="s">
        <v>509</v>
      </c>
      <c r="H294" s="24" t="str">
        <f t="shared" ca="1" si="29"/>
        <v/>
      </c>
      <c r="I294" s="25" t="str">
        <f>IF(OR(E294="",E294="!!!",F294="NEW"),"",INDEX(B$2:B293,-1+SUMPRODUCT(MAX(ROW(E$2:E293)*(E294=E$2:E293)))))</f>
        <v/>
      </c>
      <c r="J294" s="25" t="str">
        <f ca="1">IF(OR(E294="",E294="!!!",F294="NEW"),"",COUNTBLANK(OFFSET(A$1,,,SUMPRODUCT(MAX(ROW(E$2:E294)*(E294=E$2:E294)))))-COUNTBLANK(OFFSET(A$1,,,SUMPRODUCT(MAX(ROW(E$1:E293)*(E2=E$1:E293))))))</f>
        <v/>
      </c>
      <c r="K294" s="25" t="str">
        <f>IF(OR(E294="",E294="!!!",F294="NEW"),"",INDEX(J$1:J293,SUMPRODUCT(MAX(ROW(E$1:E293)*(E294=E$1:E293)))))</f>
        <v/>
      </c>
      <c r="L294" s="26"/>
    </row>
    <row r="295" spans="1:12" x14ac:dyDescent="0.3">
      <c r="A295" t="s">
        <v>339</v>
      </c>
      <c r="E295" s="21" t="str">
        <f t="shared" si="28"/>
        <v/>
      </c>
      <c r="F295" s="22" t="str">
        <f>IF(OR(E295="",E295="!!!"),"",IF(NOT(ISNA(VLOOKUP(E295,E$1:E294,1,FALSE()))),"OLD",IF(AND(E295&lt;&gt;"",E295&lt;&gt;"!!!"),"NEW","")))</f>
        <v/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/>
      </c>
      <c r="H295" s="24" t="str">
        <f t="shared" ca="1" si="29"/>
        <v/>
      </c>
      <c r="I295" s="25" t="str">
        <f>IF(OR(E295="",E295="!!!",F295="NEW"),"",INDEX(B$2:B294,-1+SUMPRODUCT(MAX(ROW(E$2:E294)*(E295=E$2:E294)))))</f>
        <v/>
      </c>
      <c r="J295" s="25" t="str">
        <f ca="1">IF(OR(E295="",E295="!!!",F295="NEW"),"",COUNTBLANK(OFFSET(A$1,,,SUMPRODUCT(MAX(ROW(E$2:E295)*(E295=E$2:E295)))))-COUNTBLANK(OFFSET(A$1,,,SUMPRODUCT(MAX(ROW(E$1:E294)*(E2=E$1:E294))))))</f>
        <v/>
      </c>
      <c r="K295" s="25" t="str">
        <f>IF(OR(E295="",E295="!!!",F295="NEW"),"",INDEX(J$1:J294,SUMPRODUCT(MAX(ROW(E$1:E294)*(E295=E$1:E294)))))</f>
        <v/>
      </c>
      <c r="L295" s="26"/>
    </row>
    <row r="296" spans="1:12" x14ac:dyDescent="0.3">
      <c r="A296" t="s">
        <v>197</v>
      </c>
      <c r="E296" s="21" t="str">
        <f t="shared" si="28"/>
        <v/>
      </c>
      <c r="F296" s="22" t="str">
        <f>IF(OR(E296="",E296="!!!"),"",IF(NOT(ISNA(VLOOKUP(E296,E$1:E295,1,FALSE()))),"OLD",IF(AND(E296&lt;&gt;"",E296&lt;&gt;"!!!"),"NEW","")))</f>
        <v/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/>
      </c>
      <c r="H296" s="24" t="str">
        <f t="shared" ca="1" si="29"/>
        <v/>
      </c>
      <c r="I296" s="25" t="str">
        <f>IF(OR(E296="",E296="!!!",F296="NEW"),"",INDEX(B$2:B295,-1+SUMPRODUCT(MAX(ROW(E$2:E295)*(E296=E$2:E295)))))</f>
        <v/>
      </c>
      <c r="J296" s="25" t="str">
        <f ca="1">IF(OR(E296="",E296="!!!",F296="NEW"),"",COUNTBLANK(OFFSET(A$1,,,SUMPRODUCT(MAX(ROW(E$2:E296)*(E296=E$2:E296)))))-COUNTBLANK(OFFSET(A$1,,,SUMPRODUCT(MAX(ROW(E$1:E295)*(E2=E$1:E295))))))</f>
        <v/>
      </c>
      <c r="K296" s="25" t="str">
        <f>IF(OR(E296="",E296="!!!",F296="NEW"),"",INDEX(J$1:J295,SUMPRODUCT(MAX(ROW(E$1:E295)*(E296=E$1:E295)))))</f>
        <v/>
      </c>
      <c r="L296" s="26"/>
    </row>
    <row r="298" spans="1:12" x14ac:dyDescent="0.3">
      <c r="A298" t="s">
        <v>340</v>
      </c>
    </row>
    <row r="299" spans="1:12" x14ac:dyDescent="0.3">
      <c r="A299" t="s">
        <v>341</v>
      </c>
      <c r="E299" s="21" t="str">
        <f t="shared" ref="E299:E313" si="30">IF(D299="?OLD","!!!","")</f>
        <v/>
      </c>
      <c r="F299" s="22" t="str">
        <f>IF(OR(E299="",E299="!!!"),"",IF(NOT(ISNA(VLOOKUP(E299,E$1:E298,1,FALSE()))),"OLD",IF(AND(E299&lt;&gt;"",E299&lt;&gt;"!!!"),"NEW","")))</f>
        <v/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/>
      </c>
      <c r="H299" s="24" t="str">
        <f t="shared" ref="H299:H313" ca="1" si="31">IF(J299&lt;&gt;1,"",IF(I299="SBJ","CB","?"))</f>
        <v/>
      </c>
      <c r="I299" s="25" t="str">
        <f>IF(OR(E299="",E299="!!!",F299="NEW"),"",INDEX(B$2:B298,-1+SUMPRODUCT(MAX(ROW(E$2:E298)*(E299=E$2:E298)))))</f>
        <v/>
      </c>
      <c r="J299" s="25" t="str">
        <f ca="1">IF(OR(E299="",E299="!!!",F299="NEW"),"",COUNTBLANK(OFFSET(A$1,,,SUMPRODUCT(MAX(ROW(E$2:E299)*(E299=E$2:E299)))))-COUNTBLANK(OFFSET(A$1,,,SUMPRODUCT(MAX(ROW(E$1:E298)*(E2=E$1:E298))))))</f>
        <v/>
      </c>
      <c r="K299" s="25" t="str">
        <f>IF(OR(E299="",E299="!!!",F299="NEW"),"",INDEX(J$1:J298,SUMPRODUCT(MAX(ROW(E$1:E298)*(E299=E$1:E298)))))</f>
        <v/>
      </c>
      <c r="L299" s="26"/>
    </row>
    <row r="300" spans="1:12" x14ac:dyDescent="0.3">
      <c r="A300" t="s">
        <v>305</v>
      </c>
      <c r="E300" s="21" t="str">
        <f t="shared" si="30"/>
        <v/>
      </c>
      <c r="F300" s="22" t="str">
        <f>IF(OR(E300="",E300="!!!"),"",IF(NOT(ISNA(VLOOKUP(E300,E$1:E299,1,FALSE()))),"OLD",IF(AND(E300&lt;&gt;"",E300&lt;&gt;"!!!"),"NEW","")))</f>
        <v/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/>
      </c>
      <c r="H300" s="24" t="str">
        <f t="shared" ca="1" si="31"/>
        <v/>
      </c>
      <c r="I300" s="25" t="str">
        <f>IF(OR(E300="",E300="!!!",F300="NEW"),"",INDEX(B$2:B299,-1+SUMPRODUCT(MAX(ROW(E$2:E299)*(E300=E$2:E299)))))</f>
        <v/>
      </c>
      <c r="J300" s="25" t="str">
        <f ca="1">IF(OR(E300="",E300="!!!",F300="NEW"),"",COUNTBLANK(OFFSET(A$1,,,SUMPRODUCT(MAX(ROW(E$2:E300)*(E300=E$2:E300)))))-COUNTBLANK(OFFSET(A$1,,,SUMPRODUCT(MAX(ROW(E$1:E299)*(E2=E$1:E299))))))</f>
        <v/>
      </c>
      <c r="K300" s="25" t="str">
        <f>IF(OR(E300="",E300="!!!",F300="NEW"),"",INDEX(J$1:J299,SUMPRODUCT(MAX(ROW(E$1:E299)*(E300=E$1:E299)))))</f>
        <v/>
      </c>
      <c r="L300" s="26"/>
    </row>
    <row r="301" spans="1:12" x14ac:dyDescent="0.3">
      <c r="A301" t="s">
        <v>227</v>
      </c>
      <c r="B301" s="20" t="s">
        <v>209</v>
      </c>
      <c r="C301" s="20" t="s">
        <v>195</v>
      </c>
      <c r="D301" s="20" t="s">
        <v>171</v>
      </c>
      <c r="E301" s="21" t="s">
        <v>491</v>
      </c>
      <c r="F301" s="22" t="str">
        <f>IF(OR(E301="",E301="!!!"),"",IF(NOT(ISNA(VLOOKUP(E301,E$1:E300,1,FALSE()))),"OLD",IF(AND(E301&lt;&gt;"",E301&lt;&gt;"!!!"),"NEW","")))</f>
        <v>OLD</v>
      </c>
      <c r="G301" s="23" t="s">
        <v>509</v>
      </c>
      <c r="H301" s="24" t="str">
        <f t="shared" ca="1" si="31"/>
        <v/>
      </c>
      <c r="I301" s="25">
        <f>IF(OR(E301="",E301="!!!",F301="NEW"),"",INDEX(B$2:B300,-1+SUMPRODUCT(MAX(ROW(E$2:E300)*(E301=E$2:E300)))))</f>
        <v>0</v>
      </c>
      <c r="J301" s="25">
        <f ca="1">IF(OR(E301="",E301="!!!",F301="NEW"),"",COUNTBLANK(OFFSET(A$1,,,SUMPRODUCT(MAX(ROW(E$2:E301)*(E301=E$2:E301)))))-COUNTBLANK(OFFSET(A$1,,,SUMPRODUCT(MAX(ROW(E$1:E300)*(E2=E$1:E300))))))</f>
        <v>0</v>
      </c>
      <c r="K301" s="25">
        <f ca="1">IF(OR(E301="",E301="!!!",F301="NEW"),"",INDEX(J$1:J300,SUMPRODUCT(MAX(ROW(E$1:E300)*(E301=E$1:E300)))))</f>
        <v>0</v>
      </c>
      <c r="L301" s="26"/>
    </row>
    <row r="302" spans="1:12" x14ac:dyDescent="0.3">
      <c r="A302" t="s">
        <v>342</v>
      </c>
      <c r="E302" s="21" t="s">
        <v>516</v>
      </c>
      <c r="F302" s="22" t="str">
        <f>IF(OR(E302="",E302="!!!"),"",IF(NOT(ISNA(VLOOKUP(E302,E$1:E301,1,FALSE()))),"OLD",IF(AND(E302&lt;&gt;"",E302&lt;&gt;"!!!"),"NEW","")))</f>
        <v>NEW</v>
      </c>
      <c r="G302" s="23" t="s">
        <v>510</v>
      </c>
      <c r="H302" s="24" t="str">
        <f t="shared" ca="1" si="31"/>
        <v/>
      </c>
      <c r="I302" s="25" t="str">
        <f>IF(OR(E302="",E302="!!!",F302="NEW"),"",INDEX(B$2:B301,-1+SUMPRODUCT(MAX(ROW(E$2:E301)*(E302=E$2:E301)))))</f>
        <v/>
      </c>
      <c r="J302" s="25" t="str">
        <f ca="1">IF(OR(E302="",E302="!!!",F302="NEW"),"",COUNTBLANK(OFFSET(A$1,,,SUMPRODUCT(MAX(ROW(E$2:E302)*(E302=E$2:E302)))))-COUNTBLANK(OFFSET(A$1,,,SUMPRODUCT(MAX(ROW(E$1:E301)*(E2=E$1:E301))))))</f>
        <v/>
      </c>
      <c r="K302" s="25" t="str">
        <f>IF(OR(E302="",E302="!!!",F302="NEW"),"",INDEX(J$1:J301,SUMPRODUCT(MAX(ROW(E$1:E301)*(E302=E$1:E301)))))</f>
        <v/>
      </c>
      <c r="L302" s="26" t="s">
        <v>473</v>
      </c>
    </row>
    <row r="303" spans="1:12" x14ac:dyDescent="0.3">
      <c r="A303" t="s">
        <v>206</v>
      </c>
      <c r="E303" s="21" t="str">
        <f t="shared" si="30"/>
        <v/>
      </c>
      <c r="F303" s="22" t="str">
        <f>IF(OR(E303="",E303="!!!"),"",IF(NOT(ISNA(VLOOKUP(E303,E$1:E302,1,FALSE()))),"OLD",IF(AND(E303&lt;&gt;"",E303&lt;&gt;"!!!"),"NEW","")))</f>
        <v/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/>
      </c>
      <c r="H303" s="24" t="str">
        <f t="shared" ca="1" si="31"/>
        <v/>
      </c>
      <c r="I303" s="25" t="str">
        <f>IF(OR(E303="",E303="!!!",F303="NEW"),"",INDEX(B$2:B302,-1+SUMPRODUCT(MAX(ROW(E$2:E302)*(E303=E$2:E302)))))</f>
        <v/>
      </c>
      <c r="J303" s="25" t="str">
        <f ca="1">IF(OR(E303="",E303="!!!",F303="NEW"),"",COUNTBLANK(OFFSET(A$1,,,SUMPRODUCT(MAX(ROW(E$2:E303)*(E303=E$2:E303)))))-COUNTBLANK(OFFSET(A$1,,,SUMPRODUCT(MAX(ROW(E$1:E302)*(E2=E$1:E302))))))</f>
        <v/>
      </c>
      <c r="K303" s="25" t="str">
        <f>IF(OR(E303="",E303="!!!",F303="NEW"),"",INDEX(J$1:J302,SUMPRODUCT(MAX(ROW(E$1:E302)*(E303=E$1:E302)))))</f>
        <v/>
      </c>
      <c r="L303" s="26"/>
    </row>
    <row r="304" spans="1:12" x14ac:dyDescent="0.3">
      <c r="A304" t="s">
        <v>218</v>
      </c>
      <c r="E304" s="21" t="str">
        <f t="shared" si="30"/>
        <v/>
      </c>
      <c r="F304" s="22" t="str">
        <f>IF(OR(E304="",E304="!!!"),"",IF(NOT(ISNA(VLOOKUP(E304,E$1:E303,1,FALSE()))),"OLD",IF(AND(E304&lt;&gt;"",E304&lt;&gt;"!!!"),"NEW","")))</f>
        <v/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/>
      </c>
      <c r="H304" s="24" t="str">
        <f t="shared" ca="1" si="31"/>
        <v/>
      </c>
      <c r="I304" s="25" t="str">
        <f>IF(OR(E304="",E304="!!!",F304="NEW"),"",INDEX(B$2:B303,-1+SUMPRODUCT(MAX(ROW(E$2:E303)*(E304=E$2:E303)))))</f>
        <v/>
      </c>
      <c r="J304" s="25" t="str">
        <f ca="1">IF(OR(E304="",E304="!!!",F304="NEW"),"",COUNTBLANK(OFFSET(A$1,,,SUMPRODUCT(MAX(ROW(E$2:E304)*(E304=E$2:E304)))))-COUNTBLANK(OFFSET(A$1,,,SUMPRODUCT(MAX(ROW(E$1:E303)*(E2=E$1:E303))))))</f>
        <v/>
      </c>
      <c r="K304" s="25" t="str">
        <f>IF(OR(E304="",E304="!!!",F304="NEW"),"",INDEX(J$1:J303,SUMPRODUCT(MAX(ROW(E$1:E303)*(E304=E$1:E303)))))</f>
        <v/>
      </c>
      <c r="L304" s="26"/>
    </row>
    <row r="305" spans="1:12" x14ac:dyDescent="0.3">
      <c r="A305" t="s">
        <v>305</v>
      </c>
      <c r="B305" s="20" t="s">
        <v>166</v>
      </c>
      <c r="E305" s="21" t="s">
        <v>516</v>
      </c>
      <c r="F305" s="22" t="str">
        <f>IF(OR(E305="",E305="!!!"),"",IF(NOT(ISNA(VLOOKUP(E305,E$1:E304,1,FALSE()))),"OLD",IF(AND(E305&lt;&gt;"",E305&lt;&gt;"!!!"),"NEW","")))</f>
        <v>OLD</v>
      </c>
      <c r="G305" s="23" t="s">
        <v>513</v>
      </c>
      <c r="H305" s="24" t="str">
        <f t="shared" ca="1" si="31"/>
        <v/>
      </c>
      <c r="I305" s="25">
        <f>IF(OR(E305="",E305="!!!",F305="NEW"),"",INDEX(B$2:B304,-1+SUMPRODUCT(MAX(ROW(E$2:E304)*(E305=E$2:E304)))))</f>
        <v>0</v>
      </c>
      <c r="J305" s="25">
        <f ca="1">IF(OR(E305="",E305="!!!",F305="NEW"),"",COUNTBLANK(OFFSET(A$1,,,SUMPRODUCT(MAX(ROW(E$2:E305)*(E305=E$2:E305)))))-COUNTBLANK(OFFSET(A$1,,,SUMPRODUCT(MAX(ROW(E$1:E304)*(E2=E$1:E304))))))</f>
        <v>0</v>
      </c>
      <c r="K305" s="25" t="str">
        <f ca="1">IF(OR(E305="",E305="!!!",F305="NEW"),"",INDEX(J$1:J304,SUMPRODUCT(MAX(ROW(E$1:E304)*(E305=E$1:E304)))))</f>
        <v/>
      </c>
      <c r="L305" s="26"/>
    </row>
    <row r="306" spans="1:12" x14ac:dyDescent="0.3">
      <c r="A306" t="s">
        <v>310</v>
      </c>
      <c r="E306" s="21" t="str">
        <f t="shared" si="30"/>
        <v/>
      </c>
      <c r="F306" s="22" t="str">
        <f>IF(OR(E306="",E306="!!!"),"",IF(NOT(ISNA(VLOOKUP(E306,E$1:E305,1,FALSE()))),"OLD",IF(AND(E306&lt;&gt;"",E306&lt;&gt;"!!!"),"NEW","")))</f>
        <v/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/>
      </c>
      <c r="H306" s="24" t="str">
        <f t="shared" ca="1" si="31"/>
        <v/>
      </c>
      <c r="I306" s="25" t="str">
        <f>IF(OR(E306="",E306="!!!",F306="NEW"),"",INDEX(B$2:B305,-1+SUMPRODUCT(MAX(ROW(E$2:E305)*(E306=E$2:E305)))))</f>
        <v/>
      </c>
      <c r="J306" s="25" t="str">
        <f ca="1">IF(OR(E306="",E306="!!!",F306="NEW"),"",COUNTBLANK(OFFSET(A$1,,,SUMPRODUCT(MAX(ROW(E$2:E306)*(E306=E$2:E306)))))-COUNTBLANK(OFFSET(A$1,,,SUMPRODUCT(MAX(ROW(E$1:E305)*(E2=E$1:E305))))))</f>
        <v/>
      </c>
      <c r="K306" s="25" t="str">
        <f>IF(OR(E306="",E306="!!!",F306="NEW"),"",INDEX(J$1:J305,SUMPRODUCT(MAX(ROW(E$1:E305)*(E306=E$1:E305)))))</f>
        <v/>
      </c>
      <c r="L306" s="26"/>
    </row>
    <row r="307" spans="1:12" x14ac:dyDescent="0.3">
      <c r="A307" t="s">
        <v>343</v>
      </c>
      <c r="E307" s="21" t="str">
        <f t="shared" si="30"/>
        <v/>
      </c>
      <c r="F307" s="22" t="str">
        <f>IF(OR(E307="",E307="!!!"),"",IF(NOT(ISNA(VLOOKUP(E307,E$1:E306,1,FALSE()))),"OLD",IF(AND(E307&lt;&gt;"",E307&lt;&gt;"!!!"),"NEW","")))</f>
        <v/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/>
      </c>
      <c r="H307" s="24" t="str">
        <f t="shared" ca="1" si="31"/>
        <v/>
      </c>
      <c r="I307" s="25" t="str">
        <f>IF(OR(E307="",E307="!!!",F307="NEW"),"",INDEX(B$2:B306,-1+SUMPRODUCT(MAX(ROW(E$2:E306)*(E307=E$2:E306)))))</f>
        <v/>
      </c>
      <c r="J307" s="25" t="str">
        <f ca="1">IF(OR(E307="",E307="!!!",F307="NEW"),"",COUNTBLANK(OFFSET(A$1,,,SUMPRODUCT(MAX(ROW(E$2:E307)*(E307=E$2:E307)))))-COUNTBLANK(OFFSET(A$1,,,SUMPRODUCT(MAX(ROW(E$1:E306)*(E2=E$1:E306))))))</f>
        <v/>
      </c>
      <c r="K307" s="25" t="str">
        <f>IF(OR(E307="",E307="!!!",F307="NEW"),"",INDEX(J$1:J306,SUMPRODUCT(MAX(ROW(E$1:E306)*(E307=E$1:E306)))))</f>
        <v/>
      </c>
      <c r="L307" s="26"/>
    </row>
    <row r="308" spans="1:12" x14ac:dyDescent="0.3">
      <c r="A308" t="s">
        <v>344</v>
      </c>
      <c r="B308" s="20" t="s">
        <v>183</v>
      </c>
      <c r="C308" s="20" t="s">
        <v>175</v>
      </c>
      <c r="E308" s="21" t="str">
        <f t="shared" si="30"/>
        <v/>
      </c>
      <c r="F308" s="22" t="str">
        <f>IF(OR(E308="",E308="!!!"),"",IF(NOT(ISNA(VLOOKUP(E308,E$1:E307,1,FALSE()))),"OLD",IF(AND(E308&lt;&gt;"",E308&lt;&gt;"!!!"),"NEW","")))</f>
        <v/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/>
      </c>
      <c r="H308" s="24" t="str">
        <f t="shared" ca="1" si="31"/>
        <v/>
      </c>
      <c r="I308" s="25" t="str">
        <f>IF(OR(E308="",E308="!!!",F308="NEW"),"",INDEX(B$2:B307,-1+SUMPRODUCT(MAX(ROW(E$2:E307)*(E308=E$2:E307)))))</f>
        <v/>
      </c>
      <c r="J308" s="25" t="str">
        <f ca="1">IF(OR(E308="",E308="!!!",F308="NEW"),"",COUNTBLANK(OFFSET(A$1,,,SUMPRODUCT(MAX(ROW(E$2:E308)*(E308=E$2:E308)))))-COUNTBLANK(OFFSET(A$1,,,SUMPRODUCT(MAX(ROW(E$1:E307)*(E2=E$1:E307))))))</f>
        <v/>
      </c>
      <c r="K308" s="25" t="str">
        <f>IF(OR(E308="",E308="!!!",F308="NEW"),"",INDEX(J$1:J307,SUMPRODUCT(MAX(ROW(E$1:E307)*(E308=E$1:E307)))))</f>
        <v/>
      </c>
      <c r="L308" s="26"/>
    </row>
    <row r="309" spans="1:12" x14ac:dyDescent="0.3">
      <c r="A309" t="s">
        <v>192</v>
      </c>
      <c r="E309" s="21" t="str">
        <f t="shared" si="30"/>
        <v/>
      </c>
      <c r="F309" s="22" t="str">
        <f>IF(OR(E309="",E309="!!!"),"",IF(NOT(ISNA(VLOOKUP(E309,E$1:E308,1,FALSE()))),"OLD",IF(AND(E309&lt;&gt;"",E309&lt;&gt;"!!!"),"NEW","")))</f>
        <v/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/>
      </c>
      <c r="H309" s="24" t="str">
        <f t="shared" ca="1" si="31"/>
        <v/>
      </c>
      <c r="I309" s="25" t="str">
        <f>IF(OR(E309="",E309="!!!",F309="NEW"),"",INDEX(B$2:B308,-1+SUMPRODUCT(MAX(ROW(E$2:E308)*(E309=E$2:E308)))))</f>
        <v/>
      </c>
      <c r="J309" s="25" t="str">
        <f ca="1">IF(OR(E309="",E309="!!!",F309="NEW"),"",COUNTBLANK(OFFSET(A$1,,,SUMPRODUCT(MAX(ROW(E$2:E309)*(E309=E$2:E309)))))-COUNTBLANK(OFFSET(A$1,,,SUMPRODUCT(MAX(ROW(E$1:E308)*(E2=E$1:E308))))))</f>
        <v/>
      </c>
      <c r="K309" s="25" t="str">
        <f>IF(OR(E309="",E309="!!!",F309="NEW"),"",INDEX(J$1:J308,SUMPRODUCT(MAX(ROW(E$1:E308)*(E309=E$1:E308)))))</f>
        <v/>
      </c>
      <c r="L309" s="26"/>
    </row>
    <row r="310" spans="1:12" x14ac:dyDescent="0.3">
      <c r="A310" t="s">
        <v>223</v>
      </c>
      <c r="E310" s="21" t="str">
        <f t="shared" si="30"/>
        <v/>
      </c>
      <c r="F310" s="22" t="str">
        <f>IF(OR(E310="",E310="!!!"),"",IF(NOT(ISNA(VLOOKUP(E310,E$1:E309,1,FALSE()))),"OLD",IF(AND(E310&lt;&gt;"",E310&lt;&gt;"!!!"),"NEW","")))</f>
        <v/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/>
      </c>
      <c r="H310" s="24" t="str">
        <f t="shared" ca="1" si="31"/>
        <v/>
      </c>
      <c r="I310" s="25" t="str">
        <f>IF(OR(E310="",E310="!!!",F310="NEW"),"",INDEX(B$2:B309,-1+SUMPRODUCT(MAX(ROW(E$2:E309)*(E310=E$2:E309)))))</f>
        <v/>
      </c>
      <c r="J310" s="25" t="str">
        <f ca="1">IF(OR(E310="",E310="!!!",F310="NEW"),"",COUNTBLANK(OFFSET(A$1,,,SUMPRODUCT(MAX(ROW(E$2:E310)*(E310=E$2:E310)))))-COUNTBLANK(OFFSET(A$1,,,SUMPRODUCT(MAX(ROW(E$1:E309)*(E2=E$1:E309))))))</f>
        <v/>
      </c>
      <c r="K310" s="25" t="str">
        <f>IF(OR(E310="",E310="!!!",F310="NEW"),"",INDEX(J$1:J309,SUMPRODUCT(MAX(ROW(E$1:E309)*(E310=E$1:E309)))))</f>
        <v/>
      </c>
      <c r="L310" s="26"/>
    </row>
    <row r="311" spans="1:12" x14ac:dyDescent="0.3">
      <c r="A311" t="s">
        <v>345</v>
      </c>
      <c r="B311" s="20" t="s">
        <v>182</v>
      </c>
      <c r="C311" s="20" t="s">
        <v>195</v>
      </c>
      <c r="D311" s="20" t="s">
        <v>171</v>
      </c>
      <c r="E311" s="21" t="s">
        <v>495</v>
      </c>
      <c r="F311" s="22" t="str">
        <f>IF(OR(E311="",E311="!!!"),"",IF(NOT(ISNA(VLOOKUP(E311,E$1:E310,1,FALSE()))),"OLD",IF(AND(E311&lt;&gt;"",E311&lt;&gt;"!!!"),"NEW","")))</f>
        <v>NEW</v>
      </c>
      <c r="G311" s="23" t="s">
        <v>509</v>
      </c>
      <c r="H311" s="24" t="str">
        <f t="shared" ca="1" si="31"/>
        <v/>
      </c>
      <c r="I311" s="25" t="str">
        <f>IF(OR(E311="",E311="!!!",F311="NEW"),"",INDEX(B$2:B310,-1+SUMPRODUCT(MAX(ROW(E$2:E310)*(E311=E$2:E310)))))</f>
        <v/>
      </c>
      <c r="J311" s="25" t="str">
        <f ca="1">IF(OR(E311="",E311="!!!",F311="NEW"),"",COUNTBLANK(OFFSET(A$1,,,SUMPRODUCT(MAX(ROW(E$2:E311)*(E311=E$2:E311)))))-COUNTBLANK(OFFSET(A$1,,,SUMPRODUCT(MAX(ROW(E$1:E310)*(E2=E$1:E310))))))</f>
        <v/>
      </c>
      <c r="K311" s="25" t="str">
        <f>IF(OR(E311="",E311="!!!",F311="NEW"),"",INDEX(J$1:J310,SUMPRODUCT(MAX(ROW(E$1:E310)*(E311=E$1:E310)))))</f>
        <v/>
      </c>
      <c r="L311" s="26"/>
    </row>
    <row r="312" spans="1:12" x14ac:dyDescent="0.3">
      <c r="A312" t="s">
        <v>61</v>
      </c>
      <c r="E312" s="21" t="str">
        <f t="shared" si="30"/>
        <v/>
      </c>
      <c r="F312" s="22" t="str">
        <f>IF(OR(E312="",E312="!!!"),"",IF(NOT(ISNA(VLOOKUP(E312,E$1:E311,1,FALSE()))),"OLD",IF(AND(E312&lt;&gt;"",E312&lt;&gt;"!!!"),"NEW","")))</f>
        <v/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/>
      </c>
      <c r="H312" s="24" t="str">
        <f t="shared" ca="1" si="31"/>
        <v/>
      </c>
      <c r="I312" s="25" t="str">
        <f>IF(OR(E312="",E312="!!!",F312="NEW"),"",INDEX(B$2:B311,-1+SUMPRODUCT(MAX(ROW(E$2:E311)*(E312=E$2:E311)))))</f>
        <v/>
      </c>
      <c r="J312" s="25" t="str">
        <f ca="1">IF(OR(E312="",E312="!!!",F312="NEW"),"",COUNTBLANK(OFFSET(A$1,,,SUMPRODUCT(MAX(ROW(E$2:E312)*(E312=E$2:E312)))))-COUNTBLANK(OFFSET(A$1,,,SUMPRODUCT(MAX(ROW(E$1:E311)*(E2=E$1:E311))))))</f>
        <v/>
      </c>
      <c r="K312" s="25" t="str">
        <f>IF(OR(E312="",E312="!!!",F312="NEW"),"",INDEX(J$1:J311,SUMPRODUCT(MAX(ROW(E$1:E311)*(E312=E$1:E311)))))</f>
        <v/>
      </c>
      <c r="L312" s="26"/>
    </row>
    <row r="313" spans="1:12" x14ac:dyDescent="0.3">
      <c r="A313" t="s">
        <v>197</v>
      </c>
      <c r="E313" s="21" t="str">
        <f t="shared" si="30"/>
        <v/>
      </c>
      <c r="F313" s="22" t="str">
        <f>IF(OR(E313="",E313="!!!"),"",IF(NOT(ISNA(VLOOKUP(E313,E$1:E312,1,FALSE()))),"OLD",IF(AND(E313&lt;&gt;"",E313&lt;&gt;"!!!"),"NEW","")))</f>
        <v/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/>
      </c>
      <c r="H313" s="24" t="str">
        <f t="shared" ca="1" si="31"/>
        <v/>
      </c>
      <c r="I313" s="25" t="str">
        <f>IF(OR(E313="",E313="!!!",F313="NEW"),"",INDEX(B$2:B312,-1+SUMPRODUCT(MAX(ROW(E$2:E312)*(E313=E$2:E312)))))</f>
        <v/>
      </c>
      <c r="J313" s="25" t="str">
        <f ca="1">IF(OR(E313="",E313="!!!",F313="NEW"),"",COUNTBLANK(OFFSET(A$1,,,SUMPRODUCT(MAX(ROW(E$2:E313)*(E313=E$2:E313)))))-COUNTBLANK(OFFSET(A$1,,,SUMPRODUCT(MAX(ROW(E$1:E312)*(E2=E$1:E312))))))</f>
        <v/>
      </c>
      <c r="K313" s="25" t="str">
        <f>IF(OR(E313="",E313="!!!",F313="NEW"),"",INDEX(J$1:J312,SUMPRODUCT(MAX(ROW(E$1:E312)*(E313=E$1:E312)))))</f>
        <v/>
      </c>
      <c r="L313" s="26"/>
    </row>
    <row r="315" spans="1:12" x14ac:dyDescent="0.3">
      <c r="A315" t="s">
        <v>346</v>
      </c>
    </row>
    <row r="316" spans="1:12" x14ac:dyDescent="0.3">
      <c r="A316" t="s">
        <v>347</v>
      </c>
      <c r="B316" s="20" t="s">
        <v>182</v>
      </c>
      <c r="C316" s="20" t="s">
        <v>202</v>
      </c>
      <c r="E316" s="21" t="str">
        <f>IF(D316="?OLD","!!!","")</f>
        <v/>
      </c>
      <c r="F316" s="22" t="str">
        <f>IF(OR(E316="",E316="!!!"),"",IF(NOT(ISNA(VLOOKUP(E316,E$1:E315,1,FALSE()))),"OLD",IF(AND(E316&lt;&gt;"",E316&lt;&gt;"!!!"),"NEW","")))</f>
        <v/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/>
      </c>
      <c r="H316" s="24" t="str">
        <f ca="1">IF(J316&lt;&gt;1,"",IF(I316="SBJ","CB","?"))</f>
        <v/>
      </c>
      <c r="I316" s="25" t="str">
        <f>IF(OR(E316="",E316="!!!",F316="NEW"),"",INDEX(B$2:B315,-1+SUMPRODUCT(MAX(ROW(E$2:E315)*(E316=E$2:E315)))))</f>
        <v/>
      </c>
      <c r="J316" s="25" t="str">
        <f ca="1">IF(OR(E316="",E316="!!!",F316="NEW"),"",COUNTBLANK(OFFSET(A$1,,,SUMPRODUCT(MAX(ROW(E$2:E316)*(E316=E$2:E316)))))-COUNTBLANK(OFFSET(A$1,,,SUMPRODUCT(MAX(ROW(E$1:E315)*(E2=E$1:E315))))))</f>
        <v/>
      </c>
      <c r="K316" s="25" t="str">
        <f>IF(OR(E316="",E316="!!!",F316="NEW"),"",INDEX(J$1:J315,SUMPRODUCT(MAX(ROW(E$1:E315)*(E316=E$1:E315)))))</f>
        <v/>
      </c>
      <c r="L316" s="26"/>
    </row>
    <row r="317" spans="1:12" x14ac:dyDescent="0.3">
      <c r="A317" t="s">
        <v>348</v>
      </c>
      <c r="B317" s="20" t="s">
        <v>166</v>
      </c>
      <c r="C317" s="20" t="s">
        <v>175</v>
      </c>
      <c r="E317" s="21" t="str">
        <f>IF(D317="?OLD","!!!","")</f>
        <v/>
      </c>
      <c r="F317" s="22" t="str">
        <f>IF(OR(E317="",E317="!!!"),"",IF(NOT(ISNA(VLOOKUP(E317,E$1:E316,1,FALSE()))),"OLD",IF(AND(E317&lt;&gt;"",E317&lt;&gt;"!!!"),"NEW","")))</f>
        <v/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/>
      </c>
      <c r="H317" s="24" t="str">
        <f ca="1">IF(J317&lt;&gt;1,"",IF(I317="SBJ","CB","?"))</f>
        <v/>
      </c>
      <c r="I317" s="25" t="str">
        <f>IF(OR(E317="",E317="!!!",F317="NEW"),"",INDEX(B$2:B316,-1+SUMPRODUCT(MAX(ROW(E$2:E316)*(E317=E$2:E316)))))</f>
        <v/>
      </c>
      <c r="J317" s="25" t="str">
        <f ca="1">IF(OR(E317="",E317="!!!",F317="NEW"),"",COUNTBLANK(OFFSET(A$1,,,SUMPRODUCT(MAX(ROW(E$2:E317)*(E317=E$2:E317)))))-COUNTBLANK(OFFSET(A$1,,,SUMPRODUCT(MAX(ROW(E$1:E316)*(E2=E$1:E316))))))</f>
        <v/>
      </c>
      <c r="K317" s="25" t="str">
        <f>IF(OR(E317="",E317="!!!",F317="NEW"),"",INDEX(J$1:J316,SUMPRODUCT(MAX(ROW(E$1:E316)*(E317=E$1:E316)))))</f>
        <v/>
      </c>
      <c r="L317" s="26"/>
    </row>
    <row r="318" spans="1:12" x14ac:dyDescent="0.3">
      <c r="A318" t="s">
        <v>218</v>
      </c>
      <c r="E318" s="21" t="str">
        <f>IF(D318="?OLD","!!!","")</f>
        <v/>
      </c>
      <c r="F318" s="22" t="str">
        <f>IF(OR(E318="",E318="!!!"),"",IF(NOT(ISNA(VLOOKUP(E318,E$1:E317,1,FALSE()))),"OLD",IF(AND(E318&lt;&gt;"",E318&lt;&gt;"!!!"),"NEW","")))</f>
        <v/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/>
      </c>
      <c r="H318" s="24" t="str">
        <f ca="1">IF(J318&lt;&gt;1,"",IF(I318="SBJ","CB","?"))</f>
        <v/>
      </c>
      <c r="I318" s="25" t="str">
        <f>IF(OR(E318="",E318="!!!",F318="NEW"),"",INDEX(B$2:B317,-1+SUMPRODUCT(MAX(ROW(E$2:E317)*(E318=E$2:E317)))))</f>
        <v/>
      </c>
      <c r="J318" s="25" t="str">
        <f ca="1">IF(OR(E318="",E318="!!!",F318="NEW"),"",COUNTBLANK(OFFSET(A$1,,,SUMPRODUCT(MAX(ROW(E$2:E318)*(E318=E$2:E318)))))-COUNTBLANK(OFFSET(A$1,,,SUMPRODUCT(MAX(ROW(E$1:E317)*(E2=E$1:E317))))))</f>
        <v/>
      </c>
      <c r="K318" s="25" t="str">
        <f>IF(OR(E318="",E318="!!!",F318="NEW"),"",INDEX(J$1:J317,SUMPRODUCT(MAX(ROW(E$1:E317)*(E318=E$1:E317)))))</f>
        <v/>
      </c>
      <c r="L318" s="26"/>
    </row>
    <row r="319" spans="1:12" x14ac:dyDescent="0.3">
      <c r="A319" t="s">
        <v>349</v>
      </c>
      <c r="E319" s="21" t="str">
        <f>IF(D319="?OLD","!!!","")</f>
        <v/>
      </c>
      <c r="F319" s="22" t="str">
        <f>IF(OR(E319="",E319="!!!"),"",IF(NOT(ISNA(VLOOKUP(E319,E$1:E318,1,FALSE()))),"OLD",IF(AND(E319&lt;&gt;"",E319&lt;&gt;"!!!"),"NEW","")))</f>
        <v/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/>
      </c>
      <c r="H319" s="24" t="str">
        <f ca="1">IF(J319&lt;&gt;1,"",IF(I319="SBJ","CB","?"))</f>
        <v/>
      </c>
      <c r="I319" s="25" t="str">
        <f>IF(OR(E319="",E319="!!!",F319="NEW"),"",INDEX(B$2:B318,-1+SUMPRODUCT(MAX(ROW(E$2:E318)*(E319=E$2:E318)))))</f>
        <v/>
      </c>
      <c r="J319" s="25" t="str">
        <f ca="1">IF(OR(E319="",E319="!!!",F319="NEW"),"",COUNTBLANK(OFFSET(A$1,,,SUMPRODUCT(MAX(ROW(E$2:E319)*(E319=E$2:E319)))))-COUNTBLANK(OFFSET(A$1,,,SUMPRODUCT(MAX(ROW(E$1:E318)*(E2=E$1:E318))))))</f>
        <v/>
      </c>
      <c r="K319" s="25" t="str">
        <f>IF(OR(E319="",E319="!!!",F319="NEW"),"",INDEX(J$1:J318,SUMPRODUCT(MAX(ROW(E$1:E318)*(E319=E$1:E318)))))</f>
        <v/>
      </c>
      <c r="L319" s="26"/>
    </row>
    <row r="320" spans="1:12" x14ac:dyDescent="0.3">
      <c r="A320" t="s">
        <v>197</v>
      </c>
      <c r="E320" s="21" t="str">
        <f>IF(D320="?OLD","!!!","")</f>
        <v/>
      </c>
      <c r="F320" s="22" t="str">
        <f>IF(OR(E320="",E320="!!!"),"",IF(NOT(ISNA(VLOOKUP(E320,E$1:E319,1,FALSE()))),"OLD",IF(AND(E320&lt;&gt;"",E320&lt;&gt;"!!!"),"NEW","")))</f>
        <v/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/>
      </c>
      <c r="H320" s="24" t="str">
        <f ca="1">IF(J320&lt;&gt;1,"",IF(I320="SBJ","CB","?"))</f>
        <v/>
      </c>
      <c r="I320" s="25" t="str">
        <f>IF(OR(E320="",E320="!!!",F320="NEW"),"",INDEX(B$2:B319,-1+SUMPRODUCT(MAX(ROW(E$2:E319)*(E320=E$2:E319)))))</f>
        <v/>
      </c>
      <c r="J320" s="25" t="str">
        <f ca="1">IF(OR(E320="",E320="!!!",F320="NEW"),"",COUNTBLANK(OFFSET(A$1,,,SUMPRODUCT(MAX(ROW(E$2:E320)*(E320=E$2:E320)))))-COUNTBLANK(OFFSET(A$1,,,SUMPRODUCT(MAX(ROW(E$1:E319)*(E2=E$1:E319))))))</f>
        <v/>
      </c>
      <c r="K320" s="25" t="str">
        <f>IF(OR(E320="",E320="!!!",F320="NEW"),"",INDEX(J$1:J319,SUMPRODUCT(MAX(ROW(E$1:E319)*(E320=E$1:E319)))))</f>
        <v/>
      </c>
      <c r="L320" s="26"/>
    </row>
    <row r="322" spans="1:12" x14ac:dyDescent="0.3">
      <c r="A322" t="s">
        <v>350</v>
      </c>
    </row>
    <row r="323" spans="1:12" x14ac:dyDescent="0.3">
      <c r="A323" t="s">
        <v>314</v>
      </c>
      <c r="B323" s="20" t="s">
        <v>166</v>
      </c>
      <c r="C323" s="20" t="s">
        <v>242</v>
      </c>
      <c r="D323" s="20" t="s">
        <v>171</v>
      </c>
      <c r="E323" s="21"/>
      <c r="F323" s="22" t="s">
        <v>471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/>
      </c>
      <c r="H323" s="24" t="str">
        <f t="shared" ref="H323:H333" ca="1" si="32">IF(J323&lt;&gt;1,"",IF(I323="SBJ","CB","?"))</f>
        <v/>
      </c>
      <c r="I323" s="25" t="str">
        <f>IF(OR(E323="",E323="!!!",F323="NEW"),"",INDEX(B$2:B322,-1+SUMPRODUCT(MAX(ROW(E$2:E322)*(E323=E$2:E322)))))</f>
        <v/>
      </c>
      <c r="J323" s="25" t="str">
        <f ca="1">IF(OR(E323="",E323="!!!",F323="NEW"),"",COUNTBLANK(OFFSET(A$1,,,SUMPRODUCT(MAX(ROW(E$2:E323)*(E323=E$2:E323)))))-COUNTBLANK(OFFSET(A$1,,,SUMPRODUCT(MAX(ROW(E$1:E322)*(E2=E$1:E322))))))</f>
        <v/>
      </c>
      <c r="K323" s="25" t="str">
        <f>IF(OR(E323="",E323="!!!",F323="NEW"),"",INDEX(J$1:J322,SUMPRODUCT(MAX(ROW(E$1:E322)*(E323=E$1:E322)))))</f>
        <v/>
      </c>
      <c r="L323" s="26"/>
    </row>
    <row r="324" spans="1:12" x14ac:dyDescent="0.3">
      <c r="A324" t="s">
        <v>234</v>
      </c>
      <c r="E324" s="21" t="str">
        <f t="shared" ref="E324:E333" si="33">IF(D324="?OLD","!!!","")</f>
        <v/>
      </c>
      <c r="F324" s="22" t="str">
        <f>IF(OR(E324="",E324="!!!"),"",IF(NOT(ISNA(VLOOKUP(E324,E$1:E323,1,FALSE()))),"OLD",IF(AND(E324&lt;&gt;"",E324&lt;&gt;"!!!"),"NEW","")))</f>
        <v/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/>
      </c>
      <c r="H324" s="24" t="str">
        <f t="shared" ca="1" si="32"/>
        <v/>
      </c>
      <c r="I324" s="25" t="str">
        <f>IF(OR(E324="",E324="!!!",F324="NEW"),"",INDEX(B$2:B323,-1+SUMPRODUCT(MAX(ROW(E$2:E323)*(E324=E$2:E323)))))</f>
        <v/>
      </c>
      <c r="J324" s="25" t="str">
        <f ca="1">IF(OR(E324="",E324="!!!",F324="NEW"),"",COUNTBLANK(OFFSET(A$1,,,SUMPRODUCT(MAX(ROW(E$2:E324)*(E324=E$2:E324)))))-COUNTBLANK(OFFSET(A$1,,,SUMPRODUCT(MAX(ROW(E$1:E323)*(E2=E$1:E323))))))</f>
        <v/>
      </c>
      <c r="K324" s="25" t="str">
        <f>IF(OR(E324="",E324="!!!",F324="NEW"),"",INDEX(J$1:J323,SUMPRODUCT(MAX(ROW(E$1:E323)*(E324=E$1:E323)))))</f>
        <v/>
      </c>
      <c r="L324" s="26"/>
    </row>
    <row r="325" spans="1:12" x14ac:dyDescent="0.3">
      <c r="A325" t="s">
        <v>351</v>
      </c>
      <c r="E325" s="21" t="str">
        <f t="shared" si="33"/>
        <v/>
      </c>
      <c r="F325" s="22" t="str">
        <f>IF(OR(E325="",E325="!!!"),"",IF(NOT(ISNA(VLOOKUP(E325,E$1:E324,1,FALSE()))),"OLD",IF(AND(E325&lt;&gt;"",E325&lt;&gt;"!!!"),"NEW","")))</f>
        <v/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/>
      </c>
      <c r="H325" s="24" t="str">
        <f t="shared" ca="1" si="32"/>
        <v/>
      </c>
      <c r="I325" s="25" t="str">
        <f>IF(OR(E325="",E325="!!!",F325="NEW"),"",INDEX(B$2:B324,-1+SUMPRODUCT(MAX(ROW(E$2:E324)*(E325=E$2:E324)))))</f>
        <v/>
      </c>
      <c r="J325" s="25" t="str">
        <f ca="1">IF(OR(E325="",E325="!!!",F325="NEW"),"",COUNTBLANK(OFFSET(A$1,,,SUMPRODUCT(MAX(ROW(E$2:E325)*(E325=E$2:E325)))))-COUNTBLANK(OFFSET(A$1,,,SUMPRODUCT(MAX(ROW(E$1:E324)*(E2=E$1:E324))))))</f>
        <v/>
      </c>
      <c r="K325" s="25" t="str">
        <f>IF(OR(E325="",E325="!!!",F325="NEW"),"",INDEX(J$1:J324,SUMPRODUCT(MAX(ROW(E$1:E324)*(E325=E$1:E324)))))</f>
        <v/>
      </c>
      <c r="L325" s="26"/>
    </row>
    <row r="326" spans="1:12" x14ac:dyDescent="0.3">
      <c r="A326" t="s">
        <v>206</v>
      </c>
      <c r="E326" s="21" t="str">
        <f t="shared" si="33"/>
        <v/>
      </c>
      <c r="F326" s="22" t="str">
        <f>IF(OR(E326="",E326="!!!"),"",IF(NOT(ISNA(VLOOKUP(E326,E$1:E325,1,FALSE()))),"OLD",IF(AND(E326&lt;&gt;"",E326&lt;&gt;"!!!"),"NEW","")))</f>
        <v/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/>
      </c>
      <c r="H326" s="24" t="str">
        <f t="shared" ca="1" si="32"/>
        <v/>
      </c>
      <c r="I326" s="25" t="str">
        <f>IF(OR(E326="",E326="!!!",F326="NEW"),"",INDEX(B$2:B325,-1+SUMPRODUCT(MAX(ROW(E$2:E325)*(E326=E$2:E325)))))</f>
        <v/>
      </c>
      <c r="J326" s="25" t="str">
        <f ca="1">IF(OR(E326="",E326="!!!",F326="NEW"),"",COUNTBLANK(OFFSET(A$1,,,SUMPRODUCT(MAX(ROW(E$2:E326)*(E326=E$2:E326)))))-COUNTBLANK(OFFSET(A$1,,,SUMPRODUCT(MAX(ROW(E$1:E325)*(E2=E$1:E325))))))</f>
        <v/>
      </c>
      <c r="K326" s="25" t="str">
        <f>IF(OR(E326="",E326="!!!",F326="NEW"),"",INDEX(J$1:J325,SUMPRODUCT(MAX(ROW(E$1:E325)*(E326=E$1:E325)))))</f>
        <v/>
      </c>
      <c r="L326" s="26"/>
    </row>
    <row r="327" spans="1:12" x14ac:dyDescent="0.3">
      <c r="A327" t="s">
        <v>352</v>
      </c>
      <c r="E327" s="21" t="str">
        <f t="shared" si="33"/>
        <v/>
      </c>
      <c r="F327" s="22" t="str">
        <f>IF(OR(E327="",E327="!!!"),"",IF(NOT(ISNA(VLOOKUP(E327,E$1:E326,1,FALSE()))),"OLD",IF(AND(E327&lt;&gt;"",E327&lt;&gt;"!!!"),"NEW","")))</f>
        <v/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/>
      </c>
      <c r="H327" s="24" t="str">
        <f t="shared" ca="1" si="32"/>
        <v/>
      </c>
      <c r="I327" s="25" t="str">
        <f>IF(OR(E327="",E327="!!!",F327="NEW"),"",INDEX(B$2:B326,-1+SUMPRODUCT(MAX(ROW(E$2:E326)*(E327=E$2:E326)))))</f>
        <v/>
      </c>
      <c r="J327" s="25" t="str">
        <f ca="1">IF(OR(E327="",E327="!!!",F327="NEW"),"",COUNTBLANK(OFFSET(A$1,,,SUMPRODUCT(MAX(ROW(E$2:E327)*(E327=E$2:E327)))))-COUNTBLANK(OFFSET(A$1,,,SUMPRODUCT(MAX(ROW(E$1:E326)*(E2=E$1:E326))))))</f>
        <v/>
      </c>
      <c r="K327" s="25" t="str">
        <f>IF(OR(E327="",E327="!!!",F327="NEW"),"",INDEX(J$1:J326,SUMPRODUCT(MAX(ROW(E$1:E326)*(E327=E$1:E326)))))</f>
        <v/>
      </c>
      <c r="L327" s="26"/>
    </row>
    <row r="328" spans="1:12" x14ac:dyDescent="0.3">
      <c r="A328" t="s">
        <v>353</v>
      </c>
      <c r="B328" s="20" t="s">
        <v>209</v>
      </c>
      <c r="C328" s="20" t="s">
        <v>184</v>
      </c>
      <c r="D328" s="20" t="s">
        <v>171</v>
      </c>
      <c r="E328" s="21"/>
      <c r="F328" s="22" t="s">
        <v>486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/>
      </c>
      <c r="H328" s="24" t="str">
        <f t="shared" ca="1" si="32"/>
        <v/>
      </c>
      <c r="I328" s="25" t="str">
        <f>IF(OR(E328="",E328="!!!",F328="NEW"),"",INDEX(B$2:B327,-1+SUMPRODUCT(MAX(ROW(E$2:E327)*(E328=E$2:E327)))))</f>
        <v/>
      </c>
      <c r="J328" s="25" t="str">
        <f ca="1">IF(OR(E328="",E328="!!!",F328="NEW"),"",COUNTBLANK(OFFSET(A$1,,,SUMPRODUCT(MAX(ROW(E$2:E328)*(E328=E$2:E328)))))-COUNTBLANK(OFFSET(A$1,,,SUMPRODUCT(MAX(ROW(E$1:E327)*(E2=E$1:E327))))))</f>
        <v/>
      </c>
      <c r="K328" s="25" t="str">
        <f>IF(OR(E328="",E328="!!!",F328="NEW"),"",INDEX(J$1:J327,SUMPRODUCT(MAX(ROW(E$1:E327)*(E328=E$1:E327)))))</f>
        <v/>
      </c>
      <c r="L328" s="26"/>
    </row>
    <row r="329" spans="1:12" x14ac:dyDescent="0.3">
      <c r="A329" t="s">
        <v>193</v>
      </c>
      <c r="E329" s="21" t="str">
        <f t="shared" si="33"/>
        <v/>
      </c>
      <c r="F329" s="22" t="str">
        <f>IF(OR(E329="",E329="!!!"),"",IF(NOT(ISNA(VLOOKUP(E329,E$1:E328,1,FALSE()))),"OLD",IF(AND(E329&lt;&gt;"",E329&lt;&gt;"!!!"),"NEW","")))</f>
        <v/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/>
      </c>
      <c r="H329" s="24" t="str">
        <f t="shared" ca="1" si="32"/>
        <v/>
      </c>
      <c r="I329" s="25" t="str">
        <f>IF(OR(E329="",E329="!!!",F329="NEW"),"",INDEX(B$2:B328,-1+SUMPRODUCT(MAX(ROW(E$2:E328)*(E329=E$2:E328)))))</f>
        <v/>
      </c>
      <c r="J329" s="25" t="str">
        <f ca="1">IF(OR(E329="",E329="!!!",F329="NEW"),"",COUNTBLANK(OFFSET(A$1,,,SUMPRODUCT(MAX(ROW(E$2:E329)*(E329=E$2:E329)))))-COUNTBLANK(OFFSET(A$1,,,SUMPRODUCT(MAX(ROW(E$1:E328)*(E2=E$1:E328))))))</f>
        <v/>
      </c>
      <c r="K329" s="25" t="str">
        <f>IF(OR(E329="",E329="!!!",F329="NEW"),"",INDEX(J$1:J328,SUMPRODUCT(MAX(ROW(E$1:E328)*(E329=E$1:E328)))))</f>
        <v/>
      </c>
      <c r="L329" s="26"/>
    </row>
    <row r="330" spans="1:12" x14ac:dyDescent="0.3">
      <c r="A330" t="s">
        <v>354</v>
      </c>
      <c r="B330" s="20" t="s">
        <v>215</v>
      </c>
      <c r="C330" s="20" t="s">
        <v>195</v>
      </c>
      <c r="D330" s="20" t="s">
        <v>171</v>
      </c>
      <c r="E330" s="21" t="s">
        <v>496</v>
      </c>
      <c r="F330" s="22" t="str">
        <f>IF(OR(E330="",E330="!!!"),"",IF(NOT(ISNA(VLOOKUP(E330,E$1:E329,1,FALSE()))),"OLD",IF(AND(E330&lt;&gt;"",E330&lt;&gt;"!!!"),"NEW","")))</f>
        <v>NEW</v>
      </c>
      <c r="G330" s="23" t="s">
        <v>509</v>
      </c>
      <c r="H330" s="24" t="str">
        <f t="shared" ca="1" si="32"/>
        <v/>
      </c>
      <c r="I330" s="25" t="str">
        <f>IF(OR(E330="",E330="!!!",F330="NEW"),"",INDEX(B$2:B329,-1+SUMPRODUCT(MAX(ROW(E$2:E329)*(E330=E$2:E329)))))</f>
        <v/>
      </c>
      <c r="J330" s="25" t="str">
        <f ca="1">IF(OR(E330="",E330="!!!",F330="NEW"),"",COUNTBLANK(OFFSET(A$1,,,SUMPRODUCT(MAX(ROW(E$2:E330)*(E330=E$2:E330)))))-COUNTBLANK(OFFSET(A$1,,,SUMPRODUCT(MAX(ROW(E$1:E329)*(E2=E$1:E329))))))</f>
        <v/>
      </c>
      <c r="K330" s="25" t="str">
        <f>IF(OR(E330="",E330="!!!",F330="NEW"),"",INDEX(J$1:J329,SUMPRODUCT(MAX(ROW(E$1:E329)*(E330=E$1:E329)))))</f>
        <v/>
      </c>
      <c r="L330" s="26"/>
    </row>
    <row r="331" spans="1:12" x14ac:dyDescent="0.3">
      <c r="A331" t="s">
        <v>355</v>
      </c>
      <c r="E331" s="21" t="str">
        <f t="shared" si="33"/>
        <v/>
      </c>
      <c r="F331" s="22" t="str">
        <f>IF(OR(E331="",E331="!!!"),"",IF(NOT(ISNA(VLOOKUP(E331,E$1:E330,1,FALSE()))),"OLD",IF(AND(E331&lt;&gt;"",E331&lt;&gt;"!!!"),"NEW","")))</f>
        <v/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/>
      </c>
      <c r="H331" s="24" t="str">
        <f t="shared" ca="1" si="32"/>
        <v/>
      </c>
      <c r="I331" s="25" t="str">
        <f>IF(OR(E331="",E331="!!!",F331="NEW"),"",INDEX(B$2:B330,-1+SUMPRODUCT(MAX(ROW(E$2:E330)*(E331=E$2:E330)))))</f>
        <v/>
      </c>
      <c r="J331" s="25" t="str">
        <f ca="1">IF(OR(E331="",E331="!!!",F331="NEW"),"",COUNTBLANK(OFFSET(A$1,,,SUMPRODUCT(MAX(ROW(E$2:E331)*(E331=E$2:E331)))))-COUNTBLANK(OFFSET(A$1,,,SUMPRODUCT(MAX(ROW(E$1:E330)*(E2=E$1:E330))))))</f>
        <v/>
      </c>
      <c r="K331" s="25" t="str">
        <f>IF(OR(E331="",E331="!!!",F331="NEW"),"",INDEX(J$1:J330,SUMPRODUCT(MAX(ROW(E$1:E330)*(E331=E$1:E330)))))</f>
        <v/>
      </c>
      <c r="L331" s="26"/>
    </row>
    <row r="332" spans="1:12" x14ac:dyDescent="0.3">
      <c r="A332" t="s">
        <v>98</v>
      </c>
      <c r="E332" s="21" t="str">
        <f t="shared" si="33"/>
        <v/>
      </c>
      <c r="F332" s="22" t="str">
        <f>IF(OR(E332="",E332="!!!"),"",IF(NOT(ISNA(VLOOKUP(E332,E$1:E331,1,FALSE()))),"OLD",IF(AND(E332&lt;&gt;"",E332&lt;&gt;"!!!"),"NEW","")))</f>
        <v/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/>
      </c>
      <c r="H332" s="24" t="str">
        <f t="shared" ca="1" si="32"/>
        <v/>
      </c>
      <c r="I332" s="25" t="str">
        <f>IF(OR(E332="",E332="!!!",F332="NEW"),"",INDEX(B$2:B331,-1+SUMPRODUCT(MAX(ROW(E$2:E331)*(E332=E$2:E331)))))</f>
        <v/>
      </c>
      <c r="J332" s="25" t="str">
        <f ca="1">IF(OR(E332="",E332="!!!",F332="NEW"),"",COUNTBLANK(OFFSET(A$1,,,SUMPRODUCT(MAX(ROW(E$2:E332)*(E332=E$2:E332)))))-COUNTBLANK(OFFSET(A$1,,,SUMPRODUCT(MAX(ROW(E$1:E331)*(E2=E$1:E331))))))</f>
        <v/>
      </c>
      <c r="K332" s="25" t="str">
        <f>IF(OR(E332="",E332="!!!",F332="NEW"),"",INDEX(J$1:J331,SUMPRODUCT(MAX(ROW(E$1:E331)*(E332=E$1:E331)))))</f>
        <v/>
      </c>
      <c r="L332" s="26"/>
    </row>
    <row r="333" spans="1:12" x14ac:dyDescent="0.3">
      <c r="A333" t="s">
        <v>197</v>
      </c>
      <c r="E333" s="21" t="str">
        <f t="shared" si="33"/>
        <v/>
      </c>
      <c r="F333" s="22" t="str">
        <f>IF(OR(E333="",E333="!!!"),"",IF(NOT(ISNA(VLOOKUP(E333,E$1:E332,1,FALSE()))),"OLD",IF(AND(E333&lt;&gt;"",E333&lt;&gt;"!!!"),"NEW","")))</f>
        <v/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/>
      </c>
      <c r="H333" s="24" t="str">
        <f t="shared" ca="1" si="32"/>
        <v/>
      </c>
      <c r="I333" s="25" t="str">
        <f>IF(OR(E333="",E333="!!!",F333="NEW"),"",INDEX(B$2:B332,-1+SUMPRODUCT(MAX(ROW(E$2:E332)*(E333=E$2:E332)))))</f>
        <v/>
      </c>
      <c r="J333" s="25" t="str">
        <f ca="1">IF(OR(E333="",E333="!!!",F333="NEW"),"",COUNTBLANK(OFFSET(A$1,,,SUMPRODUCT(MAX(ROW(E$2:E333)*(E333=E$2:E333)))))-COUNTBLANK(OFFSET(A$1,,,SUMPRODUCT(MAX(ROW(E$1:E332)*(E2=E$1:E332))))))</f>
        <v/>
      </c>
      <c r="K333" s="25" t="str">
        <f>IF(OR(E333="",E333="!!!",F333="NEW"),"",INDEX(J$1:J332,SUMPRODUCT(MAX(ROW(E$1:E332)*(E333=E$1:E332)))))</f>
        <v/>
      </c>
      <c r="L333" s="26"/>
    </row>
    <row r="335" spans="1:12" x14ac:dyDescent="0.3">
      <c r="A335" t="s">
        <v>356</v>
      </c>
    </row>
    <row r="336" spans="1:12" x14ac:dyDescent="0.3">
      <c r="A336" t="s">
        <v>232</v>
      </c>
      <c r="E336" s="21" t="str">
        <f t="shared" ref="E336:E356" si="34">IF(D336="?OLD","!!!","")</f>
        <v/>
      </c>
      <c r="F336" s="22" t="str">
        <f>IF(OR(E336="",E336="!!!"),"",IF(NOT(ISNA(VLOOKUP(E336,E$1:E335,1,FALSE()))),"OLD",IF(AND(E336&lt;&gt;"",E336&lt;&gt;"!!!"),"NEW","")))</f>
        <v/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/>
      </c>
      <c r="H336" s="24" t="str">
        <f t="shared" ref="H336:H356" ca="1" si="35">IF(J336&lt;&gt;1,"",IF(I336="SBJ","CB","?"))</f>
        <v/>
      </c>
      <c r="I336" s="25" t="str">
        <f>IF(OR(E336="",E336="!!!",F336="NEW"),"",INDEX(B$2:B335,-1+SUMPRODUCT(MAX(ROW(E$2:E335)*(E336=E$2:E335)))))</f>
        <v/>
      </c>
      <c r="J336" s="25" t="str">
        <f ca="1">IF(OR(E336="",E336="!!!",F336="NEW"),"",COUNTBLANK(OFFSET(A$1,,,SUMPRODUCT(MAX(ROW(E$2:E336)*(E336=E$2:E336)))))-COUNTBLANK(OFFSET(A$1,,,SUMPRODUCT(MAX(ROW(E$1:E335)*(E2=E$1:E335))))))</f>
        <v/>
      </c>
      <c r="K336" s="25" t="str">
        <f>IF(OR(E336="",E336="!!!",F336="NEW"),"",INDEX(J$1:J335,SUMPRODUCT(MAX(ROW(E$1:E335)*(E336=E$1:E335)))))</f>
        <v/>
      </c>
      <c r="L336" s="26"/>
    </row>
    <row r="337" spans="1:12" x14ac:dyDescent="0.3">
      <c r="A337" t="s">
        <v>308</v>
      </c>
      <c r="E337" s="21" t="str">
        <f t="shared" si="34"/>
        <v/>
      </c>
      <c r="F337" s="22" t="str">
        <f>IF(OR(E337="",E337="!!!"),"",IF(NOT(ISNA(VLOOKUP(E337,E$1:E336,1,FALSE()))),"OLD",IF(AND(E337&lt;&gt;"",E337&lt;&gt;"!!!"),"NEW","")))</f>
        <v/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/>
      </c>
      <c r="H337" s="24" t="str">
        <f t="shared" ca="1" si="35"/>
        <v/>
      </c>
      <c r="I337" s="25" t="str">
        <f>IF(OR(E337="",E337="!!!",F337="NEW"),"",INDEX(B$2:B336,-1+SUMPRODUCT(MAX(ROW(E$2:E336)*(E337=E$2:E336)))))</f>
        <v/>
      </c>
      <c r="J337" s="25" t="str">
        <f ca="1">IF(OR(E337="",E337="!!!",F337="NEW"),"",COUNTBLANK(OFFSET(A$1,,,SUMPRODUCT(MAX(ROW(E$2:E337)*(E337=E$2:E337)))))-COUNTBLANK(OFFSET(A$1,,,SUMPRODUCT(MAX(ROW(E$1:E336)*(E2=E$1:E336))))))</f>
        <v/>
      </c>
      <c r="K337" s="25" t="str">
        <f>IF(OR(E337="",E337="!!!",F337="NEW"),"",INDEX(J$1:J336,SUMPRODUCT(MAX(ROW(E$1:E336)*(E337=E$1:E336)))))</f>
        <v/>
      </c>
      <c r="L337" s="26"/>
    </row>
    <row r="338" spans="1:12" x14ac:dyDescent="0.3">
      <c r="A338" t="s">
        <v>357</v>
      </c>
      <c r="E338" s="21" t="str">
        <f t="shared" si="34"/>
        <v/>
      </c>
      <c r="F338" s="22" t="str">
        <f>IF(OR(E338="",E338="!!!"),"",IF(NOT(ISNA(VLOOKUP(E338,E$1:E337,1,FALSE()))),"OLD",IF(AND(E338&lt;&gt;"",E338&lt;&gt;"!!!"),"NEW","")))</f>
        <v/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/>
      </c>
      <c r="H338" s="24" t="str">
        <f t="shared" ca="1" si="35"/>
        <v/>
      </c>
      <c r="I338" s="25" t="str">
        <f>IF(OR(E338="",E338="!!!",F338="NEW"),"",INDEX(B$2:B337,-1+SUMPRODUCT(MAX(ROW(E$2:E337)*(E338=E$2:E337)))))</f>
        <v/>
      </c>
      <c r="J338" s="25" t="str">
        <f ca="1">IF(OR(E338="",E338="!!!",F338="NEW"),"",COUNTBLANK(OFFSET(A$1,,,SUMPRODUCT(MAX(ROW(E$2:E338)*(E338=E$2:E338)))))-COUNTBLANK(OFFSET(A$1,,,SUMPRODUCT(MAX(ROW(E$1:E337)*(E2=E$1:E337))))))</f>
        <v/>
      </c>
      <c r="K338" s="25" t="str">
        <f>IF(OR(E338="",E338="!!!",F338="NEW"),"",INDEX(J$1:J337,SUMPRODUCT(MAX(ROW(E$1:E337)*(E338=E$1:E337)))))</f>
        <v/>
      </c>
      <c r="L338" s="26"/>
    </row>
    <row r="339" spans="1:12" x14ac:dyDescent="0.3">
      <c r="A339" t="s">
        <v>305</v>
      </c>
      <c r="E339" s="21" t="str">
        <f t="shared" si="34"/>
        <v/>
      </c>
      <c r="F339" s="22" t="str">
        <f>IF(OR(E339="",E339="!!!"),"",IF(NOT(ISNA(VLOOKUP(E339,E$1:E338,1,FALSE()))),"OLD",IF(AND(E339&lt;&gt;"",E339&lt;&gt;"!!!"),"NEW","")))</f>
        <v/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/>
      </c>
      <c r="H339" s="24" t="str">
        <f t="shared" ca="1" si="35"/>
        <v/>
      </c>
      <c r="I339" s="25" t="str">
        <f>IF(OR(E339="",E339="!!!",F339="NEW"),"",INDEX(B$2:B338,-1+SUMPRODUCT(MAX(ROW(E$2:E338)*(E339=E$2:E338)))))</f>
        <v/>
      </c>
      <c r="J339" s="25" t="str">
        <f ca="1">IF(OR(E339="",E339="!!!",F339="NEW"),"",COUNTBLANK(OFFSET(A$1,,,SUMPRODUCT(MAX(ROW(E$2:E339)*(E339=E$2:E339)))))-COUNTBLANK(OFFSET(A$1,,,SUMPRODUCT(MAX(ROW(E$1:E338)*(E2=E$1:E338))))))</f>
        <v/>
      </c>
      <c r="K339" s="25" t="str">
        <f>IF(OR(E339="",E339="!!!",F339="NEW"),"",INDEX(J$1:J338,SUMPRODUCT(MAX(ROW(E$1:E338)*(E339=E$1:E338)))))</f>
        <v/>
      </c>
      <c r="L339" s="26"/>
    </row>
    <row r="340" spans="1:12" x14ac:dyDescent="0.3">
      <c r="A340" t="s">
        <v>358</v>
      </c>
      <c r="B340" s="20" t="s">
        <v>166</v>
      </c>
      <c r="C340" s="20" t="s">
        <v>195</v>
      </c>
      <c r="D340" s="20" t="s">
        <v>171</v>
      </c>
      <c r="E340" s="21" t="s">
        <v>491</v>
      </c>
      <c r="F340" s="22" t="str">
        <f>IF(OR(E340="",E340="!!!"),"",IF(NOT(ISNA(VLOOKUP(E340,E$1:E339,1,FALSE()))),"OLD",IF(AND(E340&lt;&gt;"",E340&lt;&gt;"!!!"),"NEW","")))</f>
        <v>OLD</v>
      </c>
      <c r="G340" s="23" t="s">
        <v>509</v>
      </c>
      <c r="H340" s="24" t="str">
        <f t="shared" ca="1" si="35"/>
        <v/>
      </c>
      <c r="I340" s="25" t="str">
        <f>IF(OR(E340="",E340="!!!",F340="NEW"),"",INDEX(B$2:B339,-1+SUMPRODUCT(MAX(ROW(E$2:E339)*(E340=E$2:E339)))))</f>
        <v>SBJ_2</v>
      </c>
      <c r="J340" s="25">
        <f ca="1">IF(OR(E340="",E340="!!!",F340="NEW"),"",COUNTBLANK(OFFSET(A$1,,,SUMPRODUCT(MAX(ROW(E$2:E340)*(E340=E$2:E340)))))-COUNTBLANK(OFFSET(A$1,,,SUMPRODUCT(MAX(ROW(E$1:E339)*(E2=E$1:E339))))))</f>
        <v>0</v>
      </c>
      <c r="K340" s="25">
        <f ca="1">IF(OR(E340="",E340="!!!",F340="NEW"),"",INDEX(J$1:J339,SUMPRODUCT(MAX(ROW(E$1:E339)*(E340=E$1:E339)))))</f>
        <v>0</v>
      </c>
      <c r="L340" s="26"/>
    </row>
    <row r="341" spans="1:12" x14ac:dyDescent="0.3">
      <c r="A341" t="s">
        <v>359</v>
      </c>
      <c r="E341" s="21" t="str">
        <f t="shared" si="34"/>
        <v/>
      </c>
      <c r="F341" s="22" t="str">
        <f>IF(OR(E341="",E341="!!!"),"",IF(NOT(ISNA(VLOOKUP(E341,E$1:E340,1,FALSE()))),"OLD",IF(AND(E341&lt;&gt;"",E341&lt;&gt;"!!!"),"NEW","")))</f>
        <v/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/>
      </c>
      <c r="H341" s="24" t="str">
        <f t="shared" ca="1" si="35"/>
        <v/>
      </c>
      <c r="I341" s="25" t="str">
        <f>IF(OR(E341="",E341="!!!",F341="NEW"),"",INDEX(B$2:B340,-1+SUMPRODUCT(MAX(ROW(E$2:E340)*(E341=E$2:E340)))))</f>
        <v/>
      </c>
      <c r="J341" s="25" t="str">
        <f ca="1">IF(OR(E341="",E341="!!!",F341="NEW"),"",COUNTBLANK(OFFSET(A$1,,,SUMPRODUCT(MAX(ROW(E$2:E341)*(E341=E$2:E341)))))-COUNTBLANK(OFFSET(A$1,,,SUMPRODUCT(MAX(ROW(E$1:E340)*(E2=E$1:E340))))))</f>
        <v/>
      </c>
      <c r="K341" s="25" t="str">
        <f>IF(OR(E341="",E341="!!!",F341="NEW"),"",INDEX(J$1:J340,SUMPRODUCT(MAX(ROW(E$1:E340)*(E341=E$1:E340)))))</f>
        <v/>
      </c>
      <c r="L341" s="26"/>
    </row>
    <row r="342" spans="1:12" x14ac:dyDescent="0.3">
      <c r="A342" t="s">
        <v>360</v>
      </c>
      <c r="E342" s="21" t="str">
        <f t="shared" si="34"/>
        <v/>
      </c>
      <c r="F342" s="22" t="str">
        <f>IF(OR(E342="",E342="!!!"),"",IF(NOT(ISNA(VLOOKUP(E342,E$1:E341,1,FALSE()))),"OLD",IF(AND(E342&lt;&gt;"",E342&lt;&gt;"!!!"),"NEW","")))</f>
        <v/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/>
      </c>
      <c r="H342" s="24" t="str">
        <f t="shared" ca="1" si="35"/>
        <v/>
      </c>
      <c r="I342" s="25" t="str">
        <f>IF(OR(E342="",E342="!!!",F342="NEW"),"",INDEX(B$2:B341,-1+SUMPRODUCT(MAX(ROW(E$2:E341)*(E342=E$2:E341)))))</f>
        <v/>
      </c>
      <c r="J342" s="25" t="str">
        <f ca="1">IF(OR(E342="",E342="!!!",F342="NEW"),"",COUNTBLANK(OFFSET(A$1,,,SUMPRODUCT(MAX(ROW(E$2:E342)*(E342=E$2:E342)))))-COUNTBLANK(OFFSET(A$1,,,SUMPRODUCT(MAX(ROW(E$1:E341)*(E2=E$1:E341))))))</f>
        <v/>
      </c>
      <c r="K342" s="25" t="str">
        <f>IF(OR(E342="",E342="!!!",F342="NEW"),"",INDEX(J$1:J341,SUMPRODUCT(MAX(ROW(E$1:E341)*(E342=E$1:E341)))))</f>
        <v/>
      </c>
      <c r="L342" s="26"/>
    </row>
    <row r="343" spans="1:12" x14ac:dyDescent="0.3">
      <c r="A343" t="s">
        <v>185</v>
      </c>
      <c r="E343" s="21" t="str">
        <f t="shared" si="34"/>
        <v/>
      </c>
      <c r="F343" s="22" t="str">
        <f>IF(OR(E343="",E343="!!!"),"",IF(NOT(ISNA(VLOOKUP(E343,E$1:E342,1,FALSE()))),"OLD",IF(AND(E343&lt;&gt;"",E343&lt;&gt;"!!!"),"NEW","")))</f>
        <v/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/>
      </c>
      <c r="H343" s="24" t="str">
        <f t="shared" ca="1" si="35"/>
        <v/>
      </c>
      <c r="I343" s="25" t="str">
        <f>IF(OR(E343="",E343="!!!",F343="NEW"),"",INDEX(B$2:B342,-1+SUMPRODUCT(MAX(ROW(E$2:E342)*(E343=E$2:E342)))))</f>
        <v/>
      </c>
      <c r="J343" s="25" t="str">
        <f ca="1">IF(OR(E343="",E343="!!!",F343="NEW"),"",COUNTBLANK(OFFSET(A$1,,,SUMPRODUCT(MAX(ROW(E$2:E343)*(E343=E$2:E343)))))-COUNTBLANK(OFFSET(A$1,,,SUMPRODUCT(MAX(ROW(E$1:E342)*(E2=E$1:E342))))))</f>
        <v/>
      </c>
      <c r="K343" s="25" t="str">
        <f>IF(OR(E343="",E343="!!!",F343="NEW"),"",INDEX(J$1:J342,SUMPRODUCT(MAX(ROW(E$1:E342)*(E343=E$1:E342)))))</f>
        <v/>
      </c>
      <c r="L343" s="26"/>
    </row>
    <row r="344" spans="1:12" x14ac:dyDescent="0.3">
      <c r="A344" t="s">
        <v>361</v>
      </c>
      <c r="E344" s="21" t="str">
        <f t="shared" si="34"/>
        <v/>
      </c>
      <c r="F344" s="22" t="str">
        <f>IF(OR(E344="",E344="!!!"),"",IF(NOT(ISNA(VLOOKUP(E344,E$1:E343,1,FALSE()))),"OLD",IF(AND(E344&lt;&gt;"",E344&lt;&gt;"!!!"),"NEW","")))</f>
        <v/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/>
      </c>
      <c r="H344" s="24" t="str">
        <f t="shared" ca="1" si="35"/>
        <v/>
      </c>
      <c r="I344" s="25" t="str">
        <f>IF(OR(E344="",E344="!!!",F344="NEW"),"",INDEX(B$2:B343,-1+SUMPRODUCT(MAX(ROW(E$2:E343)*(E344=E$2:E343)))))</f>
        <v/>
      </c>
      <c r="J344" s="25" t="str">
        <f ca="1">IF(OR(E344="",E344="!!!",F344="NEW"),"",COUNTBLANK(OFFSET(A$1,,,SUMPRODUCT(MAX(ROW(E$2:E344)*(E344=E$2:E344)))))-COUNTBLANK(OFFSET(A$1,,,SUMPRODUCT(MAX(ROW(E$1:E343)*(E2=E$1:E343))))))</f>
        <v/>
      </c>
      <c r="K344" s="25" t="str">
        <f>IF(OR(E344="",E344="!!!",F344="NEW"),"",INDEX(J$1:J343,SUMPRODUCT(MAX(ROW(E$1:E343)*(E344=E$1:E343)))))</f>
        <v/>
      </c>
      <c r="L344" s="26"/>
    </row>
    <row r="345" spans="1:12" x14ac:dyDescent="0.3">
      <c r="A345" t="s">
        <v>193</v>
      </c>
      <c r="E345" s="21" t="str">
        <f t="shared" si="34"/>
        <v/>
      </c>
      <c r="F345" s="22" t="str">
        <f>IF(OR(E345="",E345="!!!"),"",IF(NOT(ISNA(VLOOKUP(E345,E$1:E344,1,FALSE()))),"OLD",IF(AND(E345&lt;&gt;"",E345&lt;&gt;"!!!"),"NEW","")))</f>
        <v/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/>
      </c>
      <c r="H345" s="24" t="str">
        <f t="shared" ca="1" si="35"/>
        <v/>
      </c>
      <c r="I345" s="25" t="str">
        <f>IF(OR(E345="",E345="!!!",F345="NEW"),"",INDEX(B$2:B344,-1+SUMPRODUCT(MAX(ROW(E$2:E344)*(E345=E$2:E344)))))</f>
        <v/>
      </c>
      <c r="J345" s="25" t="str">
        <f ca="1">IF(OR(E345="",E345="!!!",F345="NEW"),"",COUNTBLANK(OFFSET(A$1,,,SUMPRODUCT(MAX(ROW(E$2:E345)*(E345=E$2:E345)))))-COUNTBLANK(OFFSET(A$1,,,SUMPRODUCT(MAX(ROW(E$1:E344)*(E2=E$1:E344))))))</f>
        <v/>
      </c>
      <c r="K345" s="25" t="str">
        <f>IF(OR(E345="",E345="!!!",F345="NEW"),"",INDEX(J$1:J344,SUMPRODUCT(MAX(ROW(E$1:E344)*(E345=E$1:E344)))))</f>
        <v/>
      </c>
      <c r="L345" s="26"/>
    </row>
    <row r="346" spans="1:12" x14ac:dyDescent="0.3">
      <c r="A346" t="s">
        <v>362</v>
      </c>
      <c r="E346" s="21" t="str">
        <f t="shared" si="34"/>
        <v/>
      </c>
      <c r="F346" s="22" t="str">
        <f>IF(OR(E346="",E346="!!!"),"",IF(NOT(ISNA(VLOOKUP(E346,E$1:E345,1,FALSE()))),"OLD",IF(AND(E346&lt;&gt;"",E346&lt;&gt;"!!!"),"NEW","")))</f>
        <v/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/>
      </c>
      <c r="H346" s="24" t="str">
        <f t="shared" ca="1" si="35"/>
        <v/>
      </c>
      <c r="I346" s="25" t="str">
        <f>IF(OR(E346="",E346="!!!",F346="NEW"),"",INDEX(B$2:B345,-1+SUMPRODUCT(MAX(ROW(E$2:E345)*(E346=E$2:E345)))))</f>
        <v/>
      </c>
      <c r="J346" s="25" t="str">
        <f ca="1">IF(OR(E346="",E346="!!!",F346="NEW"),"",COUNTBLANK(OFFSET(A$1,,,SUMPRODUCT(MAX(ROW(E$2:E346)*(E346=E$2:E346)))))-COUNTBLANK(OFFSET(A$1,,,SUMPRODUCT(MAX(ROW(E$1:E345)*(E2=E$1:E345))))))</f>
        <v/>
      </c>
      <c r="K346" s="25" t="str">
        <f>IF(OR(E346="",E346="!!!",F346="NEW"),"",INDEX(J$1:J345,SUMPRODUCT(MAX(ROW(E$1:E345)*(E346=E$1:E345)))))</f>
        <v/>
      </c>
      <c r="L346" s="26"/>
    </row>
    <row r="347" spans="1:12" x14ac:dyDescent="0.3">
      <c r="A347" t="s">
        <v>363</v>
      </c>
      <c r="E347" s="21" t="str">
        <f t="shared" si="34"/>
        <v/>
      </c>
      <c r="F347" s="22" t="str">
        <f>IF(OR(E347="",E347="!!!"),"",IF(NOT(ISNA(VLOOKUP(E347,E$1:E346,1,FALSE()))),"OLD",IF(AND(E347&lt;&gt;"",E347&lt;&gt;"!!!"),"NEW","")))</f>
        <v/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/>
      </c>
      <c r="H347" s="24" t="str">
        <f t="shared" ca="1" si="35"/>
        <v/>
      </c>
      <c r="I347" s="25" t="str">
        <f>IF(OR(E347="",E347="!!!",F347="NEW"),"",INDEX(B$2:B346,-1+SUMPRODUCT(MAX(ROW(E$2:E346)*(E347=E$2:E346)))))</f>
        <v/>
      </c>
      <c r="J347" s="25" t="str">
        <f ca="1">IF(OR(E347="",E347="!!!",F347="NEW"),"",COUNTBLANK(OFFSET(A$1,,,SUMPRODUCT(MAX(ROW(E$2:E347)*(E347=E$2:E347)))))-COUNTBLANK(OFFSET(A$1,,,SUMPRODUCT(MAX(ROW(E$1:E346)*(E2=E$1:E346))))))</f>
        <v/>
      </c>
      <c r="K347" s="25" t="str">
        <f>IF(OR(E347="",E347="!!!",F347="NEW"),"",INDEX(J$1:J346,SUMPRODUCT(MAX(ROW(E$1:E346)*(E347=E$1:E346)))))</f>
        <v/>
      </c>
      <c r="L347" s="26"/>
    </row>
    <row r="348" spans="1:12" x14ac:dyDescent="0.3">
      <c r="A348" t="s">
        <v>364</v>
      </c>
      <c r="E348" s="21" t="str">
        <f t="shared" si="34"/>
        <v/>
      </c>
      <c r="F348" s="22" t="str">
        <f>IF(OR(E348="",E348="!!!"),"",IF(NOT(ISNA(VLOOKUP(E348,E$1:E347,1,FALSE()))),"OLD",IF(AND(E348&lt;&gt;"",E348&lt;&gt;"!!!"),"NEW","")))</f>
        <v/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/>
      </c>
      <c r="H348" s="24" t="str">
        <f t="shared" ca="1" si="35"/>
        <v/>
      </c>
      <c r="I348" s="25" t="str">
        <f>IF(OR(E348="",E348="!!!",F348="NEW"),"",INDEX(B$2:B347,-1+SUMPRODUCT(MAX(ROW(E$2:E347)*(E348=E$2:E347)))))</f>
        <v/>
      </c>
      <c r="J348" s="25" t="str">
        <f ca="1">IF(OR(E348="",E348="!!!",F348="NEW"),"",COUNTBLANK(OFFSET(A$1,,,SUMPRODUCT(MAX(ROW(E$2:E348)*(E348=E$2:E348)))))-COUNTBLANK(OFFSET(A$1,,,SUMPRODUCT(MAX(ROW(E$1:E347)*(E2=E$1:E347))))))</f>
        <v/>
      </c>
      <c r="K348" s="25" t="str">
        <f>IF(OR(E348="",E348="!!!",F348="NEW"),"",INDEX(J$1:J347,SUMPRODUCT(MAX(ROW(E$1:E347)*(E348=E$1:E347)))))</f>
        <v/>
      </c>
      <c r="L348" s="26"/>
    </row>
    <row r="349" spans="1:12" x14ac:dyDescent="0.3">
      <c r="A349" t="s">
        <v>173</v>
      </c>
      <c r="B349" s="20" t="s">
        <v>183</v>
      </c>
      <c r="C349" s="20" t="s">
        <v>195</v>
      </c>
      <c r="D349" s="20" t="s">
        <v>171</v>
      </c>
      <c r="E349" s="21" t="s">
        <v>497</v>
      </c>
      <c r="F349" s="22" t="str">
        <f>IF(OR(E349="",E349="!!!"),"",IF(NOT(ISNA(VLOOKUP(E349,E$1:E348,1,FALSE()))),"OLD",IF(AND(E349&lt;&gt;"",E349&lt;&gt;"!!!"),"NEW","")))</f>
        <v>NEW</v>
      </c>
      <c r="G349" s="23" t="s">
        <v>510</v>
      </c>
      <c r="H349" s="24" t="str">
        <f t="shared" ca="1" si="35"/>
        <v/>
      </c>
      <c r="I349" s="25" t="str">
        <f>IF(OR(E349="",E349="!!!",F349="NEW"),"",INDEX(B$2:B348,-1+SUMPRODUCT(MAX(ROW(E$2:E348)*(E349=E$2:E348)))))</f>
        <v/>
      </c>
      <c r="J349" s="25" t="str">
        <f ca="1">IF(OR(E349="",E349="!!!",F349="NEW"),"",COUNTBLANK(OFFSET(A$1,,,SUMPRODUCT(MAX(ROW(E$2:E349)*(E349=E$2:E349)))))-COUNTBLANK(OFFSET(A$1,,,SUMPRODUCT(MAX(ROW(E$1:E348)*(E2=E$1:E348))))))</f>
        <v/>
      </c>
      <c r="K349" s="25" t="str">
        <f>IF(OR(E349="",E349="!!!",F349="NEW"),"",INDEX(J$1:J348,SUMPRODUCT(MAX(ROW(E$1:E348)*(E349=E$1:E348)))))</f>
        <v/>
      </c>
      <c r="L349" s="26"/>
    </row>
    <row r="350" spans="1:12" x14ac:dyDescent="0.3">
      <c r="A350" t="s">
        <v>206</v>
      </c>
      <c r="E350" s="21" t="str">
        <f t="shared" si="34"/>
        <v/>
      </c>
      <c r="F350" s="22" t="str">
        <f>IF(OR(E350="",E350="!!!"),"",IF(NOT(ISNA(VLOOKUP(E350,E$1:E349,1,FALSE()))),"OLD",IF(AND(E350&lt;&gt;"",E350&lt;&gt;"!!!"),"NEW","")))</f>
        <v/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/>
      </c>
      <c r="H350" s="24" t="str">
        <f t="shared" ca="1" si="35"/>
        <v/>
      </c>
      <c r="I350" s="25" t="str">
        <f>IF(OR(E350="",E350="!!!",F350="NEW"),"",INDEX(B$2:B349,-1+SUMPRODUCT(MAX(ROW(E$2:E349)*(E350=E$2:E349)))))</f>
        <v/>
      </c>
      <c r="J350" s="25" t="str">
        <f ca="1">IF(OR(E350="",E350="!!!",F350="NEW"),"",COUNTBLANK(OFFSET(A$1,,,SUMPRODUCT(MAX(ROW(E$2:E350)*(E350=E$2:E350)))))-COUNTBLANK(OFFSET(A$1,,,SUMPRODUCT(MAX(ROW(E$1:E349)*(E2=E$1:E349))))))</f>
        <v/>
      </c>
      <c r="K350" s="25" t="str">
        <f>IF(OR(E350="",E350="!!!",F350="NEW"),"",INDEX(J$1:J349,SUMPRODUCT(MAX(ROW(E$1:E349)*(E350=E$1:E349)))))</f>
        <v/>
      </c>
      <c r="L350" s="26"/>
    </row>
    <row r="351" spans="1:12" x14ac:dyDescent="0.3">
      <c r="A351" t="s">
        <v>193</v>
      </c>
      <c r="B351" s="20" t="s">
        <v>255</v>
      </c>
      <c r="E351" s="21" t="s">
        <v>497</v>
      </c>
      <c r="F351" s="22" t="str">
        <f>IF(OR(E351="",E351="!!!"),"",IF(NOT(ISNA(VLOOKUP(E351,E$1:E350,1,FALSE()))),"OLD",IF(AND(E351&lt;&gt;"",E351&lt;&gt;"!!!"),"NEW","")))</f>
        <v>OLD</v>
      </c>
      <c r="G351" s="23" t="s">
        <v>513</v>
      </c>
      <c r="H351" s="24" t="str">
        <f t="shared" ca="1" si="35"/>
        <v/>
      </c>
      <c r="I351" s="25" t="str">
        <f>IF(OR(E351="",E351="!!!",F351="NEW"),"",INDEX(B$2:B350,-1+SUMPRODUCT(MAX(ROW(E$2:E350)*(E351=E$2:E350)))))</f>
        <v>other</v>
      </c>
      <c r="J351" s="25">
        <f ca="1">IF(OR(E351="",E351="!!!",F351="NEW"),"",COUNTBLANK(OFFSET(A$1,,,SUMPRODUCT(MAX(ROW(E$2:E351)*(E351=E$2:E351)))))-COUNTBLANK(OFFSET(A$1,,,SUMPRODUCT(MAX(ROW(E$1:E350)*(E2=E$1:E350))))))</f>
        <v>0</v>
      </c>
      <c r="K351" s="25" t="str">
        <f ca="1">IF(OR(E351="",E351="!!!",F351="NEW"),"",INDEX(J$1:J350,SUMPRODUCT(MAX(ROW(E$1:E350)*(E351=E$1:E350)))))</f>
        <v/>
      </c>
      <c r="L351" s="26"/>
    </row>
    <row r="352" spans="1:12" x14ac:dyDescent="0.3">
      <c r="A352" t="s">
        <v>365</v>
      </c>
      <c r="E352" s="21" t="str">
        <f t="shared" si="34"/>
        <v/>
      </c>
      <c r="F352" s="22" t="str">
        <f>IF(OR(E352="",E352="!!!"),"",IF(NOT(ISNA(VLOOKUP(E352,E$1:E351,1,FALSE()))),"OLD",IF(AND(E352&lt;&gt;"",E352&lt;&gt;"!!!"),"NEW","")))</f>
        <v/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/>
      </c>
      <c r="H352" s="24" t="str">
        <f t="shared" ca="1" si="35"/>
        <v/>
      </c>
      <c r="I352" s="25" t="str">
        <f>IF(OR(E352="",E352="!!!",F352="NEW"),"",INDEX(B$2:B351,-1+SUMPRODUCT(MAX(ROW(E$2:E351)*(E352=E$2:E351)))))</f>
        <v/>
      </c>
      <c r="J352" s="25" t="str">
        <f ca="1">IF(OR(E352="",E352="!!!",F352="NEW"),"",COUNTBLANK(OFFSET(A$1,,,SUMPRODUCT(MAX(ROW(E$2:E352)*(E352=E$2:E352)))))-COUNTBLANK(OFFSET(A$1,,,SUMPRODUCT(MAX(ROW(E$1:E351)*(E2=E$1:E351))))))</f>
        <v/>
      </c>
      <c r="K352" s="25" t="str">
        <f>IF(OR(E352="",E352="!!!",F352="NEW"),"",INDEX(J$1:J351,SUMPRODUCT(MAX(ROW(E$1:E351)*(E352=E$1:E351)))))</f>
        <v/>
      </c>
      <c r="L352" s="26"/>
    </row>
    <row r="353" spans="1:12" x14ac:dyDescent="0.3">
      <c r="A353" t="s">
        <v>366</v>
      </c>
      <c r="E353" s="21" t="str">
        <f t="shared" si="34"/>
        <v/>
      </c>
      <c r="F353" s="22" t="str">
        <f>IF(OR(E353="",E353="!!!"),"",IF(NOT(ISNA(VLOOKUP(E353,E$1:E352,1,FALSE()))),"OLD",IF(AND(E353&lt;&gt;"",E353&lt;&gt;"!!!"),"NEW","")))</f>
        <v/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/>
      </c>
      <c r="H353" s="24" t="str">
        <f t="shared" ca="1" si="35"/>
        <v/>
      </c>
      <c r="I353" s="25" t="str">
        <f>IF(OR(E353="",E353="!!!",F353="NEW"),"",INDEX(B$2:B352,-1+SUMPRODUCT(MAX(ROW(E$2:E352)*(E353=E$2:E352)))))</f>
        <v/>
      </c>
      <c r="J353" s="25" t="str">
        <f ca="1">IF(OR(E353="",E353="!!!",F353="NEW"),"",COUNTBLANK(OFFSET(A$1,,,SUMPRODUCT(MAX(ROW(E$2:E353)*(E353=E$2:E353)))))-COUNTBLANK(OFFSET(A$1,,,SUMPRODUCT(MAX(ROW(E$1:E352)*(E2=E$1:E352))))))</f>
        <v/>
      </c>
      <c r="K353" s="25" t="str">
        <f>IF(OR(E353="",E353="!!!",F353="NEW"),"",INDEX(J$1:J352,SUMPRODUCT(MAX(ROW(E$1:E352)*(E353=E$1:E352)))))</f>
        <v/>
      </c>
      <c r="L353" s="26"/>
    </row>
    <row r="354" spans="1:12" x14ac:dyDescent="0.3">
      <c r="A354" t="s">
        <v>367</v>
      </c>
      <c r="E354" s="21" t="str">
        <f t="shared" si="34"/>
        <v/>
      </c>
      <c r="F354" s="22" t="str">
        <f>IF(OR(E354="",E354="!!!"),"",IF(NOT(ISNA(VLOOKUP(E354,E$1:E353,1,FALSE()))),"OLD",IF(AND(E354&lt;&gt;"",E354&lt;&gt;"!!!"),"NEW","")))</f>
        <v/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/>
      </c>
      <c r="H354" s="24" t="str">
        <f t="shared" ca="1" si="35"/>
        <v/>
      </c>
      <c r="I354" s="25" t="str">
        <f>IF(OR(E354="",E354="!!!",F354="NEW"),"",INDEX(B$2:B353,-1+SUMPRODUCT(MAX(ROW(E$2:E353)*(E354=E$2:E353)))))</f>
        <v/>
      </c>
      <c r="J354" s="25" t="str">
        <f ca="1">IF(OR(E354="",E354="!!!",F354="NEW"),"",COUNTBLANK(OFFSET(A$1,,,SUMPRODUCT(MAX(ROW(E$2:E354)*(E354=E$2:E354)))))-COUNTBLANK(OFFSET(A$1,,,SUMPRODUCT(MAX(ROW(E$1:E353)*(E2=E$1:E353))))))</f>
        <v/>
      </c>
      <c r="K354" s="25" t="str">
        <f>IF(OR(E354="",E354="!!!",F354="NEW"),"",INDEX(J$1:J353,SUMPRODUCT(MAX(ROW(E$1:E353)*(E354=E$1:E353)))))</f>
        <v/>
      </c>
      <c r="L354" s="26"/>
    </row>
    <row r="355" spans="1:12" x14ac:dyDescent="0.3">
      <c r="A355" t="s">
        <v>98</v>
      </c>
      <c r="E355" s="21" t="str">
        <f t="shared" si="34"/>
        <v/>
      </c>
      <c r="F355" s="22" t="str">
        <f>IF(OR(E355="",E355="!!!"),"",IF(NOT(ISNA(VLOOKUP(E355,E$1:E354,1,FALSE()))),"OLD",IF(AND(E355&lt;&gt;"",E355&lt;&gt;"!!!"),"NEW","")))</f>
        <v/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/>
      </c>
      <c r="H355" s="24" t="str">
        <f t="shared" ca="1" si="35"/>
        <v/>
      </c>
      <c r="I355" s="25" t="str">
        <f>IF(OR(E355="",E355="!!!",F355="NEW"),"",INDEX(B$2:B354,-1+SUMPRODUCT(MAX(ROW(E$2:E354)*(E355=E$2:E354)))))</f>
        <v/>
      </c>
      <c r="J355" s="25" t="str">
        <f ca="1">IF(OR(E355="",E355="!!!",F355="NEW"),"",COUNTBLANK(OFFSET(A$1,,,SUMPRODUCT(MAX(ROW(E$2:E355)*(E355=E$2:E355)))))-COUNTBLANK(OFFSET(A$1,,,SUMPRODUCT(MAX(ROW(E$1:E354)*(E2=E$1:E354))))))</f>
        <v/>
      </c>
      <c r="K355" s="25" t="str">
        <f>IF(OR(E355="",E355="!!!",F355="NEW"),"",INDEX(J$1:J354,SUMPRODUCT(MAX(ROW(E$1:E354)*(E355=E$1:E354)))))</f>
        <v/>
      </c>
      <c r="L355" s="26"/>
    </row>
    <row r="356" spans="1:12" x14ac:dyDescent="0.3">
      <c r="A356" t="s">
        <v>197</v>
      </c>
      <c r="E356" s="21" t="str">
        <f t="shared" si="34"/>
        <v/>
      </c>
      <c r="F356" s="22" t="str">
        <f>IF(OR(E356="",E356="!!!"),"",IF(NOT(ISNA(VLOOKUP(E356,E$1:E355,1,FALSE()))),"OLD",IF(AND(E356&lt;&gt;"",E356&lt;&gt;"!!!"),"NEW","")))</f>
        <v/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/>
      </c>
      <c r="H356" s="24" t="str">
        <f t="shared" ca="1" si="35"/>
        <v/>
      </c>
      <c r="I356" s="25" t="str">
        <f>IF(OR(E356="",E356="!!!",F356="NEW"),"",INDEX(B$2:B355,-1+SUMPRODUCT(MAX(ROW(E$2:E355)*(E356=E$2:E355)))))</f>
        <v/>
      </c>
      <c r="J356" s="25" t="str">
        <f ca="1">IF(OR(E356="",E356="!!!",F356="NEW"),"",COUNTBLANK(OFFSET(A$1,,,SUMPRODUCT(MAX(ROW(E$2:E356)*(E356=E$2:E356)))))-COUNTBLANK(OFFSET(A$1,,,SUMPRODUCT(MAX(ROW(E$1:E355)*(E2=E$1:E355))))))</f>
        <v/>
      </c>
      <c r="K356" s="25" t="str">
        <f>IF(OR(E356="",E356="!!!",F356="NEW"),"",INDEX(J$1:J355,SUMPRODUCT(MAX(ROW(E$1:E355)*(E356=E$1:E355)))))</f>
        <v/>
      </c>
      <c r="L356" s="26"/>
    </row>
    <row r="358" spans="1:12" x14ac:dyDescent="0.3">
      <c r="A358" t="s">
        <v>368</v>
      </c>
    </row>
    <row r="359" spans="1:12" x14ac:dyDescent="0.3">
      <c r="A359" t="s">
        <v>199</v>
      </c>
      <c r="E359" s="21" t="str">
        <f t="shared" ref="E359:E381" si="36">IF(D359="?OLD","!!!","")</f>
        <v/>
      </c>
      <c r="F359" s="22" t="str">
        <f>IF(OR(E359="",E359="!!!"),"",IF(NOT(ISNA(VLOOKUP(E359,E$1:E358,1,FALSE()))),"OLD",IF(AND(E359&lt;&gt;"",E359&lt;&gt;"!!!"),"NEW","")))</f>
        <v/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/>
      </c>
      <c r="H359" s="24" t="str">
        <f t="shared" ref="H359:H381" ca="1" si="37">IF(J359&lt;&gt;1,"",IF(I359="SBJ","CB","?"))</f>
        <v/>
      </c>
      <c r="I359" s="25" t="str">
        <f>IF(OR(E359="",E359="!!!",F359="NEW"),"",INDEX(B$2:B358,-1+SUMPRODUCT(MAX(ROW(E$2:E358)*(E359=E$2:E358)))))</f>
        <v/>
      </c>
      <c r="J359" s="25" t="str">
        <f ca="1">IF(OR(E359="",E359="!!!",F359="NEW"),"",COUNTBLANK(OFFSET(A$1,,,SUMPRODUCT(MAX(ROW(E$2:E359)*(E359=E$2:E359)))))-COUNTBLANK(OFFSET(A$1,,,SUMPRODUCT(MAX(ROW(E$1:E358)*(E2=E$1:E358))))))</f>
        <v/>
      </c>
      <c r="K359" s="25" t="str">
        <f>IF(OR(E359="",E359="!!!",F359="NEW"),"",INDEX(J$1:J358,SUMPRODUCT(MAX(ROW(E$1:E358)*(E359=E$1:E358)))))</f>
        <v/>
      </c>
      <c r="L359" s="26"/>
    </row>
    <row r="360" spans="1:12" x14ac:dyDescent="0.3">
      <c r="A360" t="s">
        <v>297</v>
      </c>
      <c r="E360" s="21" t="str">
        <f t="shared" si="36"/>
        <v/>
      </c>
      <c r="F360" s="22" t="str">
        <f>IF(OR(E360="",E360="!!!"),"",IF(NOT(ISNA(VLOOKUP(E360,E$1:E359,1,FALSE()))),"OLD",IF(AND(E360&lt;&gt;"",E360&lt;&gt;"!!!"),"NEW","")))</f>
        <v/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/>
      </c>
      <c r="H360" s="24" t="str">
        <f t="shared" ca="1" si="37"/>
        <v/>
      </c>
      <c r="I360" s="25" t="str">
        <f>IF(OR(E360="",E360="!!!",F360="NEW"),"",INDEX(B$2:B359,-1+SUMPRODUCT(MAX(ROW(E$2:E359)*(E360=E$2:E359)))))</f>
        <v/>
      </c>
      <c r="J360" s="25" t="str">
        <f ca="1">IF(OR(E360="",E360="!!!",F360="NEW"),"",COUNTBLANK(OFFSET(A$1,,,SUMPRODUCT(MAX(ROW(E$2:E360)*(E360=E$2:E360)))))-COUNTBLANK(OFFSET(A$1,,,SUMPRODUCT(MAX(ROW(E$1:E359)*(E2=E$1:E359))))))</f>
        <v/>
      </c>
      <c r="K360" s="25" t="str">
        <f>IF(OR(E360="",E360="!!!",F360="NEW"),"",INDEX(J$1:J359,SUMPRODUCT(MAX(ROW(E$1:E359)*(E360=E$1:E359)))))</f>
        <v/>
      </c>
      <c r="L360" s="26"/>
    </row>
    <row r="361" spans="1:12" x14ac:dyDescent="0.3">
      <c r="A361" t="s">
        <v>369</v>
      </c>
      <c r="E361" s="21" t="str">
        <f t="shared" si="36"/>
        <v/>
      </c>
      <c r="F361" s="22" t="str">
        <f>IF(OR(E361="",E361="!!!"),"",IF(NOT(ISNA(VLOOKUP(E361,E$1:E360,1,FALSE()))),"OLD",IF(AND(E361&lt;&gt;"",E361&lt;&gt;"!!!"),"NEW","")))</f>
        <v/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/>
      </c>
      <c r="H361" s="24" t="str">
        <f t="shared" ca="1" si="37"/>
        <v/>
      </c>
      <c r="I361" s="25" t="str">
        <f>IF(OR(E361="",E361="!!!",F361="NEW"),"",INDEX(B$2:B360,-1+SUMPRODUCT(MAX(ROW(E$2:E360)*(E361=E$2:E360)))))</f>
        <v/>
      </c>
      <c r="J361" s="25" t="str">
        <f ca="1">IF(OR(E361="",E361="!!!",F361="NEW"),"",COUNTBLANK(OFFSET(A$1,,,SUMPRODUCT(MAX(ROW(E$2:E361)*(E361=E$2:E361)))))-COUNTBLANK(OFFSET(A$1,,,SUMPRODUCT(MAX(ROW(E$1:E360)*(E2=E$1:E360))))))</f>
        <v/>
      </c>
      <c r="K361" s="25" t="str">
        <f>IF(OR(E361="",E361="!!!",F361="NEW"),"",INDEX(J$1:J360,SUMPRODUCT(MAX(ROW(E$1:E360)*(E361=E$1:E360)))))</f>
        <v/>
      </c>
      <c r="L361" s="26"/>
    </row>
    <row r="362" spans="1:12" x14ac:dyDescent="0.3">
      <c r="A362" t="s">
        <v>201</v>
      </c>
      <c r="B362" s="20" t="s">
        <v>166</v>
      </c>
      <c r="C362" s="20" t="s">
        <v>202</v>
      </c>
      <c r="E362" s="21" t="str">
        <f t="shared" si="36"/>
        <v/>
      </c>
      <c r="F362" s="22" t="str">
        <f>IF(OR(E362="",E362="!!!"),"",IF(NOT(ISNA(VLOOKUP(E362,E$1:E361,1,FALSE()))),"OLD",IF(AND(E362&lt;&gt;"",E362&lt;&gt;"!!!"),"NEW","")))</f>
        <v/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/>
      </c>
      <c r="H362" s="24" t="str">
        <f t="shared" ca="1" si="37"/>
        <v/>
      </c>
      <c r="I362" s="25" t="str">
        <f>IF(OR(E362="",E362="!!!",F362="NEW"),"",INDEX(B$2:B361,-1+SUMPRODUCT(MAX(ROW(E$2:E361)*(E362=E$2:E361)))))</f>
        <v/>
      </c>
      <c r="J362" s="25" t="str">
        <f ca="1">IF(OR(E362="",E362="!!!",F362="NEW"),"",COUNTBLANK(OFFSET(A$1,,,SUMPRODUCT(MAX(ROW(E$2:E362)*(E362=E$2:E362)))))-COUNTBLANK(OFFSET(A$1,,,SUMPRODUCT(MAX(ROW(E$1:E361)*(E2=E$1:E361))))))</f>
        <v/>
      </c>
      <c r="K362" s="25" t="str">
        <f>IF(OR(E362="",E362="!!!",F362="NEW"),"",INDEX(J$1:J361,SUMPRODUCT(MAX(ROW(E$1:E361)*(E362=E$1:E361)))))</f>
        <v/>
      </c>
      <c r="L362" s="26"/>
    </row>
    <row r="363" spans="1:12" x14ac:dyDescent="0.3">
      <c r="A363" t="s">
        <v>210</v>
      </c>
      <c r="E363" s="21" t="str">
        <f t="shared" si="36"/>
        <v/>
      </c>
      <c r="F363" s="22" t="str">
        <f>IF(OR(E363="",E363="!!!"),"",IF(NOT(ISNA(VLOOKUP(E363,E$1:E362,1,FALSE()))),"OLD",IF(AND(E363&lt;&gt;"",E363&lt;&gt;"!!!"),"NEW","")))</f>
        <v/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/>
      </c>
      <c r="H363" s="24" t="str">
        <f t="shared" ca="1" si="37"/>
        <v/>
      </c>
      <c r="I363" s="25" t="str">
        <f>IF(OR(E363="",E363="!!!",F363="NEW"),"",INDEX(B$2:B362,-1+SUMPRODUCT(MAX(ROW(E$2:E362)*(E363=E$2:E362)))))</f>
        <v/>
      </c>
      <c r="J363" s="25" t="str">
        <f ca="1">IF(OR(E363="",E363="!!!",F363="NEW"),"",COUNTBLANK(OFFSET(A$1,,,SUMPRODUCT(MAX(ROW(E$2:E363)*(E363=E$2:E363)))))-COUNTBLANK(OFFSET(A$1,,,SUMPRODUCT(MAX(ROW(E$1:E362)*(E2=E$1:E362))))))</f>
        <v/>
      </c>
      <c r="K363" s="25" t="str">
        <f>IF(OR(E363="",E363="!!!",F363="NEW"),"",INDEX(J$1:J362,SUMPRODUCT(MAX(ROW(E$1:E362)*(E363=E$1:E362)))))</f>
        <v/>
      </c>
      <c r="L363" s="26"/>
    </row>
    <row r="364" spans="1:12" x14ac:dyDescent="0.3">
      <c r="A364" t="s">
        <v>370</v>
      </c>
      <c r="B364" s="20" t="s">
        <v>174</v>
      </c>
      <c r="C364" s="20" t="s">
        <v>195</v>
      </c>
      <c r="D364" s="20" t="s">
        <v>171</v>
      </c>
      <c r="E364" s="21" t="s">
        <v>498</v>
      </c>
      <c r="F364" s="22" t="s">
        <v>506</v>
      </c>
      <c r="G364" s="23" t="s">
        <v>509</v>
      </c>
      <c r="H364" s="24" t="str">
        <f t="shared" ca="1" si="37"/>
        <v/>
      </c>
      <c r="I364" s="25" t="str">
        <f>IF(OR(E364="",E364="!!!",F364="NEW"),"",INDEX(B$2:B363,-1+SUMPRODUCT(MAX(ROW(E$2:E363)*(E364=E$2:E363)))))</f>
        <v>other</v>
      </c>
      <c r="J364" s="25">
        <f ca="1">IF(OR(E364="",E364="!!!",F364="NEW"),"",COUNTBLANK(OFFSET(A$1,,,SUMPRODUCT(MAX(ROW(E$2:E364)*(E364=E$2:E364)))))-COUNTBLANK(OFFSET(A$1,,,SUMPRODUCT(MAX(ROW(E$1:E363)*(E2=E$1:E363))))))</f>
        <v>0</v>
      </c>
      <c r="K364" s="25" t="str">
        <f ca="1">IF(OR(E364="",E364="!!!",F364="NEW"),"",INDEX(J$1:J363,SUMPRODUCT(MAX(ROW(E$1:E363)*(E364=E$1:E363)))))</f>
        <v/>
      </c>
      <c r="L364" s="26"/>
    </row>
    <row r="365" spans="1:12" x14ac:dyDescent="0.3">
      <c r="A365" t="s">
        <v>371</v>
      </c>
      <c r="E365" s="21" t="str">
        <f t="shared" si="36"/>
        <v/>
      </c>
      <c r="F365" s="22" t="str">
        <f>IF(OR(E365="",E365="!!!"),"",IF(NOT(ISNA(VLOOKUP(E365,E$1:E364,1,FALSE()))),"OLD",IF(AND(E365&lt;&gt;"",E365&lt;&gt;"!!!"),"NEW","")))</f>
        <v/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/>
      </c>
      <c r="H365" s="24" t="str">
        <f t="shared" ca="1" si="37"/>
        <v/>
      </c>
      <c r="I365" s="25" t="str">
        <f>IF(OR(E365="",E365="!!!",F365="NEW"),"",INDEX(B$2:B364,-1+SUMPRODUCT(MAX(ROW(E$2:E364)*(E365=E$2:E364)))))</f>
        <v/>
      </c>
      <c r="J365" s="25" t="str">
        <f ca="1">IF(OR(E365="",E365="!!!",F365="NEW"),"",COUNTBLANK(OFFSET(A$1,,,SUMPRODUCT(MAX(ROW(E$2:E365)*(E365=E$2:E365)))))-COUNTBLANK(OFFSET(A$1,,,SUMPRODUCT(MAX(ROW(E$1:E364)*(E2=E$1:E364))))))</f>
        <v/>
      </c>
      <c r="K365" s="25" t="str">
        <f>IF(OR(E365="",E365="!!!",F365="NEW"),"",INDEX(J$1:J364,SUMPRODUCT(MAX(ROW(E$1:E364)*(E365=E$1:E364)))))</f>
        <v/>
      </c>
      <c r="L365" s="26"/>
    </row>
    <row r="366" spans="1:12" x14ac:dyDescent="0.3">
      <c r="A366" t="s">
        <v>372</v>
      </c>
      <c r="E366" s="21" t="str">
        <f t="shared" si="36"/>
        <v/>
      </c>
      <c r="F366" s="22" t="str">
        <f>IF(OR(E366="",E366="!!!"),"",IF(NOT(ISNA(VLOOKUP(E366,E$1:E365,1,FALSE()))),"OLD",IF(AND(E366&lt;&gt;"",E366&lt;&gt;"!!!"),"NEW","")))</f>
        <v/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/>
      </c>
      <c r="H366" s="24" t="str">
        <f t="shared" ca="1" si="37"/>
        <v/>
      </c>
      <c r="I366" s="25" t="str">
        <f>IF(OR(E366="",E366="!!!",F366="NEW"),"",INDEX(B$2:B365,-1+SUMPRODUCT(MAX(ROW(E$2:E365)*(E366=E$2:E365)))))</f>
        <v/>
      </c>
      <c r="J366" s="25" t="str">
        <f ca="1">IF(OR(E366="",E366="!!!",F366="NEW"),"",COUNTBLANK(OFFSET(A$1,,,SUMPRODUCT(MAX(ROW(E$2:E366)*(E366=E$2:E366)))))-COUNTBLANK(OFFSET(A$1,,,SUMPRODUCT(MAX(ROW(E$1:E365)*(E2=E$1:E365))))))</f>
        <v/>
      </c>
      <c r="K366" s="25" t="str">
        <f>IF(OR(E366="",E366="!!!",F366="NEW"),"",INDEX(J$1:J365,SUMPRODUCT(MAX(ROW(E$1:E365)*(E366=E$1:E365)))))</f>
        <v/>
      </c>
      <c r="L366" s="26"/>
    </row>
    <row r="367" spans="1:12" x14ac:dyDescent="0.3">
      <c r="A367" t="s">
        <v>362</v>
      </c>
      <c r="E367" s="21" t="str">
        <f t="shared" si="36"/>
        <v/>
      </c>
      <c r="F367" s="22" t="str">
        <f>IF(OR(E367="",E367="!!!"),"",IF(NOT(ISNA(VLOOKUP(E367,E$1:E366,1,FALSE()))),"OLD",IF(AND(E367&lt;&gt;"",E367&lt;&gt;"!!!"),"NEW","")))</f>
        <v/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/>
      </c>
      <c r="H367" s="24" t="str">
        <f t="shared" ca="1" si="37"/>
        <v/>
      </c>
      <c r="I367" s="25" t="str">
        <f>IF(OR(E367="",E367="!!!",F367="NEW"),"",INDEX(B$2:B366,-1+SUMPRODUCT(MAX(ROW(E$2:E366)*(E367=E$2:E366)))))</f>
        <v/>
      </c>
      <c r="J367" s="25" t="str">
        <f ca="1">IF(OR(E367="",E367="!!!",F367="NEW"),"",COUNTBLANK(OFFSET(A$1,,,SUMPRODUCT(MAX(ROW(E$2:E367)*(E367=E$2:E367)))))-COUNTBLANK(OFFSET(A$1,,,SUMPRODUCT(MAX(ROW(E$1:E366)*(E2=E$1:E366))))))</f>
        <v/>
      </c>
      <c r="K367" s="25" t="str">
        <f>IF(OR(E367="",E367="!!!",F367="NEW"),"",INDEX(J$1:J366,SUMPRODUCT(MAX(ROW(E$1:E366)*(E367=E$1:E366)))))</f>
        <v/>
      </c>
      <c r="L367" s="26"/>
    </row>
    <row r="368" spans="1:12" x14ac:dyDescent="0.3">
      <c r="A368" t="s">
        <v>214</v>
      </c>
      <c r="E368" s="21" t="str">
        <f t="shared" si="36"/>
        <v/>
      </c>
      <c r="F368" s="22" t="str">
        <f>IF(OR(E368="",E368="!!!"),"",IF(NOT(ISNA(VLOOKUP(E368,E$1:E367,1,FALSE()))),"OLD",IF(AND(E368&lt;&gt;"",E368&lt;&gt;"!!!"),"NEW","")))</f>
        <v/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/>
      </c>
      <c r="H368" s="24" t="str">
        <f t="shared" ca="1" si="37"/>
        <v/>
      </c>
      <c r="I368" s="25" t="str">
        <f>IF(OR(E368="",E368="!!!",F368="NEW"),"",INDEX(B$2:B367,-1+SUMPRODUCT(MAX(ROW(E$2:E367)*(E368=E$2:E367)))))</f>
        <v/>
      </c>
      <c r="J368" s="25" t="str">
        <f ca="1">IF(OR(E368="",E368="!!!",F368="NEW"),"",COUNTBLANK(OFFSET(A$1,,,SUMPRODUCT(MAX(ROW(E$2:E368)*(E368=E$2:E368)))))-COUNTBLANK(OFFSET(A$1,,,SUMPRODUCT(MAX(ROW(E$1:E367)*(E2=E$1:E367))))))</f>
        <v/>
      </c>
      <c r="K368" s="25" t="str">
        <f>IF(OR(E368="",E368="!!!",F368="NEW"),"",INDEX(J$1:J367,SUMPRODUCT(MAX(ROW(E$1:E367)*(E368=E$1:E367)))))</f>
        <v/>
      </c>
      <c r="L368" s="26"/>
    </row>
    <row r="369" spans="1:12" x14ac:dyDescent="0.3">
      <c r="A369" t="s">
        <v>246</v>
      </c>
      <c r="E369" s="21" t="str">
        <f t="shared" si="36"/>
        <v/>
      </c>
      <c r="F369" s="22" t="str">
        <f>IF(OR(E369="",E369="!!!"),"",IF(NOT(ISNA(VLOOKUP(E369,E$1:E368,1,FALSE()))),"OLD",IF(AND(E369&lt;&gt;"",E369&lt;&gt;"!!!"),"NEW","")))</f>
        <v/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/>
      </c>
      <c r="H369" s="24" t="str">
        <f t="shared" ca="1" si="37"/>
        <v/>
      </c>
      <c r="I369" s="25" t="str">
        <f>IF(OR(E369="",E369="!!!",F369="NEW"),"",INDEX(B$2:B368,-1+SUMPRODUCT(MAX(ROW(E$2:E368)*(E369=E$2:E368)))))</f>
        <v/>
      </c>
      <c r="J369" s="25" t="str">
        <f ca="1">IF(OR(E369="",E369="!!!",F369="NEW"),"",COUNTBLANK(OFFSET(A$1,,,SUMPRODUCT(MAX(ROW(E$2:E369)*(E369=E$2:E369)))))-COUNTBLANK(OFFSET(A$1,,,SUMPRODUCT(MAX(ROW(E$1:E368)*(E2=E$1:E368))))))</f>
        <v/>
      </c>
      <c r="K369" s="25" t="str">
        <f>IF(OR(E369="",E369="!!!",F369="NEW"),"",INDEX(J$1:J368,SUMPRODUCT(MAX(ROW(E$1:E368)*(E369=E$1:E368)))))</f>
        <v/>
      </c>
      <c r="L369" s="26"/>
    </row>
    <row r="370" spans="1:12" x14ac:dyDescent="0.3">
      <c r="A370" t="s">
        <v>173</v>
      </c>
      <c r="B370" s="20" t="s">
        <v>182</v>
      </c>
      <c r="C370" s="20" t="s">
        <v>175</v>
      </c>
      <c r="E370" s="21" t="s">
        <v>500</v>
      </c>
      <c r="F370" s="22" t="str">
        <f>IF(OR(E370="",E370="!!!"),"",IF(NOT(ISNA(VLOOKUP(E370,E$1:E369,1,FALSE()))),"OLD",IF(AND(E370&lt;&gt;"",E370&lt;&gt;"!!!"),"NEW","")))</f>
        <v>OLD</v>
      </c>
      <c r="G370" s="23" t="s">
        <v>509</v>
      </c>
      <c r="H370" s="24" t="str">
        <f t="shared" ca="1" si="37"/>
        <v/>
      </c>
      <c r="I370" s="25" t="str">
        <f>IF(OR(E370="",E370="!!!",F370="NEW"),"",INDEX(B$2:B369,-1+SUMPRODUCT(MAX(ROW(E$2:E369)*(E370=E$2:E369)))))</f>
        <v>OBJ_2</v>
      </c>
      <c r="J370" s="25">
        <f ca="1">IF(OR(E370="",E370="!!!",F370="NEW"),"",COUNTBLANK(OFFSET(A$1,,,SUMPRODUCT(MAX(ROW(E$2:E370)*(E370=E$2:E370)))))-COUNTBLANK(OFFSET(A$1,,,SUMPRODUCT(MAX(ROW(E$1:E369)*(E2=E$1:E369))))))</f>
        <v>0</v>
      </c>
      <c r="K370" s="25" t="str">
        <f ca="1">IF(OR(E370="",E370="!!!",F370="NEW"),"",INDEX(J$1:J369,SUMPRODUCT(MAX(ROW(E$1:E369)*(E370=E$1:E369)))))</f>
        <v/>
      </c>
      <c r="L370" s="26"/>
    </row>
    <row r="371" spans="1:12" x14ac:dyDescent="0.3">
      <c r="A371" t="s">
        <v>373</v>
      </c>
      <c r="E371" s="21" t="str">
        <f t="shared" si="36"/>
        <v/>
      </c>
      <c r="F371" s="22" t="str">
        <f>IF(OR(E371="",E371="!!!"),"",IF(NOT(ISNA(VLOOKUP(E371,E$1:E370,1,FALSE()))),"OLD",IF(AND(E371&lt;&gt;"",E371&lt;&gt;"!!!"),"NEW","")))</f>
        <v/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/>
      </c>
      <c r="H371" s="24" t="str">
        <f t="shared" ca="1" si="37"/>
        <v/>
      </c>
      <c r="I371" s="25" t="str">
        <f>IF(OR(E371="",E371="!!!",F371="NEW"),"",INDEX(B$2:B370,-1+SUMPRODUCT(MAX(ROW(E$2:E370)*(E371=E$2:E370)))))</f>
        <v/>
      </c>
      <c r="J371" s="25" t="str">
        <f ca="1">IF(OR(E371="",E371="!!!",F371="NEW"),"",COUNTBLANK(OFFSET(A$1,,,SUMPRODUCT(MAX(ROW(E$2:E371)*(E371=E$2:E371)))))-COUNTBLANK(OFFSET(A$1,,,SUMPRODUCT(MAX(ROW(E$1:E370)*(E2=E$1:E370))))))</f>
        <v/>
      </c>
      <c r="K371" s="25" t="str">
        <f>IF(OR(E371="",E371="!!!",F371="NEW"),"",INDEX(J$1:J370,SUMPRODUCT(MAX(ROW(E$1:E370)*(E371=E$1:E370)))))</f>
        <v/>
      </c>
      <c r="L371" s="26"/>
    </row>
    <row r="372" spans="1:12" x14ac:dyDescent="0.3">
      <c r="A372" t="s">
        <v>206</v>
      </c>
      <c r="E372" s="21" t="str">
        <f t="shared" si="36"/>
        <v/>
      </c>
      <c r="F372" s="22" t="str">
        <f>IF(OR(E372="",E372="!!!"),"",IF(NOT(ISNA(VLOOKUP(E372,E$1:E371,1,FALSE()))),"OLD",IF(AND(E372&lt;&gt;"",E372&lt;&gt;"!!!"),"NEW","")))</f>
        <v/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/>
      </c>
      <c r="H372" s="24" t="str">
        <f t="shared" ca="1" si="37"/>
        <v/>
      </c>
      <c r="I372" s="25" t="str">
        <f>IF(OR(E372="",E372="!!!",F372="NEW"),"",INDEX(B$2:B371,-1+SUMPRODUCT(MAX(ROW(E$2:E371)*(E372=E$2:E371)))))</f>
        <v/>
      </c>
      <c r="J372" s="25" t="str">
        <f ca="1">IF(OR(E372="",E372="!!!",F372="NEW"),"",COUNTBLANK(OFFSET(A$1,,,SUMPRODUCT(MAX(ROW(E$2:E372)*(E372=E$2:E372)))))-COUNTBLANK(OFFSET(A$1,,,SUMPRODUCT(MAX(ROW(E$1:E371)*(E2=E$1:E371))))))</f>
        <v/>
      </c>
      <c r="K372" s="25" t="str">
        <f>IF(OR(E372="",E372="!!!",F372="NEW"),"",INDEX(J$1:J371,SUMPRODUCT(MAX(ROW(E$1:E371)*(E372=E$1:E371)))))</f>
        <v/>
      </c>
      <c r="L372" s="26"/>
    </row>
    <row r="373" spans="1:12" x14ac:dyDescent="0.3">
      <c r="A373" t="s">
        <v>374</v>
      </c>
      <c r="E373" s="21" t="s">
        <v>500</v>
      </c>
      <c r="F373" s="22" t="str">
        <f>IF(OR(E373="",E373="!!!"),"",IF(NOT(ISNA(VLOOKUP(E373,E$1:E372,1,FALSE()))),"OLD",IF(AND(E373&lt;&gt;"",E373&lt;&gt;"!!!"),"NEW","")))</f>
        <v>OLD</v>
      </c>
      <c r="G373" s="23" t="s">
        <v>513</v>
      </c>
      <c r="H373" s="24" t="str">
        <f t="shared" ca="1" si="37"/>
        <v/>
      </c>
      <c r="I373" s="25" t="str">
        <f>IF(OR(E373="",E373="!!!",F373="NEW"),"",INDEX(B$2:B372,-1+SUMPRODUCT(MAX(ROW(E$2:E372)*(E373=E$2:E372)))))</f>
        <v>other_2</v>
      </c>
      <c r="J373" s="25">
        <f ca="1">IF(OR(E373="",E373="!!!",F373="NEW"),"",COUNTBLANK(OFFSET(A$1,,,SUMPRODUCT(MAX(ROW(E$2:E373)*(E373=E$2:E373)))))-COUNTBLANK(OFFSET(A$1,,,SUMPRODUCT(MAX(ROW(E$1:E372)*(E2=E$1:E372))))))</f>
        <v>0</v>
      </c>
      <c r="K373" s="25">
        <f ca="1">IF(OR(E373="",E373="!!!",F373="NEW"),"",INDEX(J$1:J372,SUMPRODUCT(MAX(ROW(E$1:E372)*(E373=E$1:E372)))))</f>
        <v>0</v>
      </c>
      <c r="L373" s="26"/>
    </row>
    <row r="374" spans="1:12" x14ac:dyDescent="0.3">
      <c r="A374" t="s">
        <v>375</v>
      </c>
      <c r="B374" s="20" t="s">
        <v>209</v>
      </c>
      <c r="C374" s="20" t="s">
        <v>376</v>
      </c>
      <c r="D374" s="20" t="s">
        <v>171</v>
      </c>
      <c r="E374" s="21" t="s">
        <v>499</v>
      </c>
      <c r="F374" s="22" t="str">
        <f>IF(OR(E374="",E374="!!!"),"",IF(NOT(ISNA(VLOOKUP(E374,E$1:E373,1,FALSE()))),"OLD",IF(AND(E374&lt;&gt;"",E374&lt;&gt;"!!!"),"NEW","")))</f>
        <v>NEW</v>
      </c>
      <c r="G374" s="23" t="s">
        <v>510</v>
      </c>
      <c r="H374" s="24" t="str">
        <f t="shared" ca="1" si="37"/>
        <v/>
      </c>
      <c r="I374" s="25" t="str">
        <f>IF(OR(E374="",E374="!!!",F374="NEW"),"",INDEX(B$2:B373,-1+SUMPRODUCT(MAX(ROW(E$2:E373)*(E374=E$2:E373)))))</f>
        <v/>
      </c>
      <c r="J374" s="25" t="str">
        <f ca="1">IF(OR(E374="",E374="!!!",F374="NEW"),"",COUNTBLANK(OFFSET(A$1,,,SUMPRODUCT(MAX(ROW(E$2:E374)*(E374=E$2:E374)))))-COUNTBLANK(OFFSET(A$1,,,SUMPRODUCT(MAX(ROW(E$1:E373)*(E2=E$1:E373))))))</f>
        <v/>
      </c>
      <c r="K374" s="25" t="str">
        <f>IF(OR(E374="",E374="!!!",F374="NEW"),"",INDEX(J$1:J373,SUMPRODUCT(MAX(ROW(E$1:E373)*(E374=E$1:E373)))))</f>
        <v/>
      </c>
      <c r="L374" s="26"/>
    </row>
    <row r="375" spans="1:12" x14ac:dyDescent="0.3">
      <c r="A375" t="s">
        <v>192</v>
      </c>
      <c r="E375" s="21" t="str">
        <f t="shared" si="36"/>
        <v/>
      </c>
      <c r="F375" s="22" t="str">
        <f>IF(OR(E375="",E375="!!!"),"",IF(NOT(ISNA(VLOOKUP(E375,E$1:E374,1,FALSE()))),"OLD",IF(AND(E375&lt;&gt;"",E375&lt;&gt;"!!!"),"NEW","")))</f>
        <v/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/>
      </c>
      <c r="H375" s="24" t="str">
        <f t="shared" ca="1" si="37"/>
        <v/>
      </c>
      <c r="I375" s="25" t="str">
        <f>IF(OR(E375="",E375="!!!",F375="NEW"),"",INDEX(B$2:B374,-1+SUMPRODUCT(MAX(ROW(E$2:E374)*(E375=E$2:E374)))))</f>
        <v/>
      </c>
      <c r="J375" s="25" t="str">
        <f ca="1">IF(OR(E375="",E375="!!!",F375="NEW"),"",COUNTBLANK(OFFSET(A$1,,,SUMPRODUCT(MAX(ROW(E$2:E375)*(E375=E$2:E375)))))-COUNTBLANK(OFFSET(A$1,,,SUMPRODUCT(MAX(ROW(E$1:E374)*(E2=E$1:E374))))))</f>
        <v/>
      </c>
      <c r="K375" s="25" t="str">
        <f>IF(OR(E375="",E375="!!!",F375="NEW"),"",INDEX(J$1:J374,SUMPRODUCT(MAX(ROW(E$1:E374)*(E375=E$1:E374)))))</f>
        <v/>
      </c>
      <c r="L375" s="26"/>
    </row>
    <row r="376" spans="1:12" x14ac:dyDescent="0.3">
      <c r="A376" t="s">
        <v>210</v>
      </c>
      <c r="E376" s="21" t="str">
        <f t="shared" si="36"/>
        <v/>
      </c>
      <c r="F376" s="22" t="str">
        <f>IF(OR(E376="",E376="!!!"),"",IF(NOT(ISNA(VLOOKUP(E376,E$1:E375,1,FALSE()))),"OLD",IF(AND(E376&lt;&gt;"",E376&lt;&gt;"!!!"),"NEW","")))</f>
        <v/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/>
      </c>
      <c r="H376" s="24" t="str">
        <f t="shared" ca="1" si="37"/>
        <v/>
      </c>
      <c r="I376" s="25" t="str">
        <f>IF(OR(E376="",E376="!!!",F376="NEW"),"",INDEX(B$2:B375,-1+SUMPRODUCT(MAX(ROW(E$2:E375)*(E376=E$2:E375)))))</f>
        <v/>
      </c>
      <c r="J376" s="25" t="str">
        <f ca="1">IF(OR(E376="",E376="!!!",F376="NEW"),"",COUNTBLANK(OFFSET(A$1,,,SUMPRODUCT(MAX(ROW(E$2:E376)*(E376=E$2:E376)))))-COUNTBLANK(OFFSET(A$1,,,SUMPRODUCT(MAX(ROW(E$1:E375)*(E2=E$1:E375))))))</f>
        <v/>
      </c>
      <c r="K376" s="25" t="str">
        <f>IF(OR(E376="",E376="!!!",F376="NEW"),"",INDEX(J$1:J375,SUMPRODUCT(MAX(ROW(E$1:E375)*(E376=E$1:E375)))))</f>
        <v/>
      </c>
      <c r="L376" s="26"/>
    </row>
    <row r="377" spans="1:12" x14ac:dyDescent="0.3">
      <c r="A377" t="s">
        <v>211</v>
      </c>
      <c r="E377" s="21" t="str">
        <f t="shared" si="36"/>
        <v/>
      </c>
      <c r="F377" s="22" t="str">
        <f>IF(OR(E377="",E377="!!!"),"",IF(NOT(ISNA(VLOOKUP(E377,E$1:E376,1,FALSE()))),"OLD",IF(AND(E377&lt;&gt;"",E377&lt;&gt;"!!!"),"NEW","")))</f>
        <v/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/>
      </c>
      <c r="H377" s="24" t="str">
        <f t="shared" ca="1" si="37"/>
        <v/>
      </c>
      <c r="I377" s="25" t="str">
        <f>IF(OR(E377="",E377="!!!",F377="NEW"),"",INDEX(B$2:B376,-1+SUMPRODUCT(MAX(ROW(E$2:E376)*(E377=E$2:E376)))))</f>
        <v/>
      </c>
      <c r="J377" s="25" t="str">
        <f ca="1">IF(OR(E377="",E377="!!!",F377="NEW"),"",COUNTBLANK(OFFSET(A$1,,,SUMPRODUCT(MAX(ROW(E$2:E377)*(E377=E$2:E377)))))-COUNTBLANK(OFFSET(A$1,,,SUMPRODUCT(MAX(ROW(E$1:E376)*(E2=E$1:E376))))))</f>
        <v/>
      </c>
      <c r="K377" s="25" t="str">
        <f>IF(OR(E377="",E377="!!!",F377="NEW"),"",INDEX(J$1:J376,SUMPRODUCT(MAX(ROW(E$1:E376)*(E377=E$1:E376)))))</f>
        <v/>
      </c>
      <c r="L377" s="26"/>
    </row>
    <row r="378" spans="1:12" x14ac:dyDescent="0.3">
      <c r="A378" t="s">
        <v>212</v>
      </c>
      <c r="B378" s="20" t="s">
        <v>182</v>
      </c>
      <c r="C378" s="20" t="s">
        <v>195</v>
      </c>
      <c r="D378" s="20" t="s">
        <v>171</v>
      </c>
      <c r="E378" s="21" t="s">
        <v>484</v>
      </c>
      <c r="F378" s="22" t="str">
        <f>IF(OR(E378="",E378="!!!"),"",IF(NOT(ISNA(VLOOKUP(E378,E$1:E377,1,FALSE()))),"OLD",IF(AND(E378&lt;&gt;"",E378&lt;&gt;"!!!"),"NEW","")))</f>
        <v>OLD</v>
      </c>
      <c r="G378" s="23" t="s">
        <v>509</v>
      </c>
      <c r="H378" s="24" t="str">
        <f t="shared" ca="1" si="37"/>
        <v/>
      </c>
      <c r="I378" s="25" t="str">
        <f>IF(OR(E378="",E378="!!!",F378="NEW"),"",INDEX(B$2:B377,-1+SUMPRODUCT(MAX(ROW(E$2:E377)*(E378=E$2:E377)))))</f>
        <v>other_2</v>
      </c>
      <c r="J378" s="25">
        <f ca="1">IF(OR(E378="",E378="!!!",F378="NEW"),"",COUNTBLANK(OFFSET(A$1,,,SUMPRODUCT(MAX(ROW(E$2:E378)*(E378=E$2:E378)))))-COUNTBLANK(OFFSET(A$1,,,SUMPRODUCT(MAX(ROW(E$1:E377)*(E2=E$1:E377))))))</f>
        <v>0</v>
      </c>
      <c r="K378" s="25">
        <f ca="1">IF(OR(E378="",E378="!!!",F378="NEW"),"",INDEX(J$1:J377,SUMPRODUCT(MAX(ROW(E$1:E377)*(E378=E$1:E377)))))</f>
        <v>0</v>
      </c>
      <c r="L378" s="26"/>
    </row>
    <row r="379" spans="1:12" x14ac:dyDescent="0.3">
      <c r="A379" t="s">
        <v>377</v>
      </c>
      <c r="E379" s="21"/>
      <c r="F379" s="22" t="str">
        <f>IF(OR(E379="",E379="!!!"),"",IF(NOT(ISNA(VLOOKUP(E379,E$1:E378,1,FALSE()))),"OLD",IF(AND(E379&lt;&gt;"",E379&lt;&gt;"!!!"),"NEW","")))</f>
        <v/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/>
      </c>
      <c r="H379" s="24" t="str">
        <f t="shared" ca="1" si="37"/>
        <v/>
      </c>
      <c r="I379" s="25" t="str">
        <f>IF(OR(E379="",E379="!!!",F379="NEW"),"",INDEX(B$2:B378,-1+SUMPRODUCT(MAX(ROW(E$2:E378)*(E379=E$2:E378)))))</f>
        <v/>
      </c>
      <c r="J379" s="25" t="str">
        <f ca="1">IF(OR(E379="",E379="!!!",F379="NEW"),"",COUNTBLANK(OFFSET(A$1,,,SUMPRODUCT(MAX(ROW(E$2:E379)*(E379=E$2:E379)))))-COUNTBLANK(OFFSET(A$1,,,SUMPRODUCT(MAX(ROW(E$1:E378)*(E2=E$1:E378))))))</f>
        <v/>
      </c>
      <c r="K379" s="25" t="str">
        <f>IF(OR(E379="",E379="!!!",F379="NEW"),"",INDEX(J$1:J378,SUMPRODUCT(MAX(ROW(E$1:E378)*(E379=E$1:E378)))))</f>
        <v/>
      </c>
      <c r="L379" s="26"/>
    </row>
    <row r="380" spans="1:12" x14ac:dyDescent="0.3">
      <c r="A380" t="s">
        <v>218</v>
      </c>
      <c r="E380" s="21" t="str">
        <f t="shared" si="36"/>
        <v/>
      </c>
      <c r="F380" s="22" t="str">
        <f>IF(OR(E380="",E380="!!!"),"",IF(NOT(ISNA(VLOOKUP(E380,E$1:E379,1,FALSE()))),"OLD",IF(AND(E380&lt;&gt;"",E380&lt;&gt;"!!!"),"NEW","")))</f>
        <v/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/>
      </c>
      <c r="H380" s="24" t="str">
        <f t="shared" ca="1" si="37"/>
        <v/>
      </c>
      <c r="I380" s="25" t="str">
        <f>IF(OR(E380="",E380="!!!",F380="NEW"),"",INDEX(B$2:B379,-1+SUMPRODUCT(MAX(ROW(E$2:E379)*(E380=E$2:E379)))))</f>
        <v/>
      </c>
      <c r="J380" s="25" t="str">
        <f ca="1">IF(OR(E380="",E380="!!!",F380="NEW"),"",COUNTBLANK(OFFSET(A$1,,,SUMPRODUCT(MAX(ROW(E$2:E380)*(E380=E$2:E380)))))-COUNTBLANK(OFFSET(A$1,,,SUMPRODUCT(MAX(ROW(E$1:E379)*(E2=E$1:E379))))))</f>
        <v/>
      </c>
      <c r="K380" s="25" t="str">
        <f>IF(OR(E380="",E380="!!!",F380="NEW"),"",INDEX(J$1:J379,SUMPRODUCT(MAX(ROW(E$1:E379)*(E380=E$1:E379)))))</f>
        <v/>
      </c>
      <c r="L380" s="26"/>
    </row>
    <row r="381" spans="1:12" x14ac:dyDescent="0.3">
      <c r="A381" t="s">
        <v>176</v>
      </c>
      <c r="E381" s="21" t="str">
        <f t="shared" si="36"/>
        <v/>
      </c>
      <c r="F381" s="22" t="str">
        <f>IF(OR(E381="",E381="!!!"),"",IF(NOT(ISNA(VLOOKUP(E381,E$1:E380,1,FALSE()))),"OLD",IF(AND(E381&lt;&gt;"",E381&lt;&gt;"!!!"),"NEW","")))</f>
        <v/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/>
      </c>
      <c r="H381" s="24" t="str">
        <f t="shared" ca="1" si="37"/>
        <v/>
      </c>
      <c r="I381" s="25" t="str">
        <f>IF(OR(E381="",E381="!!!",F381="NEW"),"",INDEX(B$2:B380,-1+SUMPRODUCT(MAX(ROW(E$2:E380)*(E381=E$2:E380)))))</f>
        <v/>
      </c>
      <c r="J381" s="25" t="str">
        <f ca="1">IF(OR(E381="",E381="!!!",F381="NEW"),"",COUNTBLANK(OFFSET(A$1,,,SUMPRODUCT(MAX(ROW(E$2:E381)*(E381=E$2:E381)))))-COUNTBLANK(OFFSET(A$1,,,SUMPRODUCT(MAX(ROW(E$1:E380)*(E2=E$1:E380))))))</f>
        <v/>
      </c>
      <c r="K381" s="25" t="str">
        <f>IF(OR(E381="",E381="!!!",F381="NEW"),"",INDEX(J$1:J380,SUMPRODUCT(MAX(ROW(E$1:E380)*(E381=E$1:E380)))))</f>
        <v/>
      </c>
      <c r="L381" s="26"/>
    </row>
    <row r="383" spans="1:12" x14ac:dyDescent="0.3">
      <c r="A383" t="s">
        <v>378</v>
      </c>
    </row>
    <row r="384" spans="1:12" x14ac:dyDescent="0.3">
      <c r="A384" t="s">
        <v>379</v>
      </c>
      <c r="E384" s="21" t="str">
        <f t="shared" ref="E384:E395" si="38">IF(D384="?OLD","!!!","")</f>
        <v/>
      </c>
      <c r="F384" s="22" t="str">
        <f>IF(OR(E384="",E384="!!!"),"",IF(NOT(ISNA(VLOOKUP(E384,E$1:E383,1,FALSE()))),"OLD",IF(AND(E384&lt;&gt;"",E384&lt;&gt;"!!!"),"NEW","")))</f>
        <v/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/>
      </c>
      <c r="H384" s="24" t="str">
        <f t="shared" ref="H384:H395" ca="1" si="39">IF(J384&lt;&gt;1,"",IF(I384="SBJ","CB","?"))</f>
        <v/>
      </c>
      <c r="I384" s="25" t="str">
        <f>IF(OR(E384="",E384="!!!",F384="NEW"),"",INDEX(B$2:B383,-1+SUMPRODUCT(MAX(ROW(E$2:E383)*(E384=E$2:E383)))))</f>
        <v/>
      </c>
      <c r="J384" s="25" t="str">
        <f ca="1">IF(OR(E384="",E384="!!!",F384="NEW"),"",COUNTBLANK(OFFSET(A$1,,,SUMPRODUCT(MAX(ROW(E$2:E384)*(E384=E$2:E384)))))-COUNTBLANK(OFFSET(A$1,,,SUMPRODUCT(MAX(ROW(E$1:E383)*(E2=E$1:E383))))))</f>
        <v/>
      </c>
      <c r="K384" s="25" t="str">
        <f>IF(OR(E384="",E384="!!!",F384="NEW"),"",INDEX(J$1:J383,SUMPRODUCT(MAX(ROW(E$1:E383)*(E384=E$1:E383)))))</f>
        <v/>
      </c>
      <c r="L384" s="26"/>
    </row>
    <row r="385" spans="1:12" x14ac:dyDescent="0.3">
      <c r="A385" t="s">
        <v>380</v>
      </c>
      <c r="E385" s="21" t="str">
        <f t="shared" si="38"/>
        <v/>
      </c>
      <c r="F385" s="22" t="str">
        <f>IF(OR(E385="",E385="!!!"),"",IF(NOT(ISNA(VLOOKUP(E385,E$1:E384,1,FALSE()))),"OLD",IF(AND(E385&lt;&gt;"",E385&lt;&gt;"!!!"),"NEW","")))</f>
        <v/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/>
      </c>
      <c r="H385" s="24" t="str">
        <f t="shared" ca="1" si="39"/>
        <v/>
      </c>
      <c r="I385" s="25" t="str">
        <f>IF(OR(E385="",E385="!!!",F385="NEW"),"",INDEX(B$2:B384,-1+SUMPRODUCT(MAX(ROW(E$2:E384)*(E385=E$2:E384)))))</f>
        <v/>
      </c>
      <c r="J385" s="25" t="str">
        <f ca="1">IF(OR(E385="",E385="!!!",F385="NEW"),"",COUNTBLANK(OFFSET(A$1,,,SUMPRODUCT(MAX(ROW(E$2:E385)*(E385=E$2:E385)))))-COUNTBLANK(OFFSET(A$1,,,SUMPRODUCT(MAX(ROW(E$1:E384)*(E2=E$1:E384))))))</f>
        <v/>
      </c>
      <c r="K385" s="25" t="str">
        <f>IF(OR(E385="",E385="!!!",F385="NEW"),"",INDEX(J$1:J384,SUMPRODUCT(MAX(ROW(E$1:E384)*(E385=E$1:E384)))))</f>
        <v/>
      </c>
      <c r="L385" s="26"/>
    </row>
    <row r="386" spans="1:12" x14ac:dyDescent="0.3">
      <c r="A386" t="s">
        <v>222</v>
      </c>
      <c r="B386" s="20" t="s">
        <v>182</v>
      </c>
      <c r="C386" s="20" t="s">
        <v>202</v>
      </c>
      <c r="E386" s="21" t="str">
        <f t="shared" si="38"/>
        <v/>
      </c>
      <c r="F386" s="22" t="str">
        <f>IF(OR(E386="",E386="!!!"),"",IF(NOT(ISNA(VLOOKUP(E386,E$1:E385,1,FALSE()))),"OLD",IF(AND(E386&lt;&gt;"",E386&lt;&gt;"!!!"),"NEW","")))</f>
        <v/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/>
      </c>
      <c r="H386" s="24" t="str">
        <f t="shared" ca="1" si="39"/>
        <v/>
      </c>
      <c r="I386" s="25" t="str">
        <f>IF(OR(E386="",E386="!!!",F386="NEW"),"",INDEX(B$2:B385,-1+SUMPRODUCT(MAX(ROW(E$2:E385)*(E386=E$2:E385)))))</f>
        <v/>
      </c>
      <c r="J386" s="25" t="str">
        <f ca="1">IF(OR(E386="",E386="!!!",F386="NEW"),"",COUNTBLANK(OFFSET(A$1,,,SUMPRODUCT(MAX(ROW(E$2:E386)*(E386=E$2:E386)))))-COUNTBLANK(OFFSET(A$1,,,SUMPRODUCT(MAX(ROW(E$1:E385)*(E2=E$1:E385))))))</f>
        <v/>
      </c>
      <c r="K386" s="25" t="str">
        <f>IF(OR(E386="",E386="!!!",F386="NEW"),"",INDEX(J$1:J385,SUMPRODUCT(MAX(ROW(E$1:E385)*(E386=E$1:E385)))))</f>
        <v/>
      </c>
      <c r="L386" s="26"/>
    </row>
    <row r="387" spans="1:12" x14ac:dyDescent="0.3">
      <c r="A387" t="s">
        <v>281</v>
      </c>
      <c r="E387" s="21" t="str">
        <f t="shared" si="38"/>
        <v/>
      </c>
      <c r="F387" s="22" t="str">
        <f>IF(OR(E387="",E387="!!!"),"",IF(NOT(ISNA(VLOOKUP(E387,E$1:E386,1,FALSE()))),"OLD",IF(AND(E387&lt;&gt;"",E387&lt;&gt;"!!!"),"NEW","")))</f>
        <v/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/>
      </c>
      <c r="H387" s="24" t="str">
        <f t="shared" ca="1" si="39"/>
        <v/>
      </c>
      <c r="I387" s="25" t="str">
        <f>IF(OR(E387="",E387="!!!",F387="NEW"),"",INDEX(B$2:B386,-1+SUMPRODUCT(MAX(ROW(E$2:E386)*(E387=E$2:E386)))))</f>
        <v/>
      </c>
      <c r="J387" s="25" t="str">
        <f ca="1">IF(OR(E387="",E387="!!!",F387="NEW"),"",COUNTBLANK(OFFSET(A$1,,,SUMPRODUCT(MAX(ROW(E$2:E387)*(E387=E$2:E387)))))-COUNTBLANK(OFFSET(A$1,,,SUMPRODUCT(MAX(ROW(E$1:E386)*(E2=E$1:E386))))))</f>
        <v/>
      </c>
      <c r="K387" s="25" t="str">
        <f>IF(OR(E387="",E387="!!!",F387="NEW"),"",INDEX(J$1:J386,SUMPRODUCT(MAX(ROW(E$1:E386)*(E387=E$1:E386)))))</f>
        <v/>
      </c>
      <c r="L387" s="26"/>
    </row>
    <row r="388" spans="1:12" x14ac:dyDescent="0.3">
      <c r="A388" t="s">
        <v>381</v>
      </c>
      <c r="B388" s="20" t="s">
        <v>183</v>
      </c>
      <c r="C388" s="20" t="s">
        <v>382</v>
      </c>
      <c r="D388" s="20" t="s">
        <v>171</v>
      </c>
      <c r="E388" s="21"/>
      <c r="F388" s="22" t="str">
        <f>IF(OR(E388="",E388="!!!"),"",IF(NOT(ISNA(VLOOKUP(E388,E$1:E387,1,FALSE()))),"OLD",IF(AND(E388&lt;&gt;"",E388&lt;&gt;"!!!"),"NEW","")))</f>
        <v/>
      </c>
      <c r="G388" s="23"/>
      <c r="H388" s="24" t="str">
        <f t="shared" ca="1" si="39"/>
        <v/>
      </c>
      <c r="I388" s="25" t="str">
        <f>IF(OR(E388="",E388="!!!",F388="NEW"),"",INDEX(B$2:B387,-1+SUMPRODUCT(MAX(ROW(E$2:E387)*(E388=E$2:E387)))))</f>
        <v/>
      </c>
      <c r="J388" s="25" t="str">
        <f ca="1">IF(OR(E388="",E388="!!!",F388="NEW"),"",COUNTBLANK(OFFSET(A$1,,,SUMPRODUCT(MAX(ROW(E$2:E388)*(E388=E$2:E388)))))-COUNTBLANK(OFFSET(A$1,,,SUMPRODUCT(MAX(ROW(E$1:E387)*(E2=E$1:E387))))))</f>
        <v/>
      </c>
      <c r="K388" s="25" t="str">
        <f>IF(OR(E388="",E388="!!!",F388="NEW"),"",INDEX(J$1:J387,SUMPRODUCT(MAX(ROW(E$1:E387)*(E388=E$1:E387)))))</f>
        <v/>
      </c>
      <c r="L388" s="26"/>
    </row>
    <row r="389" spans="1:12" x14ac:dyDescent="0.3">
      <c r="A389" t="s">
        <v>383</v>
      </c>
      <c r="E389" s="21">
        <v>2020</v>
      </c>
      <c r="F389" s="22" t="str">
        <f>IF(OR(E389="",E389="!!!"),"",IF(NOT(ISNA(VLOOKUP(E389,E$1:E388,1,FALSE()))),"OLD",IF(AND(E389&lt;&gt;"",E389&lt;&gt;"!!!"),"NEW","")))</f>
        <v>NEW</v>
      </c>
      <c r="G389" s="23" t="s">
        <v>510</v>
      </c>
      <c r="H389" s="24" t="str">
        <f t="shared" ca="1" si="39"/>
        <v/>
      </c>
      <c r="I389" s="25" t="str">
        <f>IF(OR(E389="",E389="!!!",F389="NEW"),"",INDEX(B$2:B388,-1+SUMPRODUCT(MAX(ROW(E$2:E388)*(E389=E$2:E388)))))</f>
        <v/>
      </c>
      <c r="J389" s="25" t="str">
        <f ca="1">IF(OR(E389="",E389="!!!",F389="NEW"),"",COUNTBLANK(OFFSET(A$1,,,SUMPRODUCT(MAX(ROW(E$2:E389)*(E389=E$2:E389)))))-COUNTBLANK(OFFSET(A$1,,,SUMPRODUCT(MAX(ROW(E$1:E388)*(E2=E$1:E388))))))</f>
        <v/>
      </c>
      <c r="K389" s="25" t="str">
        <f>IF(OR(E389="",E389="!!!",F389="NEW"),"",INDEX(J$1:J388,SUMPRODUCT(MAX(ROW(E$1:E388)*(E389=E$1:E388)))))</f>
        <v/>
      </c>
      <c r="L389" s="26" t="s">
        <v>517</v>
      </c>
    </row>
    <row r="390" spans="1:12" x14ac:dyDescent="0.3">
      <c r="A390" t="s">
        <v>98</v>
      </c>
      <c r="E390" s="21" t="str">
        <f t="shared" si="38"/>
        <v/>
      </c>
      <c r="F390" s="22" t="str">
        <f>IF(OR(E390="",E390="!!!"),"",IF(NOT(ISNA(VLOOKUP(E390,E$1:E389,1,FALSE()))),"OLD",IF(AND(E390&lt;&gt;"",E390&lt;&gt;"!!!"),"NEW","")))</f>
        <v/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/>
      </c>
      <c r="H390" s="24" t="str">
        <f t="shared" ca="1" si="39"/>
        <v/>
      </c>
      <c r="I390" s="25" t="str">
        <f>IF(OR(E390="",E390="!!!",F390="NEW"),"",INDEX(B$2:B389,-1+SUMPRODUCT(MAX(ROW(E$2:E389)*(E390=E$2:E389)))))</f>
        <v/>
      </c>
      <c r="J390" s="25" t="str">
        <f ca="1">IF(OR(E390="",E390="!!!",F390="NEW"),"",COUNTBLANK(OFFSET(A$1,,,SUMPRODUCT(MAX(ROW(E$2:E390)*(E390=E$2:E390)))))-COUNTBLANK(OFFSET(A$1,,,SUMPRODUCT(MAX(ROW(E$1:E389)*(E2=E$1:E389))))))</f>
        <v/>
      </c>
      <c r="K390" s="25" t="str">
        <f>IF(OR(E390="",E390="!!!",F390="NEW"),"",INDEX(J$1:J389,SUMPRODUCT(MAX(ROW(E$1:E389)*(E390=E$1:E389)))))</f>
        <v/>
      </c>
      <c r="L390" s="26"/>
    </row>
    <row r="391" spans="1:12" x14ac:dyDescent="0.3">
      <c r="A391" t="s">
        <v>241</v>
      </c>
      <c r="B391" s="20" t="s">
        <v>209</v>
      </c>
      <c r="C391" s="20" t="s">
        <v>242</v>
      </c>
      <c r="D391" s="20" t="s">
        <v>171</v>
      </c>
      <c r="E391" s="21" t="s">
        <v>498</v>
      </c>
      <c r="F391" s="22" t="s">
        <v>506</v>
      </c>
      <c r="G391" s="23" t="s">
        <v>513</v>
      </c>
      <c r="H391" s="24" t="s">
        <v>160</v>
      </c>
      <c r="I391" s="25" t="str">
        <f>IF(OR(E391="",E391="!!!",F391="NEW"),"",INDEX(B$2:B390,-1+SUMPRODUCT(MAX(ROW(E$2:E390)*(E391=E$2:E390)))))</f>
        <v>OBJ</v>
      </c>
      <c r="J391" s="25">
        <f ca="1">IF(OR(E391="",E391="!!!",F391="NEW"),"",COUNTBLANK(OFFSET(A$1,,,SUMPRODUCT(MAX(ROW(E$2:E391)*(E391=E$2:E391)))))-COUNTBLANK(OFFSET(A$1,,,SUMPRODUCT(MAX(ROW(E$1:E390)*(E2=E$1:E390))))))</f>
        <v>0</v>
      </c>
      <c r="K391" s="25">
        <f ca="1">IF(OR(E391="",E391="!!!",F391="NEW"),"",INDEX(J$1:J390,SUMPRODUCT(MAX(ROW(E$1:E390)*(E391=E$1:E390)))))</f>
        <v>0</v>
      </c>
      <c r="L391" s="26"/>
    </row>
    <row r="392" spans="1:12" x14ac:dyDescent="0.3">
      <c r="A392" t="s">
        <v>384</v>
      </c>
      <c r="E392" s="21" t="str">
        <f t="shared" si="38"/>
        <v/>
      </c>
      <c r="F392" s="22" t="str">
        <f>IF(OR(E392="",E392="!!!"),"",IF(NOT(ISNA(VLOOKUP(E392,E$1:E391,1,FALSE()))),"OLD",IF(AND(E392&lt;&gt;"",E392&lt;&gt;"!!!"),"NEW","")))</f>
        <v/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/>
      </c>
      <c r="H392" s="24" t="str">
        <f t="shared" ca="1" si="39"/>
        <v/>
      </c>
      <c r="I392" s="25" t="str">
        <f>IF(OR(E392="",E392="!!!",F392="NEW"),"",INDEX(B$2:B391,-1+SUMPRODUCT(MAX(ROW(E$2:E391)*(E392=E$2:E391)))))</f>
        <v/>
      </c>
      <c r="J392" s="25" t="str">
        <f ca="1">IF(OR(E392="",E392="!!!",F392="NEW"),"",COUNTBLANK(OFFSET(A$1,,,SUMPRODUCT(MAX(ROW(E$2:E392)*(E392=E$2:E392)))))-COUNTBLANK(OFFSET(A$1,,,SUMPRODUCT(MAX(ROW(E$1:E391)*(E2=E$1:E391))))))</f>
        <v/>
      </c>
      <c r="K392" s="25" t="str">
        <f>IF(OR(E392="",E392="!!!",F392="NEW"),"",INDEX(J$1:J391,SUMPRODUCT(MAX(ROW(E$1:E391)*(E392=E$1:E391)))))</f>
        <v/>
      </c>
      <c r="L392" s="26"/>
    </row>
    <row r="393" spans="1:12" x14ac:dyDescent="0.3">
      <c r="A393" t="s">
        <v>173</v>
      </c>
      <c r="B393" s="20" t="s">
        <v>183</v>
      </c>
      <c r="C393" s="20" t="s">
        <v>216</v>
      </c>
      <c r="E393" s="21" t="str">
        <f t="shared" si="38"/>
        <v/>
      </c>
      <c r="F393" s="22" t="str">
        <f>IF(OR(E393="",E393="!!!"),"",IF(NOT(ISNA(VLOOKUP(E393,E$1:E392,1,FALSE()))),"OLD",IF(AND(E393&lt;&gt;"",E393&lt;&gt;"!!!"),"NEW","")))</f>
        <v/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/>
      </c>
      <c r="H393" s="24" t="str">
        <f t="shared" ca="1" si="39"/>
        <v/>
      </c>
      <c r="I393" s="25" t="str">
        <f>IF(OR(E393="",E393="!!!",F393="NEW"),"",INDEX(B$2:B392,-1+SUMPRODUCT(MAX(ROW(E$2:E392)*(E393=E$2:E392)))))</f>
        <v/>
      </c>
      <c r="J393" s="25" t="str">
        <f ca="1">IF(OR(E393="",E393="!!!",F393="NEW"),"",COUNTBLANK(OFFSET(A$1,,,SUMPRODUCT(MAX(ROW(E$2:E393)*(E393=E$2:E393)))))-COUNTBLANK(OFFSET(A$1,,,SUMPRODUCT(MAX(ROW(E$1:E392)*(E2=E$1:E392))))))</f>
        <v/>
      </c>
      <c r="K393" s="25" t="str">
        <f>IF(OR(E393="",E393="!!!",F393="NEW"),"",INDEX(J$1:J392,SUMPRODUCT(MAX(ROW(E$1:E392)*(E393=E$1:E392)))))</f>
        <v/>
      </c>
      <c r="L393" s="26"/>
    </row>
    <row r="394" spans="1:12" x14ac:dyDescent="0.3">
      <c r="A394" t="s">
        <v>385</v>
      </c>
      <c r="E394" s="21" t="str">
        <f t="shared" si="38"/>
        <v/>
      </c>
      <c r="F394" s="22" t="str">
        <f>IF(OR(E394="",E394="!!!"),"",IF(NOT(ISNA(VLOOKUP(E394,E$1:E393,1,FALSE()))),"OLD",IF(AND(E394&lt;&gt;"",E394&lt;&gt;"!!!"),"NEW","")))</f>
        <v/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/>
      </c>
      <c r="H394" s="24" t="str">
        <f t="shared" ca="1" si="39"/>
        <v/>
      </c>
      <c r="I394" s="25" t="str">
        <f>IF(OR(E394="",E394="!!!",F394="NEW"),"",INDEX(B$2:B393,-1+SUMPRODUCT(MAX(ROW(E$2:E393)*(E394=E$2:E393)))))</f>
        <v/>
      </c>
      <c r="J394" s="25" t="str">
        <f ca="1">IF(OR(E394="",E394="!!!",F394="NEW"),"",COUNTBLANK(OFFSET(A$1,,,SUMPRODUCT(MAX(ROW(E$2:E394)*(E394=E$2:E394)))))-COUNTBLANK(OFFSET(A$1,,,SUMPRODUCT(MAX(ROW(E$1:E393)*(E2=E$1:E393))))))</f>
        <v/>
      </c>
      <c r="K394" s="25" t="str">
        <f>IF(OR(E394="",E394="!!!",F394="NEW"),"",INDEX(J$1:J393,SUMPRODUCT(MAX(ROW(E$1:E393)*(E394=E$1:E393)))))</f>
        <v/>
      </c>
      <c r="L394" s="26"/>
    </row>
    <row r="395" spans="1:12" x14ac:dyDescent="0.3">
      <c r="A395" t="s">
        <v>197</v>
      </c>
      <c r="E395" s="21" t="str">
        <f t="shared" si="38"/>
        <v/>
      </c>
      <c r="F395" s="22" t="str">
        <f>IF(OR(E395="",E395="!!!"),"",IF(NOT(ISNA(VLOOKUP(E395,E$1:E394,1,FALSE()))),"OLD",IF(AND(E395&lt;&gt;"",E395&lt;&gt;"!!!"),"NEW","")))</f>
        <v/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/>
      </c>
      <c r="H395" s="24" t="str">
        <f t="shared" ca="1" si="39"/>
        <v/>
      </c>
      <c r="I395" s="25" t="str">
        <f>IF(OR(E395="",E395="!!!",F395="NEW"),"",INDEX(B$2:B394,-1+SUMPRODUCT(MAX(ROW(E$2:E394)*(E395=E$2:E394)))))</f>
        <v/>
      </c>
      <c r="J395" s="25" t="str">
        <f ca="1">IF(OR(E395="",E395="!!!",F395="NEW"),"",COUNTBLANK(OFFSET(A$1,,,SUMPRODUCT(MAX(ROW(E$2:E395)*(E395=E$2:E395)))))-COUNTBLANK(OFFSET(A$1,,,SUMPRODUCT(MAX(ROW(E$1:E394)*(E2=E$1:E394))))))</f>
        <v/>
      </c>
      <c r="K395" s="25" t="str">
        <f>IF(OR(E395="",E395="!!!",F395="NEW"),"",INDEX(J$1:J394,SUMPRODUCT(MAX(ROW(E$1:E394)*(E395=E$1:E394)))))</f>
        <v/>
      </c>
      <c r="L395" s="26"/>
    </row>
    <row r="397" spans="1:12" x14ac:dyDescent="0.3">
      <c r="A397" t="s">
        <v>386</v>
      </c>
    </row>
    <row r="398" spans="1:12" x14ac:dyDescent="0.3">
      <c r="A398" t="s">
        <v>387</v>
      </c>
      <c r="E398" s="21" t="str">
        <f t="shared" ref="E398:E419" si="40">IF(D398="?OLD","!!!","")</f>
        <v/>
      </c>
      <c r="F398" s="22" t="str">
        <f>IF(OR(E398="",E398="!!!"),"",IF(NOT(ISNA(VLOOKUP(E398,E$1:E397,1,FALSE()))),"OLD",IF(AND(E398&lt;&gt;"",E398&lt;&gt;"!!!"),"NEW","")))</f>
        <v/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/>
      </c>
      <c r="H398" s="24" t="str">
        <f t="shared" ref="H398:H419" ca="1" si="41">IF(J398&lt;&gt;1,"",IF(I398="SBJ","CB","?"))</f>
        <v/>
      </c>
      <c r="I398" s="25" t="str">
        <f>IF(OR(E398="",E398="!!!",F398="NEW"),"",INDEX(B$2:B397,-1+SUMPRODUCT(MAX(ROW(E$2:E397)*(E398=E$2:E397)))))</f>
        <v/>
      </c>
      <c r="J398" s="25" t="str">
        <f ca="1">IF(OR(E398="",E398="!!!",F398="NEW"),"",COUNTBLANK(OFFSET(A$1,,,SUMPRODUCT(MAX(ROW(E$2:E398)*(E398=E$2:E398)))))-COUNTBLANK(OFFSET(A$1,,,SUMPRODUCT(MAX(ROW(E$1:E397)*(E2=E$1:E397))))))</f>
        <v/>
      </c>
      <c r="K398" s="25" t="str">
        <f>IF(OR(E398="",E398="!!!",F398="NEW"),"",INDEX(J$1:J397,SUMPRODUCT(MAX(ROW(E$1:E397)*(E398=E$1:E397)))))</f>
        <v/>
      </c>
      <c r="L398" s="26"/>
    </row>
    <row r="399" spans="1:12" x14ac:dyDescent="0.3">
      <c r="A399" t="s">
        <v>305</v>
      </c>
      <c r="B399" s="20" t="s">
        <v>215</v>
      </c>
      <c r="E399" s="21" t="s">
        <v>498</v>
      </c>
      <c r="F399" s="22" t="str">
        <f>IF(OR(E399="",E399="!!!"),"",IF(NOT(ISNA(VLOOKUP(E399,E$1:E398,1,FALSE()))),"OLD",IF(AND(E399&lt;&gt;"",E399&lt;&gt;"!!!"),"NEW","")))</f>
        <v>OLD</v>
      </c>
      <c r="G399" s="23" t="s">
        <v>513</v>
      </c>
      <c r="H399" s="24" t="s">
        <v>160</v>
      </c>
      <c r="I399" s="25" t="str">
        <f>IF(OR(E399="",E399="!!!",F399="NEW"),"",INDEX(B$2:B398,-1+SUMPRODUCT(MAX(ROW(E$2:E398)*(E399=E$2:E398)))))</f>
        <v>SBJ_2</v>
      </c>
      <c r="J399" s="25">
        <f ca="1">IF(OR(E399="",E399="!!!",F399="NEW"),"",COUNTBLANK(OFFSET(A$1,,,SUMPRODUCT(MAX(ROW(E$2:E399)*(E399=E$2:E399)))))-COUNTBLANK(OFFSET(A$1,,,SUMPRODUCT(MAX(ROW(E$1:E398)*(E2=E$1:E398))))))</f>
        <v>0</v>
      </c>
      <c r="K399" s="25">
        <f ca="1">IF(OR(E399="",E399="!!!",F399="NEW"),"",INDEX(J$1:J398,SUMPRODUCT(MAX(ROW(E$1:E398)*(E399=E$1:E398)))))</f>
        <v>0</v>
      </c>
      <c r="L399" s="26"/>
    </row>
    <row r="400" spans="1:12" x14ac:dyDescent="0.3">
      <c r="A400" t="s">
        <v>222</v>
      </c>
      <c r="E400" s="21" t="str">
        <f t="shared" si="40"/>
        <v/>
      </c>
      <c r="F400" s="22" t="str">
        <f>IF(OR(E400="",E400="!!!"),"",IF(NOT(ISNA(VLOOKUP(E400,E$1:E399,1,FALSE()))),"OLD",IF(AND(E400&lt;&gt;"",E400&lt;&gt;"!!!"),"NEW","")))</f>
        <v/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/>
      </c>
      <c r="H400" s="24" t="str">
        <f t="shared" ca="1" si="41"/>
        <v/>
      </c>
      <c r="I400" s="25" t="str">
        <f>IF(OR(E400="",E400="!!!",F400="NEW"),"",INDEX(B$2:B399,-1+SUMPRODUCT(MAX(ROW(E$2:E399)*(E400=E$2:E399)))))</f>
        <v/>
      </c>
      <c r="J400" s="25" t="str">
        <f ca="1">IF(OR(E400="",E400="!!!",F400="NEW"),"",COUNTBLANK(OFFSET(A$1,,,SUMPRODUCT(MAX(ROW(E$2:E400)*(E400=E$2:E400)))))-COUNTBLANK(OFFSET(A$1,,,SUMPRODUCT(MAX(ROW(E$1:E399)*(E2=E$1:E399))))))</f>
        <v/>
      </c>
      <c r="K400" s="25" t="str">
        <f>IF(OR(E400="",E400="!!!",F400="NEW"),"",INDEX(J$1:J399,SUMPRODUCT(MAX(ROW(E$1:E399)*(E400=E$1:E399)))))</f>
        <v/>
      </c>
      <c r="L400" s="26"/>
    </row>
    <row r="401" spans="1:12" x14ac:dyDescent="0.3">
      <c r="A401" t="s">
        <v>388</v>
      </c>
      <c r="E401" s="21" t="str">
        <f t="shared" si="40"/>
        <v/>
      </c>
      <c r="F401" s="22" t="str">
        <f>IF(OR(E401="",E401="!!!"),"",IF(NOT(ISNA(VLOOKUP(E401,E$1:E400,1,FALSE()))),"OLD",IF(AND(E401&lt;&gt;"",E401&lt;&gt;"!!!"),"NEW","")))</f>
        <v/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/>
      </c>
      <c r="H401" s="24" t="str">
        <f t="shared" ca="1" si="41"/>
        <v/>
      </c>
      <c r="I401" s="25" t="str">
        <f>IF(OR(E401="",E401="!!!",F401="NEW"),"",INDEX(B$2:B400,-1+SUMPRODUCT(MAX(ROW(E$2:E400)*(E401=E$2:E400)))))</f>
        <v/>
      </c>
      <c r="J401" s="25" t="str">
        <f ca="1">IF(OR(E401="",E401="!!!",F401="NEW"),"",COUNTBLANK(OFFSET(A$1,,,SUMPRODUCT(MAX(ROW(E$2:E401)*(E401=E$2:E401)))))-COUNTBLANK(OFFSET(A$1,,,SUMPRODUCT(MAX(ROW(E$1:E400)*(E2=E$1:E400))))))</f>
        <v/>
      </c>
      <c r="K401" s="25" t="str">
        <f>IF(OR(E401="",E401="!!!",F401="NEW"),"",INDEX(J$1:J400,SUMPRODUCT(MAX(ROW(E$1:E400)*(E401=E$1:E400)))))</f>
        <v/>
      </c>
      <c r="L401" s="26"/>
    </row>
    <row r="402" spans="1:12" x14ac:dyDescent="0.3">
      <c r="A402" t="s">
        <v>206</v>
      </c>
      <c r="E402" s="21" t="str">
        <f t="shared" si="40"/>
        <v/>
      </c>
      <c r="F402" s="22" t="str">
        <f>IF(OR(E402="",E402="!!!"),"",IF(NOT(ISNA(VLOOKUP(E402,E$1:E401,1,FALSE()))),"OLD",IF(AND(E402&lt;&gt;"",E402&lt;&gt;"!!!"),"NEW","")))</f>
        <v/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/>
      </c>
      <c r="H402" s="24" t="str">
        <f t="shared" ca="1" si="41"/>
        <v/>
      </c>
      <c r="I402" s="25" t="str">
        <f>IF(OR(E402="",E402="!!!",F402="NEW"),"",INDEX(B$2:B401,-1+SUMPRODUCT(MAX(ROW(E$2:E401)*(E402=E$2:E401)))))</f>
        <v/>
      </c>
      <c r="J402" s="25" t="str">
        <f ca="1">IF(OR(E402="",E402="!!!",F402="NEW"),"",COUNTBLANK(OFFSET(A$1,,,SUMPRODUCT(MAX(ROW(E$2:E402)*(E402=E$2:E402)))))-COUNTBLANK(OFFSET(A$1,,,SUMPRODUCT(MAX(ROW(E$1:E401)*(E2=E$1:E401))))))</f>
        <v/>
      </c>
      <c r="K402" s="25" t="str">
        <f>IF(OR(E402="",E402="!!!",F402="NEW"),"",INDEX(J$1:J401,SUMPRODUCT(MAX(ROW(E$1:E401)*(E402=E$1:E401)))))</f>
        <v/>
      </c>
      <c r="L402" s="26"/>
    </row>
    <row r="403" spans="1:12" x14ac:dyDescent="0.3">
      <c r="A403" t="s">
        <v>290</v>
      </c>
      <c r="E403" s="21" t="str">
        <f t="shared" si="40"/>
        <v/>
      </c>
      <c r="F403" s="22" t="str">
        <f>IF(OR(E403="",E403="!!!"),"",IF(NOT(ISNA(VLOOKUP(E403,E$1:E402,1,FALSE()))),"OLD",IF(AND(E403&lt;&gt;"",E403&lt;&gt;"!!!"),"NEW","")))</f>
        <v/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/>
      </c>
      <c r="H403" s="24" t="str">
        <f t="shared" ca="1" si="41"/>
        <v/>
      </c>
      <c r="I403" s="25" t="str">
        <f>IF(OR(E403="",E403="!!!",F403="NEW"),"",INDEX(B$2:B402,-1+SUMPRODUCT(MAX(ROW(E$2:E402)*(E403=E$2:E402)))))</f>
        <v/>
      </c>
      <c r="J403" s="25" t="str">
        <f ca="1">IF(OR(E403="",E403="!!!",F403="NEW"),"",COUNTBLANK(OFFSET(A$1,,,SUMPRODUCT(MAX(ROW(E$2:E403)*(E403=E$2:E403)))))-COUNTBLANK(OFFSET(A$1,,,SUMPRODUCT(MAX(ROW(E$1:E402)*(E2=E$1:E402))))))</f>
        <v/>
      </c>
      <c r="K403" s="25" t="str">
        <f>IF(OR(E403="",E403="!!!",F403="NEW"),"",INDEX(J$1:J402,SUMPRODUCT(MAX(ROW(E$1:E402)*(E403=E$1:E402)))))</f>
        <v/>
      </c>
      <c r="L403" s="26"/>
    </row>
    <row r="404" spans="1:12" x14ac:dyDescent="0.3">
      <c r="A404" t="s">
        <v>193</v>
      </c>
      <c r="E404" s="21" t="str">
        <f t="shared" si="40"/>
        <v/>
      </c>
      <c r="F404" s="22" t="str">
        <f>IF(OR(E404="",E404="!!!"),"",IF(NOT(ISNA(VLOOKUP(E404,E$1:E403,1,FALSE()))),"OLD",IF(AND(E404&lt;&gt;"",E404&lt;&gt;"!!!"),"NEW","")))</f>
        <v/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/>
      </c>
      <c r="H404" s="24" t="str">
        <f t="shared" ca="1" si="41"/>
        <v/>
      </c>
      <c r="I404" s="25" t="str">
        <f>IF(OR(E404="",E404="!!!",F404="NEW"),"",INDEX(B$2:B403,-1+SUMPRODUCT(MAX(ROW(E$2:E403)*(E404=E$2:E403)))))</f>
        <v/>
      </c>
      <c r="J404" s="25" t="str">
        <f ca="1">IF(OR(E404="",E404="!!!",F404="NEW"),"",COUNTBLANK(OFFSET(A$1,,,SUMPRODUCT(MAX(ROW(E$2:E404)*(E404=E$2:E404)))))-COUNTBLANK(OFFSET(A$1,,,SUMPRODUCT(MAX(ROW(E$1:E403)*(E2=E$1:E403))))))</f>
        <v/>
      </c>
      <c r="K404" s="25" t="str">
        <f>IF(OR(E404="",E404="!!!",F404="NEW"),"",INDEX(J$1:J403,SUMPRODUCT(MAX(ROW(E$1:E403)*(E404=E$1:E403)))))</f>
        <v/>
      </c>
      <c r="L404" s="26"/>
    </row>
    <row r="405" spans="1:12" x14ac:dyDescent="0.3">
      <c r="A405" t="s">
        <v>389</v>
      </c>
      <c r="E405" s="21" t="str">
        <f t="shared" si="40"/>
        <v/>
      </c>
      <c r="F405" s="22" t="str">
        <f>IF(OR(E405="",E405="!!!"),"",IF(NOT(ISNA(VLOOKUP(E405,E$1:E404,1,FALSE()))),"OLD",IF(AND(E405&lt;&gt;"",E405&lt;&gt;"!!!"),"NEW","")))</f>
        <v/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/>
      </c>
      <c r="H405" s="24" t="str">
        <f t="shared" ca="1" si="41"/>
        <v/>
      </c>
      <c r="I405" s="25" t="str">
        <f>IF(OR(E405="",E405="!!!",F405="NEW"),"",INDEX(B$2:B404,-1+SUMPRODUCT(MAX(ROW(E$2:E404)*(E405=E$2:E404)))))</f>
        <v/>
      </c>
      <c r="J405" s="25" t="str">
        <f ca="1">IF(OR(E405="",E405="!!!",F405="NEW"),"",COUNTBLANK(OFFSET(A$1,,,SUMPRODUCT(MAX(ROW(E$2:E405)*(E405=E$2:E405)))))-COUNTBLANK(OFFSET(A$1,,,SUMPRODUCT(MAX(ROW(E$1:E404)*(E2=E$1:E404))))))</f>
        <v/>
      </c>
      <c r="K405" s="25" t="str">
        <f>IF(OR(E405="",E405="!!!",F405="NEW"),"",INDEX(J$1:J404,SUMPRODUCT(MAX(ROW(E$1:E404)*(E405=E$1:E404)))))</f>
        <v/>
      </c>
      <c r="L405" s="26"/>
    </row>
    <row r="406" spans="1:12" x14ac:dyDescent="0.3">
      <c r="A406" t="s">
        <v>390</v>
      </c>
      <c r="B406" s="20" t="s">
        <v>166</v>
      </c>
      <c r="C406" s="20" t="s">
        <v>195</v>
      </c>
      <c r="D406" s="20" t="s">
        <v>171</v>
      </c>
      <c r="E406" s="21"/>
      <c r="F406" s="22" t="s">
        <v>478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/>
      </c>
      <c r="H406" s="24" t="str">
        <f t="shared" ca="1" si="41"/>
        <v/>
      </c>
      <c r="I406" s="25" t="str">
        <f>IF(OR(E406="",E406="!!!",F406="NEW"),"",INDEX(B$2:B405,-1+SUMPRODUCT(MAX(ROW(E$2:E405)*(E406=E$2:E405)))))</f>
        <v/>
      </c>
      <c r="J406" s="25" t="str">
        <f ca="1">IF(OR(E406="",E406="!!!",F406="NEW"),"",COUNTBLANK(OFFSET(A$1,,,SUMPRODUCT(MAX(ROW(E$2:E406)*(E406=E$2:E406)))))-COUNTBLANK(OFFSET(A$1,,,SUMPRODUCT(MAX(ROW(E$1:E405)*(E2=E$1:E405))))))</f>
        <v/>
      </c>
      <c r="K406" s="25" t="str">
        <f>IF(OR(E406="",E406="!!!",F406="NEW"),"",INDEX(J$1:J405,SUMPRODUCT(MAX(ROW(E$1:E405)*(E406=E$1:E405)))))</f>
        <v/>
      </c>
      <c r="L406" s="26"/>
    </row>
    <row r="407" spans="1:12" x14ac:dyDescent="0.3">
      <c r="A407" t="s">
        <v>391</v>
      </c>
      <c r="B407" s="20" t="s">
        <v>182</v>
      </c>
      <c r="C407" s="20" t="s">
        <v>170</v>
      </c>
      <c r="D407" s="20" t="s">
        <v>171</v>
      </c>
      <c r="E407" s="21" t="s">
        <v>479</v>
      </c>
      <c r="F407" s="22" t="str">
        <f>IF(OR(E407="",E407="!!!"),"",IF(NOT(ISNA(VLOOKUP(E407,E$1:E406,1,FALSE()))),"OLD",IF(AND(E407&lt;&gt;"",E407&lt;&gt;"!!!"),"NEW","")))</f>
        <v>NEW</v>
      </c>
      <c r="G407" s="23" t="s">
        <v>510</v>
      </c>
      <c r="H407" s="24" t="str">
        <f t="shared" ca="1" si="41"/>
        <v/>
      </c>
      <c r="I407" s="25" t="str">
        <f>IF(OR(E407="",E407="!!!",F407="NEW"),"",INDEX(B$2:B406,-1+SUMPRODUCT(MAX(ROW(E$2:E406)*(E407=E$2:E406)))))</f>
        <v/>
      </c>
      <c r="J407" s="25" t="str">
        <f ca="1">IF(OR(E407="",E407="!!!",F407="NEW"),"",COUNTBLANK(OFFSET(A$1,,,SUMPRODUCT(MAX(ROW(E$2:E407)*(E407=E$2:E407)))))-COUNTBLANK(OFFSET(A$1,,,SUMPRODUCT(MAX(ROW(E$1:E406)*(E2=E$1:E406))))))</f>
        <v/>
      </c>
      <c r="K407" s="25" t="str">
        <f>IF(OR(E407="",E407="!!!",F407="NEW"),"",INDEX(J$1:J406,SUMPRODUCT(MAX(ROW(E$1:E406)*(E407=E$1:E406)))))</f>
        <v/>
      </c>
      <c r="L407" s="26" t="s">
        <v>512</v>
      </c>
    </row>
    <row r="408" spans="1:12" x14ac:dyDescent="0.3">
      <c r="A408" t="s">
        <v>392</v>
      </c>
      <c r="E408" s="21" t="str">
        <f t="shared" si="40"/>
        <v/>
      </c>
      <c r="F408" s="22" t="str">
        <f>IF(OR(E408="",E408="!!!"),"",IF(NOT(ISNA(VLOOKUP(E408,E$1:E407,1,FALSE()))),"OLD",IF(AND(E408&lt;&gt;"",E408&lt;&gt;"!!!"),"NEW","")))</f>
        <v/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/>
      </c>
      <c r="H408" s="24" t="str">
        <f t="shared" ca="1" si="41"/>
        <v/>
      </c>
      <c r="I408" s="25" t="str">
        <f>IF(OR(E408="",E408="!!!",F408="NEW"),"",INDEX(B$2:B407,-1+SUMPRODUCT(MAX(ROW(E$2:E407)*(E408=E$2:E407)))))</f>
        <v/>
      </c>
      <c r="J408" s="25" t="str">
        <f ca="1">IF(OR(E408="",E408="!!!",F408="NEW"),"",COUNTBLANK(OFFSET(A$1,,,SUMPRODUCT(MAX(ROW(E$2:E408)*(E408=E$2:E408)))))-COUNTBLANK(OFFSET(A$1,,,SUMPRODUCT(MAX(ROW(E$1:E407)*(E2=E$1:E407))))))</f>
        <v/>
      </c>
      <c r="K408" s="25" t="str">
        <f>IF(OR(E408="",E408="!!!",F408="NEW"),"",INDEX(J$1:J407,SUMPRODUCT(MAX(ROW(E$1:E407)*(E408=E$1:E407)))))</f>
        <v/>
      </c>
      <c r="L408" s="26"/>
    </row>
    <row r="409" spans="1:12" x14ac:dyDescent="0.3">
      <c r="A409" t="s">
        <v>206</v>
      </c>
      <c r="E409" s="21" t="str">
        <f t="shared" si="40"/>
        <v/>
      </c>
      <c r="F409" s="22" t="str">
        <f>IF(OR(E409="",E409="!!!"),"",IF(NOT(ISNA(VLOOKUP(E409,E$1:E408,1,FALSE()))),"OLD",IF(AND(E409&lt;&gt;"",E409&lt;&gt;"!!!"),"NEW","")))</f>
        <v/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/>
      </c>
      <c r="H409" s="24" t="str">
        <f t="shared" ca="1" si="41"/>
        <v/>
      </c>
      <c r="I409" s="25" t="str">
        <f>IF(OR(E409="",E409="!!!",F409="NEW"),"",INDEX(B$2:B408,-1+SUMPRODUCT(MAX(ROW(E$2:E408)*(E409=E$2:E408)))))</f>
        <v/>
      </c>
      <c r="J409" s="25" t="str">
        <f ca="1">IF(OR(E409="",E409="!!!",F409="NEW"),"",COUNTBLANK(OFFSET(A$1,,,SUMPRODUCT(MAX(ROW(E$2:E409)*(E409=E$2:E409)))))-COUNTBLANK(OFFSET(A$1,,,SUMPRODUCT(MAX(ROW(E$1:E408)*(E2=E$1:E408))))))</f>
        <v/>
      </c>
      <c r="K409" s="25" t="str">
        <f>IF(OR(E409="",E409="!!!",F409="NEW"),"",INDEX(J$1:J408,SUMPRODUCT(MAX(ROW(E$1:E408)*(E409=E$1:E408)))))</f>
        <v/>
      </c>
      <c r="L409" s="26"/>
    </row>
    <row r="410" spans="1:12" x14ac:dyDescent="0.3">
      <c r="A410" t="s">
        <v>365</v>
      </c>
      <c r="E410" s="21" t="str">
        <f t="shared" si="40"/>
        <v/>
      </c>
      <c r="F410" s="22" t="str">
        <f>IF(OR(E410="",E410="!!!"),"",IF(NOT(ISNA(VLOOKUP(E410,E$1:E409,1,FALSE()))),"OLD",IF(AND(E410&lt;&gt;"",E410&lt;&gt;"!!!"),"NEW","")))</f>
        <v/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/>
      </c>
      <c r="H410" s="24" t="str">
        <f t="shared" ca="1" si="41"/>
        <v/>
      </c>
      <c r="I410" s="25" t="str">
        <f>IF(OR(E410="",E410="!!!",F410="NEW"),"",INDEX(B$2:B409,-1+SUMPRODUCT(MAX(ROW(E$2:E409)*(E410=E$2:E409)))))</f>
        <v/>
      </c>
      <c r="J410" s="25" t="str">
        <f ca="1">IF(OR(E410="",E410="!!!",F410="NEW"),"",COUNTBLANK(OFFSET(A$1,,,SUMPRODUCT(MAX(ROW(E$2:E410)*(E410=E$2:E410)))))-COUNTBLANK(OFFSET(A$1,,,SUMPRODUCT(MAX(ROW(E$1:E409)*(E2=E$1:E409))))))</f>
        <v/>
      </c>
      <c r="K410" s="25" t="str">
        <f>IF(OR(E410="",E410="!!!",F410="NEW"),"",INDEX(J$1:J409,SUMPRODUCT(MAX(ROW(E$1:E409)*(E410=E$1:E409)))))</f>
        <v/>
      </c>
      <c r="L410" s="26"/>
    </row>
    <row r="411" spans="1:12" x14ac:dyDescent="0.3">
      <c r="A411" t="s">
        <v>393</v>
      </c>
      <c r="E411" s="21" t="str">
        <f t="shared" si="40"/>
        <v/>
      </c>
      <c r="F411" s="22" t="str">
        <f>IF(OR(E411="",E411="!!!"),"",IF(NOT(ISNA(VLOOKUP(E411,E$1:E410,1,FALSE()))),"OLD",IF(AND(E411&lt;&gt;"",E411&lt;&gt;"!!!"),"NEW","")))</f>
        <v/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/>
      </c>
      <c r="H411" s="24" t="str">
        <f t="shared" ca="1" si="41"/>
        <v/>
      </c>
      <c r="I411" s="25" t="str">
        <f>IF(OR(E411="",E411="!!!",F411="NEW"),"",INDEX(B$2:B410,-1+SUMPRODUCT(MAX(ROW(E$2:E410)*(E411=E$2:E410)))))</f>
        <v/>
      </c>
      <c r="J411" s="25" t="str">
        <f ca="1">IF(OR(E411="",E411="!!!",F411="NEW"),"",COUNTBLANK(OFFSET(A$1,,,SUMPRODUCT(MAX(ROW(E$2:E411)*(E411=E$2:E411)))))-COUNTBLANK(OFFSET(A$1,,,SUMPRODUCT(MAX(ROW(E$1:E410)*(E2=E$1:E410))))))</f>
        <v/>
      </c>
      <c r="K411" s="25" t="str">
        <f>IF(OR(E411="",E411="!!!",F411="NEW"),"",INDEX(J$1:J410,SUMPRODUCT(MAX(ROW(E$1:E410)*(E411=E$1:E410)))))</f>
        <v/>
      </c>
      <c r="L411" s="26"/>
    </row>
    <row r="412" spans="1:12" x14ac:dyDescent="0.3">
      <c r="A412" t="s">
        <v>394</v>
      </c>
      <c r="E412" s="21" t="str">
        <f t="shared" si="40"/>
        <v/>
      </c>
      <c r="F412" s="22" t="str">
        <f>IF(OR(E412="",E412="!!!"),"",IF(NOT(ISNA(VLOOKUP(E412,E$1:E411,1,FALSE()))),"OLD",IF(AND(E412&lt;&gt;"",E412&lt;&gt;"!!!"),"NEW","")))</f>
        <v/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/>
      </c>
      <c r="H412" s="24" t="str">
        <f t="shared" ca="1" si="41"/>
        <v/>
      </c>
      <c r="I412" s="25" t="str">
        <f>IF(OR(E412="",E412="!!!",F412="NEW"),"",INDEX(B$2:B411,-1+SUMPRODUCT(MAX(ROW(E$2:E411)*(E412=E$2:E411)))))</f>
        <v/>
      </c>
      <c r="J412" s="25" t="str">
        <f ca="1">IF(OR(E412="",E412="!!!",F412="NEW"),"",COUNTBLANK(OFFSET(A$1,,,SUMPRODUCT(MAX(ROW(E$2:E412)*(E412=E$2:E412)))))-COUNTBLANK(OFFSET(A$1,,,SUMPRODUCT(MAX(ROW(E$1:E411)*(E2=E$1:E411))))))</f>
        <v/>
      </c>
      <c r="K412" s="25" t="str">
        <f>IF(OR(E412="",E412="!!!",F412="NEW"),"",INDEX(J$1:J411,SUMPRODUCT(MAX(ROW(E$1:E411)*(E412=E$1:E411)))))</f>
        <v/>
      </c>
      <c r="L412" s="26"/>
    </row>
    <row r="413" spans="1:12" x14ac:dyDescent="0.3">
      <c r="A413" t="s">
        <v>395</v>
      </c>
      <c r="B413" s="20" t="s">
        <v>166</v>
      </c>
      <c r="C413" s="20" t="s">
        <v>175</v>
      </c>
      <c r="E413" s="21" t="str">
        <f t="shared" si="40"/>
        <v/>
      </c>
      <c r="F413" s="22" t="str">
        <f>IF(OR(E413="",E413="!!!"),"",IF(NOT(ISNA(VLOOKUP(E413,E$1:E412,1,FALSE()))),"OLD",IF(AND(E413&lt;&gt;"",E413&lt;&gt;"!!!"),"NEW","")))</f>
        <v/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/>
      </c>
      <c r="H413" s="24" t="str">
        <f t="shared" ca="1" si="41"/>
        <v/>
      </c>
      <c r="I413" s="25" t="str">
        <f>IF(OR(E413="",E413="!!!",F413="NEW"),"",INDEX(B$2:B412,-1+SUMPRODUCT(MAX(ROW(E$2:E412)*(E413=E$2:E412)))))</f>
        <v/>
      </c>
      <c r="J413" s="25" t="str">
        <f ca="1">IF(OR(E413="",E413="!!!",F413="NEW"),"",COUNTBLANK(OFFSET(A$1,,,SUMPRODUCT(MAX(ROW(E$2:E413)*(E413=E$2:E413)))))-COUNTBLANK(OFFSET(A$1,,,SUMPRODUCT(MAX(ROW(E$1:E412)*(E2=E$1:E412))))))</f>
        <v/>
      </c>
      <c r="K413" s="25" t="str">
        <f>IF(OR(E413="",E413="!!!",F413="NEW"),"",INDEX(J$1:J412,SUMPRODUCT(MAX(ROW(E$1:E412)*(E413=E$1:E412)))))</f>
        <v/>
      </c>
      <c r="L413" s="26"/>
    </row>
    <row r="414" spans="1:12" x14ac:dyDescent="0.3">
      <c r="A414" t="s">
        <v>371</v>
      </c>
      <c r="E414" s="21" t="str">
        <f t="shared" si="40"/>
        <v/>
      </c>
      <c r="F414" s="22" t="str">
        <f>IF(OR(E414="",E414="!!!"),"",IF(NOT(ISNA(VLOOKUP(E414,E$1:E413,1,FALSE()))),"OLD",IF(AND(E414&lt;&gt;"",E414&lt;&gt;"!!!"),"NEW","")))</f>
        <v/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/>
      </c>
      <c r="H414" s="24" t="str">
        <f t="shared" ca="1" si="41"/>
        <v/>
      </c>
      <c r="I414" s="25" t="str">
        <f>IF(OR(E414="",E414="!!!",F414="NEW"),"",INDEX(B$2:B413,-1+SUMPRODUCT(MAX(ROW(E$2:E413)*(E414=E$2:E413)))))</f>
        <v/>
      </c>
      <c r="J414" s="25" t="str">
        <f ca="1">IF(OR(E414="",E414="!!!",F414="NEW"),"",COUNTBLANK(OFFSET(A$1,,,SUMPRODUCT(MAX(ROW(E$2:E414)*(E414=E$2:E414)))))-COUNTBLANK(OFFSET(A$1,,,SUMPRODUCT(MAX(ROW(E$1:E413)*(E2=E$1:E413))))))</f>
        <v/>
      </c>
      <c r="K414" s="25" t="str">
        <f>IF(OR(E414="",E414="!!!",F414="NEW"),"",INDEX(J$1:J413,SUMPRODUCT(MAX(ROW(E$1:E413)*(E414=E$1:E413)))))</f>
        <v/>
      </c>
      <c r="L414" s="26"/>
    </row>
    <row r="415" spans="1:12" x14ac:dyDescent="0.3">
      <c r="A415" t="s">
        <v>223</v>
      </c>
      <c r="E415" s="21" t="str">
        <f t="shared" si="40"/>
        <v/>
      </c>
      <c r="F415" s="22" t="str">
        <f>IF(OR(E415="",E415="!!!"),"",IF(NOT(ISNA(VLOOKUP(E415,E$1:E414,1,FALSE()))),"OLD",IF(AND(E415&lt;&gt;"",E415&lt;&gt;"!!!"),"NEW","")))</f>
        <v/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/>
      </c>
      <c r="H415" s="24" t="str">
        <f t="shared" ca="1" si="41"/>
        <v/>
      </c>
      <c r="I415" s="25" t="str">
        <f>IF(OR(E415="",E415="!!!",F415="NEW"),"",INDEX(B$2:B414,-1+SUMPRODUCT(MAX(ROW(E$2:E414)*(E415=E$2:E414)))))</f>
        <v/>
      </c>
      <c r="J415" s="25" t="str">
        <f ca="1">IF(OR(E415="",E415="!!!",F415="NEW"),"",COUNTBLANK(OFFSET(A$1,,,SUMPRODUCT(MAX(ROW(E$2:E415)*(E415=E$2:E415)))))-COUNTBLANK(OFFSET(A$1,,,SUMPRODUCT(MAX(ROW(E$1:E414)*(E2=E$1:E414))))))</f>
        <v/>
      </c>
      <c r="K415" s="25" t="str">
        <f>IF(OR(E415="",E415="!!!",F415="NEW"),"",INDEX(J$1:J414,SUMPRODUCT(MAX(ROW(E$1:E414)*(E415=E$1:E414)))))</f>
        <v/>
      </c>
      <c r="L415" s="26"/>
    </row>
    <row r="416" spans="1:12" x14ac:dyDescent="0.3">
      <c r="A416" t="s">
        <v>396</v>
      </c>
      <c r="B416" s="20" t="s">
        <v>182</v>
      </c>
      <c r="C416" s="20" t="s">
        <v>195</v>
      </c>
      <c r="D416" s="20" t="s">
        <v>171</v>
      </c>
      <c r="E416" s="21" t="s">
        <v>466</v>
      </c>
      <c r="F416" s="22" t="str">
        <f>IF(OR(E416="",E416="!!!"),"",IF(NOT(ISNA(VLOOKUP(E416,E$1:E415,1,FALSE()))),"OLD",IF(AND(E416&lt;&gt;"",E416&lt;&gt;"!!!"),"NEW","")))</f>
        <v>OLD</v>
      </c>
      <c r="G416" s="23" t="s">
        <v>509</v>
      </c>
      <c r="H416" s="24" t="str">
        <f t="shared" ca="1" si="41"/>
        <v/>
      </c>
      <c r="I416" s="25" t="str">
        <f>IF(OR(E416="",E416="!!!",F416="NEW"),"",INDEX(B$2:B415,-1+SUMPRODUCT(MAX(ROW(E$2:E415)*(E416=E$2:E415)))))</f>
        <v>SBJ_2</v>
      </c>
      <c r="J416" s="25">
        <f ca="1">IF(OR(E416="",E416="!!!",F416="NEW"),"",COUNTBLANK(OFFSET(A$1,,,SUMPRODUCT(MAX(ROW(E$2:E416)*(E416=E$2:E416)))))-COUNTBLANK(OFFSET(A$1,,,SUMPRODUCT(MAX(ROW(E$1:E415)*(E2=E$1:E415))))))</f>
        <v>0</v>
      </c>
      <c r="K416" s="25">
        <f ca="1">IF(OR(E416="",E416="!!!",F416="NEW"),"",INDEX(J$1:J415,SUMPRODUCT(MAX(ROW(E$1:E415)*(E416=E$1:E415)))))</f>
        <v>0</v>
      </c>
      <c r="L416" s="26"/>
    </row>
    <row r="417" spans="1:12" x14ac:dyDescent="0.3">
      <c r="A417" t="s">
        <v>397</v>
      </c>
      <c r="E417" s="21" t="str">
        <f t="shared" si="40"/>
        <v/>
      </c>
      <c r="F417" s="22" t="str">
        <f>IF(OR(E417="",E417="!!!"),"",IF(NOT(ISNA(VLOOKUP(E417,E$1:E416,1,FALSE()))),"OLD",IF(AND(E417&lt;&gt;"",E417&lt;&gt;"!!!"),"NEW","")))</f>
        <v/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/>
      </c>
      <c r="H417" s="24" t="str">
        <f t="shared" ca="1" si="41"/>
        <v/>
      </c>
      <c r="I417" s="25" t="str">
        <f>IF(OR(E417="",E417="!!!",F417="NEW"),"",INDEX(B$2:B416,-1+SUMPRODUCT(MAX(ROW(E$2:E416)*(E417=E$2:E416)))))</f>
        <v/>
      </c>
      <c r="J417" s="25" t="str">
        <f ca="1">IF(OR(E417="",E417="!!!",F417="NEW"),"",COUNTBLANK(OFFSET(A$1,,,SUMPRODUCT(MAX(ROW(E$2:E417)*(E417=E$2:E417)))))-COUNTBLANK(OFFSET(A$1,,,SUMPRODUCT(MAX(ROW(E$1:E416)*(E2=E$1:E416))))))</f>
        <v/>
      </c>
      <c r="K417" s="25" t="str">
        <f>IF(OR(E417="",E417="!!!",F417="NEW"),"",INDEX(J$1:J416,SUMPRODUCT(MAX(ROW(E$1:E416)*(E417=E$1:E416)))))</f>
        <v/>
      </c>
      <c r="L417" s="26"/>
    </row>
    <row r="418" spans="1:12" x14ac:dyDescent="0.3">
      <c r="A418" t="s">
        <v>98</v>
      </c>
      <c r="E418" s="21" t="str">
        <f t="shared" si="40"/>
        <v/>
      </c>
      <c r="F418" s="22" t="str">
        <f>IF(OR(E418="",E418="!!!"),"",IF(NOT(ISNA(VLOOKUP(E418,E$1:E417,1,FALSE()))),"OLD",IF(AND(E418&lt;&gt;"",E418&lt;&gt;"!!!"),"NEW","")))</f>
        <v/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/>
      </c>
      <c r="H418" s="24" t="str">
        <f t="shared" ca="1" si="41"/>
        <v/>
      </c>
      <c r="I418" s="25" t="str">
        <f>IF(OR(E418="",E418="!!!",F418="NEW"),"",INDEX(B$2:B417,-1+SUMPRODUCT(MAX(ROW(E$2:E417)*(E418=E$2:E417)))))</f>
        <v/>
      </c>
      <c r="J418" s="25" t="str">
        <f ca="1">IF(OR(E418="",E418="!!!",F418="NEW"),"",COUNTBLANK(OFFSET(A$1,,,SUMPRODUCT(MAX(ROW(E$2:E418)*(E418=E$2:E418)))))-COUNTBLANK(OFFSET(A$1,,,SUMPRODUCT(MAX(ROW(E$1:E417)*(E2=E$1:E417))))))</f>
        <v/>
      </c>
      <c r="K418" s="25" t="str">
        <f>IF(OR(E418="",E418="!!!",F418="NEW"),"",INDEX(J$1:J417,SUMPRODUCT(MAX(ROW(E$1:E417)*(E418=E$1:E417)))))</f>
        <v/>
      </c>
      <c r="L418" s="26"/>
    </row>
    <row r="419" spans="1:12" x14ac:dyDescent="0.3">
      <c r="A419" t="s">
        <v>197</v>
      </c>
      <c r="E419" s="21" t="str">
        <f t="shared" si="40"/>
        <v/>
      </c>
      <c r="F419" s="22" t="str">
        <f>IF(OR(E419="",E419="!!!"),"",IF(NOT(ISNA(VLOOKUP(E419,E$1:E418,1,FALSE()))),"OLD",IF(AND(E419&lt;&gt;"",E419&lt;&gt;"!!!"),"NEW","")))</f>
        <v/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/>
      </c>
      <c r="H419" s="24" t="str">
        <f t="shared" ca="1" si="41"/>
        <v/>
      </c>
      <c r="I419" s="25" t="str">
        <f>IF(OR(E419="",E419="!!!",F419="NEW"),"",INDEX(B$2:B418,-1+SUMPRODUCT(MAX(ROW(E$2:E418)*(E419=E$2:E418)))))</f>
        <v/>
      </c>
      <c r="J419" s="25" t="str">
        <f ca="1">IF(OR(E419="",E419="!!!",F419="NEW"),"",COUNTBLANK(OFFSET(A$1,,,SUMPRODUCT(MAX(ROW(E$2:E419)*(E419=E$2:E419)))))-COUNTBLANK(OFFSET(A$1,,,SUMPRODUCT(MAX(ROW(E$1:E418)*(E2=E$1:E418))))))</f>
        <v/>
      </c>
      <c r="K419" s="25" t="str">
        <f>IF(OR(E419="",E419="!!!",F419="NEW"),"",INDEX(J$1:J418,SUMPRODUCT(MAX(ROW(E$1:E418)*(E419=E$1:E418)))))</f>
        <v/>
      </c>
      <c r="L419" s="26"/>
    </row>
    <row r="421" spans="1:12" x14ac:dyDescent="0.3">
      <c r="A421" t="s">
        <v>398</v>
      </c>
    </row>
    <row r="422" spans="1:12" x14ac:dyDescent="0.3">
      <c r="A422" t="s">
        <v>399</v>
      </c>
      <c r="E422" s="21" t="str">
        <f t="shared" ref="E422:E436" si="42">IF(D422="?OLD","!!!","")</f>
        <v/>
      </c>
      <c r="F422" s="22" t="str">
        <f>IF(OR(E422="",E422="!!!"),"",IF(NOT(ISNA(VLOOKUP(E422,E$1:E421,1,FALSE()))),"OLD",IF(AND(E422&lt;&gt;"",E422&lt;&gt;"!!!"),"NEW","")))</f>
        <v/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/>
      </c>
      <c r="H422" s="24" t="str">
        <f t="shared" ref="H422:H436" ca="1" si="43">IF(J422&lt;&gt;1,"",IF(I422="SBJ","CB","?"))</f>
        <v/>
      </c>
      <c r="I422" s="25" t="str">
        <f>IF(OR(E422="",E422="!!!",F422="NEW"),"",INDEX(B$2:B421,-1+SUMPRODUCT(MAX(ROW(E$2:E421)*(E422=E$2:E421)))))</f>
        <v/>
      </c>
      <c r="J422" s="25" t="str">
        <f ca="1">IF(OR(E422="",E422="!!!",F422="NEW"),"",COUNTBLANK(OFFSET(A$1,,,SUMPRODUCT(MAX(ROW(E$2:E422)*(E422=E$2:E422)))))-COUNTBLANK(OFFSET(A$1,,,SUMPRODUCT(MAX(ROW(E$1:E421)*(E2=E$1:E421))))))</f>
        <v/>
      </c>
      <c r="K422" s="25" t="str">
        <f>IF(OR(E422="",E422="!!!",F422="NEW"),"",INDEX(J$1:J421,SUMPRODUCT(MAX(ROW(E$1:E421)*(E422=E$1:E421)))))</f>
        <v/>
      </c>
      <c r="L422" s="26"/>
    </row>
    <row r="423" spans="1:12" x14ac:dyDescent="0.3">
      <c r="A423" t="s">
        <v>400</v>
      </c>
      <c r="E423" s="21" t="str">
        <f t="shared" si="42"/>
        <v/>
      </c>
      <c r="F423" s="22" t="str">
        <f>IF(OR(E423="",E423="!!!"),"",IF(NOT(ISNA(VLOOKUP(E423,E$1:E422,1,FALSE()))),"OLD",IF(AND(E423&lt;&gt;"",E423&lt;&gt;"!!!"),"NEW","")))</f>
        <v/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/>
      </c>
      <c r="H423" s="24" t="str">
        <f t="shared" ca="1" si="43"/>
        <v/>
      </c>
      <c r="I423" s="25" t="str">
        <f>IF(OR(E423="",E423="!!!",F423="NEW"),"",INDEX(B$2:B422,-1+SUMPRODUCT(MAX(ROW(E$2:E422)*(E423=E$2:E422)))))</f>
        <v/>
      </c>
      <c r="J423" s="25" t="str">
        <f ca="1">IF(OR(E423="",E423="!!!",F423="NEW"),"",COUNTBLANK(OFFSET(A$1,,,SUMPRODUCT(MAX(ROW(E$2:E423)*(E423=E$2:E423)))))-COUNTBLANK(OFFSET(A$1,,,SUMPRODUCT(MAX(ROW(E$1:E422)*(E2=E$1:E422))))))</f>
        <v/>
      </c>
      <c r="K423" s="25" t="str">
        <f>IF(OR(E423="",E423="!!!",F423="NEW"),"",INDEX(J$1:J422,SUMPRODUCT(MAX(ROW(E$1:E422)*(E423=E$1:E422)))))</f>
        <v/>
      </c>
      <c r="L423" s="26"/>
    </row>
    <row r="424" spans="1:12" x14ac:dyDescent="0.3">
      <c r="A424" t="s">
        <v>401</v>
      </c>
      <c r="E424" s="21" t="str">
        <f t="shared" si="42"/>
        <v/>
      </c>
      <c r="F424" s="22" t="str">
        <f>IF(OR(E424="",E424="!!!"),"",IF(NOT(ISNA(VLOOKUP(E424,E$1:E423,1,FALSE()))),"OLD",IF(AND(E424&lt;&gt;"",E424&lt;&gt;"!!!"),"NEW","")))</f>
        <v/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/>
      </c>
      <c r="H424" s="24" t="str">
        <f t="shared" ca="1" si="43"/>
        <v/>
      </c>
      <c r="I424" s="25" t="str">
        <f>IF(OR(E424="",E424="!!!",F424="NEW"),"",INDEX(B$2:B423,-1+SUMPRODUCT(MAX(ROW(E$2:E423)*(E424=E$2:E423)))))</f>
        <v/>
      </c>
      <c r="J424" s="25" t="str">
        <f ca="1">IF(OR(E424="",E424="!!!",F424="NEW"),"",COUNTBLANK(OFFSET(A$1,,,SUMPRODUCT(MAX(ROW(E$2:E424)*(E424=E$2:E424)))))-COUNTBLANK(OFFSET(A$1,,,SUMPRODUCT(MAX(ROW(E$1:E423)*(E2=E$1:E423))))))</f>
        <v/>
      </c>
      <c r="K424" s="25" t="str">
        <f>IF(OR(E424="",E424="!!!",F424="NEW"),"",INDEX(J$1:J423,SUMPRODUCT(MAX(ROW(E$1:E423)*(E424=E$1:E423)))))</f>
        <v/>
      </c>
      <c r="L424" s="26"/>
    </row>
    <row r="425" spans="1:12" x14ac:dyDescent="0.3">
      <c r="A425" t="s">
        <v>402</v>
      </c>
      <c r="E425" s="21" t="str">
        <f t="shared" si="42"/>
        <v/>
      </c>
      <c r="F425" s="22" t="str">
        <f>IF(OR(E425="",E425="!!!"),"",IF(NOT(ISNA(VLOOKUP(E425,E$1:E424,1,FALSE()))),"OLD",IF(AND(E425&lt;&gt;"",E425&lt;&gt;"!!!"),"NEW","")))</f>
        <v/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/>
      </c>
      <c r="H425" s="24" t="str">
        <f t="shared" ca="1" si="43"/>
        <v/>
      </c>
      <c r="I425" s="25" t="str">
        <f>IF(OR(E425="",E425="!!!",F425="NEW"),"",INDEX(B$2:B424,-1+SUMPRODUCT(MAX(ROW(E$2:E424)*(E425=E$2:E424)))))</f>
        <v/>
      </c>
      <c r="J425" s="25" t="str">
        <f ca="1">IF(OR(E425="",E425="!!!",F425="NEW"),"",COUNTBLANK(OFFSET(A$1,,,SUMPRODUCT(MAX(ROW(E$2:E425)*(E425=E$2:E425)))))-COUNTBLANK(OFFSET(A$1,,,SUMPRODUCT(MAX(ROW(E$1:E424)*(E2=E$1:E424))))))</f>
        <v/>
      </c>
      <c r="K425" s="25" t="str">
        <f>IF(OR(E425="",E425="!!!",F425="NEW"),"",INDEX(J$1:J424,SUMPRODUCT(MAX(ROW(E$1:E424)*(E425=E$1:E424)))))</f>
        <v/>
      </c>
      <c r="L425" s="26"/>
    </row>
    <row r="426" spans="1:12" x14ac:dyDescent="0.3">
      <c r="A426" t="s">
        <v>98</v>
      </c>
      <c r="E426" s="21" t="str">
        <f t="shared" si="42"/>
        <v/>
      </c>
      <c r="F426" s="22" t="str">
        <f>IF(OR(E426="",E426="!!!"),"",IF(NOT(ISNA(VLOOKUP(E426,E$1:E425,1,FALSE()))),"OLD",IF(AND(E426&lt;&gt;"",E426&lt;&gt;"!!!"),"NEW","")))</f>
        <v/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/>
      </c>
      <c r="H426" s="24" t="str">
        <f t="shared" ca="1" si="43"/>
        <v/>
      </c>
      <c r="I426" s="25" t="str">
        <f>IF(OR(E426="",E426="!!!",F426="NEW"),"",INDEX(B$2:B425,-1+SUMPRODUCT(MAX(ROW(E$2:E425)*(E426=E$2:E425)))))</f>
        <v/>
      </c>
      <c r="J426" s="25" t="str">
        <f ca="1">IF(OR(E426="",E426="!!!",F426="NEW"),"",COUNTBLANK(OFFSET(A$1,,,SUMPRODUCT(MAX(ROW(E$2:E426)*(E426=E$2:E426)))))-COUNTBLANK(OFFSET(A$1,,,SUMPRODUCT(MAX(ROW(E$1:E425)*(E2=E$1:E425))))))</f>
        <v/>
      </c>
      <c r="K426" s="25" t="str">
        <f>IF(OR(E426="",E426="!!!",F426="NEW"),"",INDEX(J$1:J425,SUMPRODUCT(MAX(ROW(E$1:E425)*(E426=E$1:E425)))))</f>
        <v/>
      </c>
      <c r="L426" s="26"/>
    </row>
    <row r="427" spans="1:12" x14ac:dyDescent="0.3">
      <c r="A427" t="s">
        <v>206</v>
      </c>
      <c r="E427" s="21" t="str">
        <f t="shared" si="42"/>
        <v/>
      </c>
      <c r="F427" s="22" t="str">
        <f>IF(OR(E427="",E427="!!!"),"",IF(NOT(ISNA(VLOOKUP(E427,E$1:E426,1,FALSE()))),"OLD",IF(AND(E427&lt;&gt;"",E427&lt;&gt;"!!!"),"NEW","")))</f>
        <v/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/>
      </c>
      <c r="H427" s="24" t="str">
        <f t="shared" ca="1" si="43"/>
        <v/>
      </c>
      <c r="I427" s="25" t="str">
        <f>IF(OR(E427="",E427="!!!",F427="NEW"),"",INDEX(B$2:B426,-1+SUMPRODUCT(MAX(ROW(E$2:E426)*(E427=E$2:E426)))))</f>
        <v/>
      </c>
      <c r="J427" s="25" t="str">
        <f ca="1">IF(OR(E427="",E427="!!!",F427="NEW"),"",COUNTBLANK(OFFSET(A$1,,,SUMPRODUCT(MAX(ROW(E$2:E427)*(E427=E$2:E427)))))-COUNTBLANK(OFFSET(A$1,,,SUMPRODUCT(MAX(ROW(E$1:E426)*(E2=E$1:E426))))))</f>
        <v/>
      </c>
      <c r="K427" s="25" t="str">
        <f>IF(OR(E427="",E427="!!!",F427="NEW"),"",INDEX(J$1:J426,SUMPRODUCT(MAX(ROW(E$1:E426)*(E427=E$1:E426)))))</f>
        <v/>
      </c>
      <c r="L427" s="26"/>
    </row>
    <row r="428" spans="1:12" x14ac:dyDescent="0.3">
      <c r="A428" t="s">
        <v>173</v>
      </c>
      <c r="B428" s="20" t="s">
        <v>215</v>
      </c>
      <c r="C428" s="20" t="s">
        <v>175</v>
      </c>
      <c r="E428" s="21" t="str">
        <f t="shared" si="42"/>
        <v/>
      </c>
      <c r="F428" s="22" t="str">
        <f>IF(OR(E428="",E428="!!!"),"",IF(NOT(ISNA(VLOOKUP(E428,E$1:E427,1,FALSE()))),"OLD",IF(AND(E428&lt;&gt;"",E428&lt;&gt;"!!!"),"NEW","")))</f>
        <v/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/>
      </c>
      <c r="H428" s="24" t="str">
        <f t="shared" ca="1" si="43"/>
        <v/>
      </c>
      <c r="I428" s="25" t="str">
        <f>IF(OR(E428="",E428="!!!",F428="NEW"),"",INDEX(B$2:B427,-1+SUMPRODUCT(MAX(ROW(E$2:E427)*(E428=E$2:E427)))))</f>
        <v/>
      </c>
      <c r="J428" s="25" t="str">
        <f ca="1">IF(OR(E428="",E428="!!!",F428="NEW"),"",COUNTBLANK(OFFSET(A$1,,,SUMPRODUCT(MAX(ROW(E$2:E428)*(E428=E$2:E428)))))-COUNTBLANK(OFFSET(A$1,,,SUMPRODUCT(MAX(ROW(E$1:E427)*(E2=E$1:E427))))))</f>
        <v/>
      </c>
      <c r="K428" s="25" t="str">
        <f>IF(OR(E428="",E428="!!!",F428="NEW"),"",INDEX(J$1:J427,SUMPRODUCT(MAX(ROW(E$1:E427)*(E428=E$1:E427)))))</f>
        <v/>
      </c>
      <c r="L428" s="26"/>
    </row>
    <row r="429" spans="1:12" x14ac:dyDescent="0.3">
      <c r="A429" t="s">
        <v>403</v>
      </c>
      <c r="E429" s="21" t="str">
        <f t="shared" si="42"/>
        <v/>
      </c>
      <c r="F429" s="22" t="str">
        <f>IF(OR(E429="",E429="!!!"),"",IF(NOT(ISNA(VLOOKUP(E429,E$1:E428,1,FALSE()))),"OLD",IF(AND(E429&lt;&gt;"",E429&lt;&gt;"!!!"),"NEW","")))</f>
        <v/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/>
      </c>
      <c r="H429" s="24" t="str">
        <f t="shared" ca="1" si="43"/>
        <v/>
      </c>
      <c r="I429" s="25" t="str">
        <f>IF(OR(E429="",E429="!!!",F429="NEW"),"",INDEX(B$2:B428,-1+SUMPRODUCT(MAX(ROW(E$2:E428)*(E429=E$2:E428)))))</f>
        <v/>
      </c>
      <c r="J429" s="25" t="str">
        <f ca="1">IF(OR(E429="",E429="!!!",F429="NEW"),"",COUNTBLANK(OFFSET(A$1,,,SUMPRODUCT(MAX(ROW(E$2:E429)*(E429=E$2:E429)))))-COUNTBLANK(OFFSET(A$1,,,SUMPRODUCT(MAX(ROW(E$1:E428)*(E2=E$1:E428))))))</f>
        <v/>
      </c>
      <c r="K429" s="25" t="str">
        <f>IF(OR(E429="",E429="!!!",F429="NEW"),"",INDEX(J$1:J428,SUMPRODUCT(MAX(ROW(E$1:E428)*(E429=E$1:E428)))))</f>
        <v/>
      </c>
      <c r="L429" s="26"/>
    </row>
    <row r="430" spans="1:12" x14ac:dyDescent="0.3">
      <c r="A430" t="s">
        <v>404</v>
      </c>
      <c r="E430" s="21" t="str">
        <f t="shared" si="42"/>
        <v/>
      </c>
      <c r="F430" s="22" t="str">
        <f>IF(OR(E430="",E430="!!!"),"",IF(NOT(ISNA(VLOOKUP(E430,E$1:E429,1,FALSE()))),"OLD",IF(AND(E430&lt;&gt;"",E430&lt;&gt;"!!!"),"NEW","")))</f>
        <v/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/>
      </c>
      <c r="H430" s="24" t="str">
        <f t="shared" ca="1" si="43"/>
        <v/>
      </c>
      <c r="I430" s="25" t="str">
        <f>IF(OR(E430="",E430="!!!",F430="NEW"),"",INDEX(B$2:B429,-1+SUMPRODUCT(MAX(ROW(E$2:E429)*(E430=E$2:E429)))))</f>
        <v/>
      </c>
      <c r="J430" s="25" t="str">
        <f ca="1">IF(OR(E430="",E430="!!!",F430="NEW"),"",COUNTBLANK(OFFSET(A$1,,,SUMPRODUCT(MAX(ROW(E$2:E430)*(E430=E$2:E430)))))-COUNTBLANK(OFFSET(A$1,,,SUMPRODUCT(MAX(ROW(E$1:E429)*(E2=E$1:E429))))))</f>
        <v/>
      </c>
      <c r="K430" s="25" t="str">
        <f>IF(OR(E430="",E430="!!!",F430="NEW"),"",INDEX(J$1:J429,SUMPRODUCT(MAX(ROW(E$1:E429)*(E430=E$1:E429)))))</f>
        <v/>
      </c>
      <c r="L430" s="26"/>
    </row>
    <row r="431" spans="1:12" x14ac:dyDescent="0.3">
      <c r="A431" t="s">
        <v>192</v>
      </c>
      <c r="E431" s="21" t="str">
        <f t="shared" si="42"/>
        <v/>
      </c>
      <c r="F431" s="22" t="str">
        <f>IF(OR(E431="",E431="!!!"),"",IF(NOT(ISNA(VLOOKUP(E431,E$1:E430,1,FALSE()))),"OLD",IF(AND(E431&lt;&gt;"",E431&lt;&gt;"!!!"),"NEW","")))</f>
        <v/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/>
      </c>
      <c r="H431" s="24" t="str">
        <f t="shared" ca="1" si="43"/>
        <v/>
      </c>
      <c r="I431" s="25" t="str">
        <f>IF(OR(E431="",E431="!!!",F431="NEW"),"",INDEX(B$2:B430,-1+SUMPRODUCT(MAX(ROW(E$2:E430)*(E431=E$2:E430)))))</f>
        <v/>
      </c>
      <c r="J431" s="25" t="str">
        <f ca="1">IF(OR(E431="",E431="!!!",F431="NEW"),"",COUNTBLANK(OFFSET(A$1,,,SUMPRODUCT(MAX(ROW(E$2:E431)*(E431=E$2:E431)))))-COUNTBLANK(OFFSET(A$1,,,SUMPRODUCT(MAX(ROW(E$1:E430)*(E2=E$1:E430))))))</f>
        <v/>
      </c>
      <c r="K431" s="25" t="str">
        <f>IF(OR(E431="",E431="!!!",F431="NEW"),"",INDEX(J$1:J430,SUMPRODUCT(MAX(ROW(E$1:E430)*(E431=E$1:E430)))))</f>
        <v/>
      </c>
      <c r="L431" s="26"/>
    </row>
    <row r="432" spans="1:12" x14ac:dyDescent="0.3">
      <c r="A432" t="s">
        <v>193</v>
      </c>
      <c r="E432" s="21" t="str">
        <f t="shared" si="42"/>
        <v/>
      </c>
      <c r="F432" s="22" t="str">
        <f>IF(OR(E432="",E432="!!!"),"",IF(NOT(ISNA(VLOOKUP(E432,E$1:E431,1,FALSE()))),"OLD",IF(AND(E432&lt;&gt;"",E432&lt;&gt;"!!!"),"NEW","")))</f>
        <v/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/>
      </c>
      <c r="H432" s="24" t="str">
        <f t="shared" ca="1" si="43"/>
        <v/>
      </c>
      <c r="I432" s="25" t="str">
        <f>IF(OR(E432="",E432="!!!",F432="NEW"),"",INDEX(B$2:B431,-1+SUMPRODUCT(MAX(ROW(E$2:E431)*(E432=E$2:E431)))))</f>
        <v/>
      </c>
      <c r="J432" s="25" t="str">
        <f ca="1">IF(OR(E432="",E432="!!!",F432="NEW"),"",COUNTBLANK(OFFSET(A$1,,,SUMPRODUCT(MAX(ROW(E$2:E432)*(E432=E$2:E432)))))-COUNTBLANK(OFFSET(A$1,,,SUMPRODUCT(MAX(ROW(E$1:E431)*(E2=E$1:E431))))))</f>
        <v/>
      </c>
      <c r="K432" s="25" t="str">
        <f>IF(OR(E432="",E432="!!!",F432="NEW"),"",INDEX(J$1:J431,SUMPRODUCT(MAX(ROW(E$1:E431)*(E432=E$1:E431)))))</f>
        <v/>
      </c>
      <c r="L432" s="26"/>
    </row>
    <row r="433" spans="1:12" x14ac:dyDescent="0.3">
      <c r="A433" t="s">
        <v>405</v>
      </c>
      <c r="B433" s="20" t="s">
        <v>182</v>
      </c>
      <c r="C433" s="20" t="s">
        <v>195</v>
      </c>
      <c r="D433" s="20" t="s">
        <v>171</v>
      </c>
      <c r="E433" s="21" t="s">
        <v>501</v>
      </c>
      <c r="F433" s="22" t="str">
        <f>IF(OR(E433="",E433="!!!"),"",IF(NOT(ISNA(VLOOKUP(E433,E$1:E432,1,FALSE()))),"OLD",IF(AND(E433&lt;&gt;"",E433&lt;&gt;"!!!"),"NEW","")))</f>
        <v>NEW</v>
      </c>
      <c r="G433" s="23" t="s">
        <v>510</v>
      </c>
      <c r="H433" s="24" t="str">
        <f t="shared" ca="1" si="43"/>
        <v/>
      </c>
      <c r="I433" s="25" t="str">
        <f>IF(OR(E433="",E433="!!!",F433="NEW"),"",INDEX(B$2:B432,-1+SUMPRODUCT(MAX(ROW(E$2:E432)*(E433=E$2:E432)))))</f>
        <v/>
      </c>
      <c r="J433" s="25" t="str">
        <f ca="1">IF(OR(E433="",E433="!!!",F433="NEW"),"",COUNTBLANK(OFFSET(A$1,,,SUMPRODUCT(MAX(ROW(E$2:E433)*(E433=E$2:E433)))))-COUNTBLANK(OFFSET(A$1,,,SUMPRODUCT(MAX(ROW(E$1:E432)*(E2=E$1:E432))))))</f>
        <v/>
      </c>
      <c r="K433" s="25" t="str">
        <f>IF(OR(E433="",E433="!!!",F433="NEW"),"",INDEX(J$1:J432,SUMPRODUCT(MAX(ROW(E$1:E432)*(E433=E$1:E432)))))</f>
        <v/>
      </c>
      <c r="L433" s="26"/>
    </row>
    <row r="434" spans="1:12" x14ac:dyDescent="0.3">
      <c r="A434" t="s">
        <v>222</v>
      </c>
      <c r="E434" s="21" t="str">
        <f t="shared" si="42"/>
        <v/>
      </c>
      <c r="F434" s="22" t="str">
        <f>IF(OR(E434="",E434="!!!"),"",IF(NOT(ISNA(VLOOKUP(E434,E$1:E433,1,FALSE()))),"OLD",IF(AND(E434&lt;&gt;"",E434&lt;&gt;"!!!"),"NEW","")))</f>
        <v/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/>
      </c>
      <c r="H434" s="24" t="str">
        <f t="shared" ca="1" si="43"/>
        <v/>
      </c>
      <c r="I434" s="25" t="str">
        <f>IF(OR(E434="",E434="!!!",F434="NEW"),"",INDEX(B$2:B433,-1+SUMPRODUCT(MAX(ROW(E$2:E433)*(E434=E$2:E433)))))</f>
        <v/>
      </c>
      <c r="J434" s="25" t="str">
        <f ca="1">IF(OR(E434="",E434="!!!",F434="NEW"),"",COUNTBLANK(OFFSET(A$1,,,SUMPRODUCT(MAX(ROW(E$2:E434)*(E434=E$2:E434)))))-COUNTBLANK(OFFSET(A$1,,,SUMPRODUCT(MAX(ROW(E$1:E433)*(E2=E$1:E433))))))</f>
        <v/>
      </c>
      <c r="K434" s="25" t="str">
        <f>IF(OR(E434="",E434="!!!",F434="NEW"),"",INDEX(J$1:J433,SUMPRODUCT(MAX(ROW(E$1:E433)*(E434=E$1:E433)))))</f>
        <v/>
      </c>
      <c r="L434" s="26"/>
    </row>
    <row r="435" spans="1:12" x14ac:dyDescent="0.3">
      <c r="A435" t="s">
        <v>122</v>
      </c>
      <c r="E435" s="21" t="s">
        <v>502</v>
      </c>
      <c r="F435" s="22" t="str">
        <f>IF(OR(E435="",E435="!!!"),"",IF(NOT(ISNA(VLOOKUP(E435,E$1:E434,1,FALSE()))),"OLD",IF(AND(E435&lt;&gt;"",E435&lt;&gt;"!!!"),"NEW","")))</f>
        <v>NEW</v>
      </c>
      <c r="G435" s="23" t="s">
        <v>510</v>
      </c>
      <c r="H435" s="24" t="str">
        <f t="shared" ca="1" si="43"/>
        <v/>
      </c>
      <c r="I435" s="25" t="str">
        <f>IF(OR(E435="",E435="!!!",F435="NEW"),"",INDEX(B$2:B434,-1+SUMPRODUCT(MAX(ROW(E$2:E434)*(E435=E$2:E434)))))</f>
        <v/>
      </c>
      <c r="J435" s="25" t="str">
        <f ca="1">IF(OR(E435="",E435="!!!",F435="NEW"),"",COUNTBLANK(OFFSET(A$1,,,SUMPRODUCT(MAX(ROW(E$2:E435)*(E435=E$2:E435)))))-COUNTBLANK(OFFSET(A$1,,,SUMPRODUCT(MAX(ROW(E$1:E434)*(E2=E$1:E434))))))</f>
        <v/>
      </c>
      <c r="K435" s="25" t="str">
        <f>IF(OR(E435="",E435="!!!",F435="NEW"),"",INDEX(J$1:J434,SUMPRODUCT(MAX(ROW(E$1:E434)*(E435=E$1:E434)))))</f>
        <v/>
      </c>
      <c r="L435" s="26"/>
    </row>
    <row r="436" spans="1:12" x14ac:dyDescent="0.3">
      <c r="A436" t="s">
        <v>197</v>
      </c>
      <c r="E436" s="21" t="str">
        <f t="shared" si="42"/>
        <v/>
      </c>
      <c r="F436" s="22" t="str">
        <f>IF(OR(E436="",E436="!!!"),"",IF(NOT(ISNA(VLOOKUP(E436,E$1:E435,1,FALSE()))),"OLD",IF(AND(E436&lt;&gt;"",E436&lt;&gt;"!!!"),"NEW","")))</f>
        <v/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/>
      </c>
      <c r="H436" s="24" t="str">
        <f t="shared" ca="1" si="43"/>
        <v/>
      </c>
      <c r="I436" s="25" t="str">
        <f>IF(OR(E436="",E436="!!!",F436="NEW"),"",INDEX(B$2:B435,-1+SUMPRODUCT(MAX(ROW(E$2:E435)*(E436=E$2:E435)))))</f>
        <v/>
      </c>
      <c r="J436" s="25" t="str">
        <f ca="1">IF(OR(E436="",E436="!!!",F436="NEW"),"",COUNTBLANK(OFFSET(A$1,,,SUMPRODUCT(MAX(ROW(E$2:E436)*(E436=E$2:E436)))))-COUNTBLANK(OFFSET(A$1,,,SUMPRODUCT(MAX(ROW(E$1:E435)*(E2=E$1:E435))))))</f>
        <v/>
      </c>
      <c r="K436" s="25" t="str">
        <f>IF(OR(E436="",E436="!!!",F436="NEW"),"",INDEX(J$1:J435,SUMPRODUCT(MAX(ROW(E$1:E435)*(E436=E$1:E435)))))</f>
        <v/>
      </c>
      <c r="L436" s="26"/>
    </row>
    <row r="438" spans="1:12" x14ac:dyDescent="0.3">
      <c r="A438" t="s">
        <v>406</v>
      </c>
    </row>
    <row r="439" spans="1:12" x14ac:dyDescent="0.3">
      <c r="A439" t="s">
        <v>313</v>
      </c>
      <c r="B439" s="20" t="s">
        <v>166</v>
      </c>
      <c r="C439" s="20" t="s">
        <v>295</v>
      </c>
      <c r="D439" s="20" t="s">
        <v>171</v>
      </c>
      <c r="E439" s="21" t="s">
        <v>502</v>
      </c>
      <c r="F439" s="22" t="str">
        <f>IF(OR(E439="",E439="!!!"),"",IF(NOT(ISNA(VLOOKUP(E439,E$1:E438,1,FALSE()))),"OLD",IF(AND(E439&lt;&gt;"",E439&lt;&gt;"!!!"),"NEW","")))</f>
        <v>OLD</v>
      </c>
      <c r="G439" s="23" t="s">
        <v>513</v>
      </c>
      <c r="H439" s="24" t="s">
        <v>160</v>
      </c>
      <c r="I439" s="25">
        <f>IF(OR(E439="",E439="!!!",F439="NEW"),"",INDEX(B$2:B438,-1+SUMPRODUCT(MAX(ROW(E$2:E438)*(E439=E$2:E438)))))</f>
        <v>0</v>
      </c>
      <c r="J439" s="25">
        <f ca="1">IF(OR(E439="",E439="!!!",F439="NEW"),"",COUNTBLANK(OFFSET(A$1,,,SUMPRODUCT(MAX(ROW(E$2:E439)*(E439=E$2:E439)))))-COUNTBLANK(OFFSET(A$1,,,SUMPRODUCT(MAX(ROW(E$1:E438)*(E2=E$1:E438))))))</f>
        <v>0</v>
      </c>
      <c r="K439" s="25" t="str">
        <f ca="1">IF(OR(E439="",E439="!!!",F439="NEW"),"",INDEX(J$1:J438,SUMPRODUCT(MAX(ROW(E$1:E438)*(E439=E$1:E438)))))</f>
        <v/>
      </c>
      <c r="L439" s="26"/>
    </row>
    <row r="440" spans="1:12" x14ac:dyDescent="0.3">
      <c r="A440" t="s">
        <v>234</v>
      </c>
      <c r="E440" s="21" t="str">
        <f t="shared" ref="E440:E445" si="44">IF(D440="?OLD","!!!","")</f>
        <v/>
      </c>
      <c r="F440" s="22" t="str">
        <f>IF(OR(E440="",E440="!!!"),"",IF(NOT(ISNA(VLOOKUP(E440,E$1:E439,1,FALSE()))),"OLD",IF(AND(E440&lt;&gt;"",E440&lt;&gt;"!!!"),"NEW","")))</f>
        <v/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/>
      </c>
      <c r="H440" s="24" t="str">
        <f t="shared" ref="H440:H445" ca="1" si="45">IF(J440&lt;&gt;1,"",IF(I440="SBJ","CB","?"))</f>
        <v/>
      </c>
      <c r="I440" s="25" t="str">
        <f>IF(OR(E440="",E440="!!!",F440="NEW"),"",INDEX(B$2:B439,-1+SUMPRODUCT(MAX(ROW(E$2:E439)*(E440=E$2:E439)))))</f>
        <v/>
      </c>
      <c r="J440" s="25" t="str">
        <f ca="1">IF(OR(E440="",E440="!!!",F440="NEW"),"",COUNTBLANK(OFFSET(A$1,,,SUMPRODUCT(MAX(ROW(E$2:E440)*(E440=E$2:E440)))))-COUNTBLANK(OFFSET(A$1,,,SUMPRODUCT(MAX(ROW(E$1:E439)*(E2=E$1:E439))))))</f>
        <v/>
      </c>
      <c r="K440" s="25" t="str">
        <f>IF(OR(E440="",E440="!!!",F440="NEW"),"",INDEX(J$1:J439,SUMPRODUCT(MAX(ROW(E$1:E439)*(E440=E$1:E439)))))</f>
        <v/>
      </c>
      <c r="L440" s="26"/>
    </row>
    <row r="441" spans="1:12" x14ac:dyDescent="0.3">
      <c r="A441" t="s">
        <v>192</v>
      </c>
      <c r="E441" s="21" t="str">
        <f t="shared" si="44"/>
        <v/>
      </c>
      <c r="F441" s="22" t="str">
        <f>IF(OR(E441="",E441="!!!"),"",IF(NOT(ISNA(VLOOKUP(E441,E$1:E440,1,FALSE()))),"OLD",IF(AND(E441&lt;&gt;"",E441&lt;&gt;"!!!"),"NEW","")))</f>
        <v/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/>
      </c>
      <c r="H441" s="24" t="str">
        <f t="shared" ca="1" si="45"/>
        <v/>
      </c>
      <c r="I441" s="25" t="str">
        <f>IF(OR(E441="",E441="!!!",F441="NEW"),"",INDEX(B$2:B440,-1+SUMPRODUCT(MAX(ROW(E$2:E440)*(E441=E$2:E440)))))</f>
        <v/>
      </c>
      <c r="J441" s="25" t="str">
        <f ca="1">IF(OR(E441="",E441="!!!",F441="NEW"),"",COUNTBLANK(OFFSET(A$1,,,SUMPRODUCT(MAX(ROW(E$2:E441)*(E441=E$2:E441)))))-COUNTBLANK(OFFSET(A$1,,,SUMPRODUCT(MAX(ROW(E$1:E440)*(E2=E$1:E440))))))</f>
        <v/>
      </c>
      <c r="K441" s="25" t="str">
        <f>IF(OR(E441="",E441="!!!",F441="NEW"),"",INDEX(J$1:J440,SUMPRODUCT(MAX(ROW(E$1:E440)*(E441=E$1:E440)))))</f>
        <v/>
      </c>
      <c r="L441" s="26"/>
    </row>
    <row r="442" spans="1:12" x14ac:dyDescent="0.3">
      <c r="A442" t="s">
        <v>223</v>
      </c>
      <c r="E442" s="21" t="str">
        <f t="shared" si="44"/>
        <v/>
      </c>
      <c r="F442" s="22" t="str">
        <f>IF(OR(E442="",E442="!!!"),"",IF(NOT(ISNA(VLOOKUP(E442,E$1:E441,1,FALSE()))),"OLD",IF(AND(E442&lt;&gt;"",E442&lt;&gt;"!!!"),"NEW","")))</f>
        <v/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/>
      </c>
      <c r="H442" s="24" t="str">
        <f t="shared" ca="1" si="45"/>
        <v/>
      </c>
      <c r="I442" s="25" t="str">
        <f>IF(OR(E442="",E442="!!!",F442="NEW"),"",INDEX(B$2:B441,-1+SUMPRODUCT(MAX(ROW(E$2:E441)*(E442=E$2:E441)))))</f>
        <v/>
      </c>
      <c r="J442" s="25" t="str">
        <f ca="1">IF(OR(E442="",E442="!!!",F442="NEW"),"",COUNTBLANK(OFFSET(A$1,,,SUMPRODUCT(MAX(ROW(E$2:E442)*(E442=E$2:E442)))))-COUNTBLANK(OFFSET(A$1,,,SUMPRODUCT(MAX(ROW(E$1:E441)*(E2=E$1:E441))))))</f>
        <v/>
      </c>
      <c r="K442" s="25" t="str">
        <f>IF(OR(E442="",E442="!!!",F442="NEW"),"",INDEX(J$1:J441,SUMPRODUCT(MAX(ROW(E$1:E441)*(E442=E$1:E441)))))</f>
        <v/>
      </c>
      <c r="L442" s="26"/>
    </row>
    <row r="443" spans="1:12" x14ac:dyDescent="0.3">
      <c r="A443" t="s">
        <v>407</v>
      </c>
      <c r="B443" s="20" t="s">
        <v>183</v>
      </c>
      <c r="C443" s="20" t="s">
        <v>170</v>
      </c>
      <c r="D443" s="20" t="s">
        <v>171</v>
      </c>
      <c r="E443" s="21" t="s">
        <v>480</v>
      </c>
      <c r="F443" s="22" t="str">
        <f>IF(OR(E443="",E443="!!!"),"",IF(NOT(ISNA(VLOOKUP(E443,E$1:E442,1,FALSE()))),"OLD",IF(AND(E443&lt;&gt;"",E443&lt;&gt;"!!!"),"NEW","")))</f>
        <v>NEW</v>
      </c>
      <c r="G443" s="23" t="s">
        <v>510</v>
      </c>
      <c r="H443" s="24" t="str">
        <f t="shared" ca="1" si="45"/>
        <v/>
      </c>
      <c r="I443" s="25" t="str">
        <f>IF(OR(E443="",E443="!!!",F443="NEW"),"",INDEX(B$2:B442,-1+SUMPRODUCT(MAX(ROW(E$2:E442)*(E443=E$2:E442)))))</f>
        <v/>
      </c>
      <c r="J443" s="25" t="str">
        <f ca="1">IF(OR(E443="",E443="!!!",F443="NEW"),"",COUNTBLANK(OFFSET(A$1,,,SUMPRODUCT(MAX(ROW(E$2:E443)*(E443=E$2:E443)))))-COUNTBLANK(OFFSET(A$1,,,SUMPRODUCT(MAX(ROW(E$1:E442)*(E2=E$1:E442))))))</f>
        <v/>
      </c>
      <c r="K443" s="25" t="str">
        <f>IF(OR(E443="",E443="!!!",F443="NEW"),"",INDEX(J$1:J442,SUMPRODUCT(MAX(ROW(E$1:E442)*(E443=E$1:E442)))))</f>
        <v/>
      </c>
      <c r="L443" s="26"/>
    </row>
    <row r="444" spans="1:12" x14ac:dyDescent="0.3">
      <c r="A444" t="s">
        <v>408</v>
      </c>
      <c r="E444" s="21" t="str">
        <f t="shared" si="44"/>
        <v/>
      </c>
      <c r="F444" s="22" t="str">
        <f>IF(OR(E444="",E444="!!!"),"",IF(NOT(ISNA(VLOOKUP(E444,E$1:E443,1,FALSE()))),"OLD",IF(AND(E444&lt;&gt;"",E444&lt;&gt;"!!!"),"NEW","")))</f>
        <v/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/>
      </c>
      <c r="H444" s="24" t="str">
        <f t="shared" ca="1" si="45"/>
        <v/>
      </c>
      <c r="I444" s="25" t="str">
        <f>IF(OR(E444="",E444="!!!",F444="NEW"),"",INDEX(B$2:B443,-1+SUMPRODUCT(MAX(ROW(E$2:E443)*(E444=E$2:E443)))))</f>
        <v/>
      </c>
      <c r="J444" s="25" t="str">
        <f ca="1">IF(OR(E444="",E444="!!!",F444="NEW"),"",COUNTBLANK(OFFSET(A$1,,,SUMPRODUCT(MAX(ROW(E$2:E444)*(E444=E$2:E444)))))-COUNTBLANK(OFFSET(A$1,,,SUMPRODUCT(MAX(ROW(E$1:E443)*(E2=E$1:E443))))))</f>
        <v/>
      </c>
      <c r="K444" s="25" t="str">
        <f>IF(OR(E444="",E444="!!!",F444="NEW"),"",INDEX(J$1:J443,SUMPRODUCT(MAX(ROW(E$1:E443)*(E444=E$1:E443)))))</f>
        <v/>
      </c>
      <c r="L444" s="26"/>
    </row>
    <row r="445" spans="1:12" x14ac:dyDescent="0.3">
      <c r="A445" t="s">
        <v>197</v>
      </c>
      <c r="E445" s="21" t="str">
        <f t="shared" si="44"/>
        <v/>
      </c>
      <c r="F445" s="22" t="str">
        <f>IF(OR(E445="",E445="!!!"),"",IF(NOT(ISNA(VLOOKUP(E445,E$1:E444,1,FALSE()))),"OLD",IF(AND(E445&lt;&gt;"",E445&lt;&gt;"!!!"),"NEW","")))</f>
        <v/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/>
      </c>
      <c r="H445" s="24" t="str">
        <f t="shared" ca="1" si="45"/>
        <v/>
      </c>
      <c r="I445" s="25" t="str">
        <f>IF(OR(E445="",E445="!!!",F445="NEW"),"",INDEX(B$2:B444,-1+SUMPRODUCT(MAX(ROW(E$2:E444)*(E445=E$2:E444)))))</f>
        <v/>
      </c>
      <c r="J445" s="25" t="str">
        <f ca="1">IF(OR(E445="",E445="!!!",F445="NEW"),"",COUNTBLANK(OFFSET(A$1,,,SUMPRODUCT(MAX(ROW(E$2:E445)*(E445=E$2:E445)))))-COUNTBLANK(OFFSET(A$1,,,SUMPRODUCT(MAX(ROW(E$1:E444)*(E2=E$1:E444))))))</f>
        <v/>
      </c>
      <c r="K445" s="25" t="str">
        <f>IF(OR(E445="",E445="!!!",F445="NEW"),"",INDEX(J$1:J444,SUMPRODUCT(MAX(ROW(E$1:E444)*(E445=E$1:E444)))))</f>
        <v/>
      </c>
      <c r="L445" s="26"/>
    </row>
    <row r="447" spans="1:12" x14ac:dyDescent="0.3">
      <c r="A447" t="s">
        <v>409</v>
      </c>
    </row>
    <row r="448" spans="1:12" x14ac:dyDescent="0.3">
      <c r="A448" t="s">
        <v>410</v>
      </c>
      <c r="E448" s="21" t="str">
        <f t="shared" ref="E448:E456" si="46">IF(D448="?OLD","!!!","")</f>
        <v/>
      </c>
      <c r="F448" s="22" t="str">
        <f>IF(OR(E448="",E448="!!!"),"",IF(NOT(ISNA(VLOOKUP(E448,E$1:E447,1,FALSE()))),"OLD",IF(AND(E448&lt;&gt;"",E448&lt;&gt;"!!!"),"NEW","")))</f>
        <v/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/>
      </c>
      <c r="H448" s="24" t="str">
        <f t="shared" ref="H448:H456" ca="1" si="47">IF(J448&lt;&gt;1,"",IF(I448="SBJ","CB","?"))</f>
        <v/>
      </c>
      <c r="I448" s="25" t="str">
        <f>IF(OR(E448="",E448="!!!",F448="NEW"),"",INDEX(B$2:B447,-1+SUMPRODUCT(MAX(ROW(E$2:E447)*(E448=E$2:E447)))))</f>
        <v/>
      </c>
      <c r="J448" s="25" t="str">
        <f ca="1">IF(OR(E448="",E448="!!!",F448="NEW"),"",COUNTBLANK(OFFSET(A$1,,,SUMPRODUCT(MAX(ROW(E$2:E448)*(E448=E$2:E448)))))-COUNTBLANK(OFFSET(A$1,,,SUMPRODUCT(MAX(ROW(E$1:E447)*(E2=E$1:E447))))))</f>
        <v/>
      </c>
      <c r="K448" s="25" t="str">
        <f>IF(OR(E448="",E448="!!!",F448="NEW"),"",INDEX(J$1:J447,SUMPRODUCT(MAX(ROW(E$1:E447)*(E448=E$1:E447)))))</f>
        <v/>
      </c>
      <c r="L448" s="26"/>
    </row>
    <row r="449" spans="1:12" x14ac:dyDescent="0.3">
      <c r="A449" t="s">
        <v>411</v>
      </c>
      <c r="E449" s="21" t="str">
        <f t="shared" si="46"/>
        <v/>
      </c>
      <c r="F449" s="22" t="str">
        <f>IF(OR(E449="",E449="!!!"),"",IF(NOT(ISNA(VLOOKUP(E449,E$1:E448,1,FALSE()))),"OLD",IF(AND(E449&lt;&gt;"",E449&lt;&gt;"!!!"),"NEW","")))</f>
        <v/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/>
      </c>
      <c r="H449" s="24" t="str">
        <f t="shared" ca="1" si="47"/>
        <v/>
      </c>
      <c r="I449" s="25" t="str">
        <f>IF(OR(E449="",E449="!!!",F449="NEW"),"",INDEX(B$2:B448,-1+SUMPRODUCT(MAX(ROW(E$2:E448)*(E449=E$2:E448)))))</f>
        <v/>
      </c>
      <c r="J449" s="25" t="str">
        <f ca="1">IF(OR(E449="",E449="!!!",F449="NEW"),"",COUNTBLANK(OFFSET(A$1,,,SUMPRODUCT(MAX(ROW(E$2:E449)*(E449=E$2:E449)))))-COUNTBLANK(OFFSET(A$1,,,SUMPRODUCT(MAX(ROW(E$1:E448)*(E2=E$1:E448))))))</f>
        <v/>
      </c>
      <c r="K449" s="25" t="str">
        <f>IF(OR(E449="",E449="!!!",F449="NEW"),"",INDEX(J$1:J448,SUMPRODUCT(MAX(ROW(E$1:E448)*(E449=E$1:E448)))))</f>
        <v/>
      </c>
      <c r="L449" s="26"/>
    </row>
    <row r="450" spans="1:12" x14ac:dyDescent="0.3">
      <c r="A450" t="s">
        <v>412</v>
      </c>
      <c r="B450" s="20" t="s">
        <v>183</v>
      </c>
      <c r="C450" s="20" t="s">
        <v>229</v>
      </c>
      <c r="E450" s="21" t="str">
        <f t="shared" si="46"/>
        <v/>
      </c>
      <c r="F450" s="22" t="str">
        <f>IF(OR(E450="",E450="!!!"),"",IF(NOT(ISNA(VLOOKUP(E450,E$1:E449,1,FALSE()))),"OLD",IF(AND(E450&lt;&gt;"",E450&lt;&gt;"!!!"),"NEW","")))</f>
        <v/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/>
      </c>
      <c r="H450" s="24" t="str">
        <f t="shared" ca="1" si="47"/>
        <v/>
      </c>
      <c r="I450" s="25" t="str">
        <f>IF(OR(E450="",E450="!!!",F450="NEW"),"",INDEX(B$2:B449,-1+SUMPRODUCT(MAX(ROW(E$2:E449)*(E450=E$2:E449)))))</f>
        <v/>
      </c>
      <c r="J450" s="25" t="str">
        <f ca="1">IF(OR(E450="",E450="!!!",F450="NEW"),"",COUNTBLANK(OFFSET(A$1,,,SUMPRODUCT(MAX(ROW(E$2:E450)*(E450=E$2:E450)))))-COUNTBLANK(OFFSET(A$1,,,SUMPRODUCT(MAX(ROW(E$1:E449)*(E2=E$1:E449))))))</f>
        <v/>
      </c>
      <c r="K450" s="25" t="str">
        <f>IF(OR(E450="",E450="!!!",F450="NEW"),"",INDEX(J$1:J449,SUMPRODUCT(MAX(ROW(E$1:E449)*(E450=E$1:E449)))))</f>
        <v/>
      </c>
      <c r="L450" s="26"/>
    </row>
    <row r="451" spans="1:12" x14ac:dyDescent="0.3">
      <c r="A451" t="s">
        <v>413</v>
      </c>
      <c r="E451" s="21" t="str">
        <f t="shared" si="46"/>
        <v/>
      </c>
      <c r="F451" s="22" t="str">
        <f>IF(OR(E451="",E451="!!!"),"",IF(NOT(ISNA(VLOOKUP(E451,E$1:E450,1,FALSE()))),"OLD",IF(AND(E451&lt;&gt;"",E451&lt;&gt;"!!!"),"NEW","")))</f>
        <v/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/>
      </c>
      <c r="H451" s="24" t="str">
        <f t="shared" ca="1" si="47"/>
        <v/>
      </c>
      <c r="I451" s="25" t="str">
        <f>IF(OR(E451="",E451="!!!",F451="NEW"),"",INDEX(B$2:B450,-1+SUMPRODUCT(MAX(ROW(E$2:E450)*(E451=E$2:E450)))))</f>
        <v/>
      </c>
      <c r="J451" s="25" t="str">
        <f ca="1">IF(OR(E451="",E451="!!!",F451="NEW"),"",COUNTBLANK(OFFSET(A$1,,,SUMPRODUCT(MAX(ROW(E$2:E451)*(E451=E$2:E451)))))-COUNTBLANK(OFFSET(A$1,,,SUMPRODUCT(MAX(ROW(E$1:E450)*(E2=E$1:E450))))))</f>
        <v/>
      </c>
      <c r="K451" s="25" t="str">
        <f>IF(OR(E451="",E451="!!!",F451="NEW"),"",INDEX(J$1:J450,SUMPRODUCT(MAX(ROW(E$1:E450)*(E451=E$1:E450)))))</f>
        <v/>
      </c>
      <c r="L451" s="26"/>
    </row>
    <row r="452" spans="1:12" x14ac:dyDescent="0.3">
      <c r="A452" t="s">
        <v>334</v>
      </c>
      <c r="B452" s="20" t="s">
        <v>174</v>
      </c>
      <c r="E452" s="21" t="str">
        <f t="shared" si="46"/>
        <v/>
      </c>
      <c r="F452" s="22" t="str">
        <f>IF(OR(E452="",E452="!!!"),"",IF(NOT(ISNA(VLOOKUP(E452,E$1:E451,1,FALSE()))),"OLD",IF(AND(E452&lt;&gt;"",E452&lt;&gt;"!!!"),"NEW","")))</f>
        <v/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/>
      </c>
      <c r="H452" s="24" t="str">
        <f t="shared" ca="1" si="47"/>
        <v/>
      </c>
      <c r="I452" s="25" t="str">
        <f>IF(OR(E452="",E452="!!!",F452="NEW"),"",INDEX(B$2:B451,-1+SUMPRODUCT(MAX(ROW(E$2:E451)*(E452=E$2:E451)))))</f>
        <v/>
      </c>
      <c r="J452" s="25" t="str">
        <f ca="1">IF(OR(E452="",E452="!!!",F452="NEW"),"",COUNTBLANK(OFFSET(A$1,,,SUMPRODUCT(MAX(ROW(E$2:E452)*(E452=E$2:E452)))))-COUNTBLANK(OFFSET(A$1,,,SUMPRODUCT(MAX(ROW(E$1:E451)*(E2=E$1:E451))))))</f>
        <v/>
      </c>
      <c r="K452" s="25" t="str">
        <f>IF(OR(E452="",E452="!!!",F452="NEW"),"",INDEX(J$1:J451,SUMPRODUCT(MAX(ROW(E$1:E451)*(E452=E$1:E451)))))</f>
        <v/>
      </c>
      <c r="L452" s="26"/>
    </row>
    <row r="453" spans="1:12" x14ac:dyDescent="0.3">
      <c r="A453" t="s">
        <v>305</v>
      </c>
      <c r="E453" s="21" t="str">
        <f t="shared" si="46"/>
        <v/>
      </c>
      <c r="F453" s="22" t="str">
        <f>IF(OR(E453="",E453="!!!"),"",IF(NOT(ISNA(VLOOKUP(E453,E$1:E452,1,FALSE()))),"OLD",IF(AND(E453&lt;&gt;"",E453&lt;&gt;"!!!"),"NEW","")))</f>
        <v/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/>
      </c>
      <c r="H453" s="24" t="str">
        <f t="shared" ca="1" si="47"/>
        <v/>
      </c>
      <c r="I453" s="25" t="str">
        <f>IF(OR(E453="",E453="!!!",F453="NEW"),"",INDEX(B$2:B452,-1+SUMPRODUCT(MAX(ROW(E$2:E452)*(E453=E$2:E452)))))</f>
        <v/>
      </c>
      <c r="J453" s="25" t="str">
        <f ca="1">IF(OR(E453="",E453="!!!",F453="NEW"),"",COUNTBLANK(OFFSET(A$1,,,SUMPRODUCT(MAX(ROW(E$2:E453)*(E453=E$2:E453)))))-COUNTBLANK(OFFSET(A$1,,,SUMPRODUCT(MAX(ROW(E$1:E452)*(E2=E$1:E452))))))</f>
        <v/>
      </c>
      <c r="K453" s="25" t="str">
        <f>IF(OR(E453="",E453="!!!",F453="NEW"),"",INDEX(J$1:J452,SUMPRODUCT(MAX(ROW(E$1:E452)*(E453=E$1:E452)))))</f>
        <v/>
      </c>
      <c r="L453" s="26"/>
    </row>
    <row r="454" spans="1:12" x14ac:dyDescent="0.3">
      <c r="A454" t="s">
        <v>65</v>
      </c>
      <c r="B454" s="20" t="s">
        <v>215</v>
      </c>
      <c r="C454" s="20" t="s">
        <v>195</v>
      </c>
      <c r="D454" s="20" t="s">
        <v>171</v>
      </c>
      <c r="E454" s="21" t="s">
        <v>498</v>
      </c>
      <c r="F454" s="22" t="str">
        <f>IF(OR(E454="",E454="!!!"),"",IF(NOT(ISNA(VLOOKUP(E454,E$1:E453,1,FALSE()))),"OLD",IF(AND(E454&lt;&gt;"",E454&lt;&gt;"!!!"),"NEW","")))</f>
        <v>OLD</v>
      </c>
      <c r="G454" s="23" t="s">
        <v>509</v>
      </c>
      <c r="H454" s="24" t="str">
        <f t="shared" ca="1" si="47"/>
        <v/>
      </c>
      <c r="I454" s="25" t="str">
        <f>IF(OR(E454="",E454="!!!",F454="NEW"),"",INDEX(B$2:B453,-1+SUMPRODUCT(MAX(ROW(E$2:E453)*(E454=E$2:E453)))))</f>
        <v>OBJ_2</v>
      </c>
      <c r="J454" s="25">
        <f ca="1">IF(OR(E454="",E454="!!!",F454="NEW"),"",COUNTBLANK(OFFSET(A$1,,,SUMPRODUCT(MAX(ROW(E$2:E454)*(E454=E$2:E454)))))-COUNTBLANK(OFFSET(A$1,,,SUMPRODUCT(MAX(ROW(E$1:E453)*(E2=E$1:E453))))))</f>
        <v>0</v>
      </c>
      <c r="K454" s="25">
        <f ca="1">IF(OR(E454="",E454="!!!",F454="NEW"),"",INDEX(J$1:J453,SUMPRODUCT(MAX(ROW(E$1:E453)*(E454=E$1:E453)))))</f>
        <v>0</v>
      </c>
      <c r="L454" s="26"/>
    </row>
    <row r="455" spans="1:12" x14ac:dyDescent="0.3">
      <c r="A455" t="s">
        <v>414</v>
      </c>
      <c r="E455" s="21" t="str">
        <f t="shared" si="46"/>
        <v/>
      </c>
      <c r="F455" s="22" t="str">
        <f>IF(OR(E455="",E455="!!!"),"",IF(NOT(ISNA(VLOOKUP(E455,E$1:E454,1,FALSE()))),"OLD",IF(AND(E455&lt;&gt;"",E455&lt;&gt;"!!!"),"NEW","")))</f>
        <v/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/>
      </c>
      <c r="H455" s="24" t="str">
        <f t="shared" ca="1" si="47"/>
        <v/>
      </c>
      <c r="I455" s="25" t="str">
        <f>IF(OR(E455="",E455="!!!",F455="NEW"),"",INDEX(B$2:B454,-1+SUMPRODUCT(MAX(ROW(E$2:E454)*(E455=E$2:E454)))))</f>
        <v/>
      </c>
      <c r="J455" s="25" t="str">
        <f ca="1">IF(OR(E455="",E455="!!!",F455="NEW"),"",COUNTBLANK(OFFSET(A$1,,,SUMPRODUCT(MAX(ROW(E$2:E455)*(E455=E$2:E455)))))-COUNTBLANK(OFFSET(A$1,,,SUMPRODUCT(MAX(ROW(E$1:E454)*(E2=E$1:E454))))))</f>
        <v/>
      </c>
      <c r="K455" s="25" t="str">
        <f>IF(OR(E455="",E455="!!!",F455="NEW"),"",INDEX(J$1:J454,SUMPRODUCT(MAX(ROW(E$1:E454)*(E455=E$1:E454)))))</f>
        <v/>
      </c>
      <c r="L455" s="26"/>
    </row>
    <row r="456" spans="1:12" x14ac:dyDescent="0.3">
      <c r="A456" t="s">
        <v>197</v>
      </c>
      <c r="E456" s="21" t="str">
        <f t="shared" si="46"/>
        <v/>
      </c>
      <c r="F456" s="22" t="str">
        <f>IF(OR(E456="",E456="!!!"),"",IF(NOT(ISNA(VLOOKUP(E456,E$1:E455,1,FALSE()))),"OLD",IF(AND(E456&lt;&gt;"",E456&lt;&gt;"!!!"),"NEW","")))</f>
        <v/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/>
      </c>
      <c r="H456" s="24" t="str">
        <f t="shared" ca="1" si="47"/>
        <v/>
      </c>
      <c r="I456" s="25" t="str">
        <f>IF(OR(E456="",E456="!!!",F456="NEW"),"",INDEX(B$2:B455,-1+SUMPRODUCT(MAX(ROW(E$2:E455)*(E456=E$2:E455)))))</f>
        <v/>
      </c>
      <c r="J456" s="25" t="str">
        <f ca="1">IF(OR(E456="",E456="!!!",F456="NEW"),"",COUNTBLANK(OFFSET(A$1,,,SUMPRODUCT(MAX(ROW(E$2:E456)*(E456=E$2:E456)))))-COUNTBLANK(OFFSET(A$1,,,SUMPRODUCT(MAX(ROW(E$1:E455)*(E2=E$1:E455))))))</f>
        <v/>
      </c>
      <c r="K456" s="25" t="str">
        <f>IF(OR(E456="",E456="!!!",F456="NEW"),"",INDEX(J$1:J455,SUMPRODUCT(MAX(ROW(E$1:E455)*(E456=E$1:E455)))))</f>
        <v/>
      </c>
      <c r="L456" s="26"/>
    </row>
    <row r="458" spans="1:12" x14ac:dyDescent="0.3">
      <c r="A458" t="s">
        <v>415</v>
      </c>
    </row>
    <row r="459" spans="1:12" x14ac:dyDescent="0.3">
      <c r="A459" t="s">
        <v>361</v>
      </c>
      <c r="E459" s="21" t="str">
        <f t="shared" ref="E459:E469" si="48">IF(D459="?OLD","!!!","")</f>
        <v/>
      </c>
      <c r="F459" s="22" t="str">
        <f>IF(OR(E459="",E459="!!!"),"",IF(NOT(ISNA(VLOOKUP(E459,E$1:E458,1,FALSE()))),"OLD",IF(AND(E459&lt;&gt;"",E459&lt;&gt;"!!!"),"NEW","")))</f>
        <v/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/>
      </c>
      <c r="H459" s="24" t="str">
        <f t="shared" ref="H459:H469" ca="1" si="49">IF(J459&lt;&gt;1,"",IF(I459="SBJ","CB","?"))</f>
        <v/>
      </c>
      <c r="I459" s="25" t="str">
        <f>IF(OR(E459="",E459="!!!",F459="NEW"),"",INDEX(B$2:B458,-1+SUMPRODUCT(MAX(ROW(E$2:E458)*(E459=E$2:E458)))))</f>
        <v/>
      </c>
      <c r="J459" s="25" t="str">
        <f ca="1">IF(OR(E459="",E459="!!!",F459="NEW"),"",COUNTBLANK(OFFSET(A$1,,,SUMPRODUCT(MAX(ROW(E$2:E459)*(E459=E$2:E459)))))-COUNTBLANK(OFFSET(A$1,,,SUMPRODUCT(MAX(ROW(E$1:E458)*(E2=E$1:E458))))))</f>
        <v/>
      </c>
      <c r="K459" s="25" t="str">
        <f>IF(OR(E459="",E459="!!!",F459="NEW"),"",INDEX(J$1:J458,SUMPRODUCT(MAX(ROW(E$1:E458)*(E459=E$1:E458)))))</f>
        <v/>
      </c>
      <c r="L459" s="26"/>
    </row>
    <row r="460" spans="1:12" x14ac:dyDescent="0.3">
      <c r="A460" t="s">
        <v>192</v>
      </c>
      <c r="E460" s="21" t="str">
        <f t="shared" si="48"/>
        <v/>
      </c>
      <c r="F460" s="22" t="str">
        <f>IF(OR(E460="",E460="!!!"),"",IF(NOT(ISNA(VLOOKUP(E460,E$1:E459,1,FALSE()))),"OLD",IF(AND(E460&lt;&gt;"",E460&lt;&gt;"!!!"),"NEW","")))</f>
        <v/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/>
      </c>
      <c r="H460" s="24" t="str">
        <f t="shared" ca="1" si="49"/>
        <v/>
      </c>
      <c r="I460" s="25" t="str">
        <f>IF(OR(E460="",E460="!!!",F460="NEW"),"",INDEX(B$2:B459,-1+SUMPRODUCT(MAX(ROW(E$2:E459)*(E460=E$2:E459)))))</f>
        <v/>
      </c>
      <c r="J460" s="25" t="str">
        <f ca="1">IF(OR(E460="",E460="!!!",F460="NEW"),"",COUNTBLANK(OFFSET(A$1,,,SUMPRODUCT(MAX(ROW(E$2:E460)*(E460=E$2:E460)))))-COUNTBLANK(OFFSET(A$1,,,SUMPRODUCT(MAX(ROW(E$1:E459)*(E2=E$1:E459))))))</f>
        <v/>
      </c>
      <c r="K460" s="25" t="str">
        <f>IF(OR(E460="",E460="!!!",F460="NEW"),"",INDEX(J$1:J459,SUMPRODUCT(MAX(ROW(E$1:E459)*(E460=E$1:E459)))))</f>
        <v/>
      </c>
      <c r="L460" s="26"/>
    </row>
    <row r="461" spans="1:12" x14ac:dyDescent="0.3">
      <c r="A461" t="s">
        <v>223</v>
      </c>
      <c r="E461" s="21" t="str">
        <f t="shared" si="48"/>
        <v/>
      </c>
      <c r="F461" s="22" t="str">
        <f>IF(OR(E461="",E461="!!!"),"",IF(NOT(ISNA(VLOOKUP(E461,E$1:E460,1,FALSE()))),"OLD",IF(AND(E461&lt;&gt;"",E461&lt;&gt;"!!!"),"NEW","")))</f>
        <v/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/>
      </c>
      <c r="H461" s="24" t="str">
        <f t="shared" ca="1" si="49"/>
        <v/>
      </c>
      <c r="I461" s="25" t="str">
        <f>IF(OR(E461="",E461="!!!",F461="NEW"),"",INDEX(B$2:B460,-1+SUMPRODUCT(MAX(ROW(E$2:E460)*(E461=E$2:E460)))))</f>
        <v/>
      </c>
      <c r="J461" s="25" t="str">
        <f ca="1">IF(OR(E461="",E461="!!!",F461="NEW"),"",COUNTBLANK(OFFSET(A$1,,,SUMPRODUCT(MAX(ROW(E$2:E461)*(E461=E$2:E461)))))-COUNTBLANK(OFFSET(A$1,,,SUMPRODUCT(MAX(ROW(E$1:E460)*(E2=E$1:E460))))))</f>
        <v/>
      </c>
      <c r="K461" s="25" t="str">
        <f>IF(OR(E461="",E461="!!!",F461="NEW"),"",INDEX(J$1:J460,SUMPRODUCT(MAX(ROW(E$1:E460)*(E461=E$1:E460)))))</f>
        <v/>
      </c>
      <c r="L461" s="26"/>
    </row>
    <row r="462" spans="1:12" x14ac:dyDescent="0.3">
      <c r="A462" t="s">
        <v>407</v>
      </c>
      <c r="B462" s="20" t="s">
        <v>183</v>
      </c>
      <c r="C462" s="20" t="s">
        <v>195</v>
      </c>
      <c r="D462" s="20" t="s">
        <v>171</v>
      </c>
      <c r="E462" s="21" t="s">
        <v>480</v>
      </c>
      <c r="F462" s="22" t="str">
        <f>IF(OR(E462="",E462="!!!"),"",IF(NOT(ISNA(VLOOKUP(E462,E$1:E461,1,FALSE()))),"OLD",IF(AND(E462&lt;&gt;"",E462&lt;&gt;"!!!"),"NEW","")))</f>
        <v>OLD</v>
      </c>
      <c r="G462" s="23" t="s">
        <v>514</v>
      </c>
      <c r="H462" s="24" t="str">
        <f t="shared" ca="1" si="49"/>
        <v/>
      </c>
      <c r="I462" s="25" t="str">
        <f>IF(OR(E462="",E462="!!!",F462="NEW"),"",INDEX(B$2:B461,-1+SUMPRODUCT(MAX(ROW(E$2:E461)*(E462=E$2:E461)))))</f>
        <v>other</v>
      </c>
      <c r="J462" s="25">
        <f ca="1">IF(OR(E462="",E462="!!!",F462="NEW"),"",COUNTBLANK(OFFSET(A$1,,,SUMPRODUCT(MAX(ROW(E$2:E462)*(E462=E$2:E462)))))-COUNTBLANK(OFFSET(A$1,,,SUMPRODUCT(MAX(ROW(E$1:E461)*(E2=E$1:E461))))))</f>
        <v>0</v>
      </c>
      <c r="K462" s="25" t="str">
        <f ca="1">IF(OR(E462="",E462="!!!",F462="NEW"),"",INDEX(J$1:J461,SUMPRODUCT(MAX(ROW(E$1:E461)*(E462=E$1:E461)))))</f>
        <v/>
      </c>
      <c r="L462" s="26"/>
    </row>
    <row r="463" spans="1:12" x14ac:dyDescent="0.3">
      <c r="A463" t="s">
        <v>118</v>
      </c>
      <c r="E463" s="21" t="str">
        <f t="shared" si="48"/>
        <v/>
      </c>
      <c r="F463" s="22" t="str">
        <f>IF(OR(E463="",E463="!!!"),"",IF(NOT(ISNA(VLOOKUP(E463,E$1:E462,1,FALSE()))),"OLD",IF(AND(E463&lt;&gt;"",E463&lt;&gt;"!!!"),"NEW","")))</f>
        <v/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/>
      </c>
      <c r="H463" s="24" t="str">
        <f t="shared" ca="1" si="49"/>
        <v/>
      </c>
      <c r="I463" s="25" t="str">
        <f>IF(OR(E463="",E463="!!!",F463="NEW"),"",INDEX(B$2:B462,-1+SUMPRODUCT(MAX(ROW(E$2:E462)*(E463=E$2:E462)))))</f>
        <v/>
      </c>
      <c r="J463" s="25" t="str">
        <f ca="1">IF(OR(E463="",E463="!!!",F463="NEW"),"",COUNTBLANK(OFFSET(A$1,,,SUMPRODUCT(MAX(ROW(E$2:E463)*(E463=E$2:E463)))))-COUNTBLANK(OFFSET(A$1,,,SUMPRODUCT(MAX(ROW(E$1:E462)*(E2=E$1:E462))))))</f>
        <v/>
      </c>
      <c r="K463" s="25" t="str">
        <f>IF(OR(E463="",E463="!!!",F463="NEW"),"",INDEX(J$1:J462,SUMPRODUCT(MAX(ROW(E$1:E462)*(E463=E$1:E462)))))</f>
        <v/>
      </c>
      <c r="L463" s="26"/>
    </row>
    <row r="464" spans="1:12" x14ac:dyDescent="0.3">
      <c r="A464" t="s">
        <v>222</v>
      </c>
      <c r="B464" s="20" t="s">
        <v>182</v>
      </c>
      <c r="C464" s="20" t="s">
        <v>202</v>
      </c>
      <c r="E464" s="21" t="str">
        <f t="shared" si="48"/>
        <v/>
      </c>
      <c r="F464" s="22" t="str">
        <f>IF(OR(E464="",E464="!!!"),"",IF(NOT(ISNA(VLOOKUP(E464,E$1:E463,1,FALSE()))),"OLD",IF(AND(E464&lt;&gt;"",E464&lt;&gt;"!!!"),"NEW","")))</f>
        <v/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/>
      </c>
      <c r="H464" s="24" t="str">
        <f t="shared" ca="1" si="49"/>
        <v/>
      </c>
      <c r="I464" s="25" t="str">
        <f>IF(OR(E464="",E464="!!!",F464="NEW"),"",INDEX(B$2:B463,-1+SUMPRODUCT(MAX(ROW(E$2:E463)*(E464=E$2:E463)))))</f>
        <v/>
      </c>
      <c r="J464" s="25" t="str">
        <f ca="1">IF(OR(E464="",E464="!!!",F464="NEW"),"",COUNTBLANK(OFFSET(A$1,,,SUMPRODUCT(MAX(ROW(E$2:E464)*(E464=E$2:E464)))))-COUNTBLANK(OFFSET(A$1,,,SUMPRODUCT(MAX(ROW(E$1:E463)*(E2=E$1:E463))))))</f>
        <v/>
      </c>
      <c r="K464" s="25" t="str">
        <f>IF(OR(E464="",E464="!!!",F464="NEW"),"",INDEX(J$1:J463,SUMPRODUCT(MAX(ROW(E$1:E463)*(E464=E$1:E463)))))</f>
        <v/>
      </c>
      <c r="L464" s="26"/>
    </row>
    <row r="465" spans="1:12" x14ac:dyDescent="0.3">
      <c r="A465" t="s">
        <v>281</v>
      </c>
      <c r="E465" s="21" t="str">
        <f t="shared" si="48"/>
        <v/>
      </c>
      <c r="F465" s="22" t="str">
        <f>IF(OR(E465="",E465="!!!"),"",IF(NOT(ISNA(VLOOKUP(E465,E$1:E464,1,FALSE()))),"OLD",IF(AND(E465&lt;&gt;"",E465&lt;&gt;"!!!"),"NEW","")))</f>
        <v/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/>
      </c>
      <c r="H465" s="24" t="str">
        <f t="shared" ca="1" si="49"/>
        <v/>
      </c>
      <c r="I465" s="25" t="str">
        <f>IF(OR(E465="",E465="!!!",F465="NEW"),"",INDEX(B$2:B464,-1+SUMPRODUCT(MAX(ROW(E$2:E464)*(E465=E$2:E464)))))</f>
        <v/>
      </c>
      <c r="J465" s="25" t="str">
        <f ca="1">IF(OR(E465="",E465="!!!",F465="NEW"),"",COUNTBLANK(OFFSET(A$1,,,SUMPRODUCT(MAX(ROW(E$2:E465)*(E465=E$2:E465)))))-COUNTBLANK(OFFSET(A$1,,,SUMPRODUCT(MAX(ROW(E$1:E464)*(E2=E$1:E464))))))</f>
        <v/>
      </c>
      <c r="K465" s="25" t="str">
        <f>IF(OR(E465="",E465="!!!",F465="NEW"),"",INDEX(J$1:J464,SUMPRODUCT(MAX(ROW(E$1:E464)*(E465=E$1:E464)))))</f>
        <v/>
      </c>
      <c r="L465" s="26"/>
    </row>
    <row r="466" spans="1:12" x14ac:dyDescent="0.3">
      <c r="A466" t="s">
        <v>416</v>
      </c>
      <c r="B466" s="20" t="s">
        <v>183</v>
      </c>
      <c r="C466" s="20" t="s">
        <v>195</v>
      </c>
      <c r="D466" s="20" t="s">
        <v>171</v>
      </c>
      <c r="E466" s="21"/>
      <c r="F466" s="22" t="s">
        <v>483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/>
      </c>
      <c r="H466" s="24" t="str">
        <f t="shared" ca="1" si="49"/>
        <v/>
      </c>
      <c r="I466" s="25" t="str">
        <f>IF(OR(E466="",E466="!!!",F466="NEW"),"",INDEX(B$2:B465,-1+SUMPRODUCT(MAX(ROW(E$2:E465)*(E466=E$2:E465)))))</f>
        <v/>
      </c>
      <c r="J466" s="25" t="str">
        <f ca="1">IF(OR(E466="",E466="!!!",F466="NEW"),"",COUNTBLANK(OFFSET(A$1,,,SUMPRODUCT(MAX(ROW(E$2:E466)*(E466=E$2:E466)))))-COUNTBLANK(OFFSET(A$1,,,SUMPRODUCT(MAX(ROW(E$1:E465)*(E2=E$1:E465))))))</f>
        <v/>
      </c>
      <c r="K466" s="25" t="str">
        <f>IF(OR(E466="",E466="!!!",F466="NEW"),"",INDEX(J$1:J465,SUMPRODUCT(MAX(ROW(E$1:E465)*(E466=E$1:E465)))))</f>
        <v/>
      </c>
      <c r="L466" s="26"/>
    </row>
    <row r="467" spans="1:12" x14ac:dyDescent="0.3">
      <c r="A467" t="s">
        <v>417</v>
      </c>
      <c r="B467" s="20" t="s">
        <v>182</v>
      </c>
      <c r="C467" s="20" t="s">
        <v>170</v>
      </c>
      <c r="D467" s="20" t="s">
        <v>171</v>
      </c>
      <c r="E467" s="21"/>
      <c r="F467" s="22" t="s">
        <v>486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/>
      </c>
      <c r="H467" s="24" t="str">
        <f t="shared" ca="1" si="49"/>
        <v/>
      </c>
      <c r="I467" s="25" t="str">
        <f>IF(OR(E467="",E467="!!!",F467="NEW"),"",INDEX(B$2:B466,-1+SUMPRODUCT(MAX(ROW(E$2:E466)*(E467=E$2:E466)))))</f>
        <v/>
      </c>
      <c r="J467" s="25" t="str">
        <f ca="1">IF(OR(E467="",E467="!!!",F467="NEW"),"",COUNTBLANK(OFFSET(A$1,,,SUMPRODUCT(MAX(ROW(E$2:E467)*(E467=E$2:E467)))))-COUNTBLANK(OFFSET(A$1,,,SUMPRODUCT(MAX(ROW(E$1:E466)*(E2=E$1:E466))))))</f>
        <v/>
      </c>
      <c r="K467" s="25" t="str">
        <f>IF(OR(E467="",E467="!!!",F467="NEW"),"",INDEX(J$1:J466,SUMPRODUCT(MAX(ROW(E$1:E466)*(E467=E$1:E466)))))</f>
        <v/>
      </c>
      <c r="L467" s="26"/>
    </row>
    <row r="468" spans="1:12" x14ac:dyDescent="0.3">
      <c r="A468" t="s">
        <v>373</v>
      </c>
      <c r="E468" s="21" t="str">
        <f t="shared" si="48"/>
        <v/>
      </c>
      <c r="F468" s="22" t="str">
        <f>IF(OR(E468="",E468="!!!"),"",IF(NOT(ISNA(VLOOKUP(E468,E$1:E467,1,FALSE()))),"OLD",IF(AND(E468&lt;&gt;"",E468&lt;&gt;"!!!"),"NEW","")))</f>
        <v/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/>
      </c>
      <c r="H468" s="24" t="str">
        <f t="shared" ca="1" si="49"/>
        <v/>
      </c>
      <c r="I468" s="25" t="str">
        <f>IF(OR(E468="",E468="!!!",F468="NEW"),"",INDEX(B$2:B467,-1+SUMPRODUCT(MAX(ROW(E$2:E467)*(E468=E$2:E467)))))</f>
        <v/>
      </c>
      <c r="J468" s="25" t="str">
        <f ca="1">IF(OR(E468="",E468="!!!",F468="NEW"),"",COUNTBLANK(OFFSET(A$1,,,SUMPRODUCT(MAX(ROW(E$2:E468)*(E468=E$2:E468)))))-COUNTBLANK(OFFSET(A$1,,,SUMPRODUCT(MAX(ROW(E$1:E467)*(E2=E$1:E467))))))</f>
        <v/>
      </c>
      <c r="K468" s="25" t="str">
        <f>IF(OR(E468="",E468="!!!",F468="NEW"),"",INDEX(J$1:J467,SUMPRODUCT(MAX(ROW(E$1:E467)*(E468=E$1:E467)))))</f>
        <v/>
      </c>
      <c r="L468" s="26"/>
    </row>
    <row r="469" spans="1:12" x14ac:dyDescent="0.3">
      <c r="A469" t="s">
        <v>197</v>
      </c>
      <c r="E469" s="21" t="str">
        <f t="shared" si="48"/>
        <v/>
      </c>
      <c r="F469" s="22" t="str">
        <f>IF(OR(E469="",E469="!!!"),"",IF(NOT(ISNA(VLOOKUP(E469,E$1:E468,1,FALSE()))),"OLD",IF(AND(E469&lt;&gt;"",E469&lt;&gt;"!!!"),"NEW","")))</f>
        <v/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/>
      </c>
      <c r="H469" s="24" t="str">
        <f t="shared" ca="1" si="49"/>
        <v/>
      </c>
      <c r="I469" s="25" t="str">
        <f>IF(OR(E469="",E469="!!!",F469="NEW"),"",INDEX(B$2:B468,-1+SUMPRODUCT(MAX(ROW(E$2:E468)*(E469=E$2:E468)))))</f>
        <v/>
      </c>
      <c r="J469" s="25" t="str">
        <f ca="1">IF(OR(E469="",E469="!!!",F469="NEW"),"",COUNTBLANK(OFFSET(A$1,,,SUMPRODUCT(MAX(ROW(E$2:E469)*(E469=E$2:E469)))))-COUNTBLANK(OFFSET(A$1,,,SUMPRODUCT(MAX(ROW(E$1:E468)*(E2=E$1:E468))))))</f>
        <v/>
      </c>
      <c r="K469" s="25" t="str">
        <f>IF(OR(E469="",E469="!!!",F469="NEW"),"",INDEX(J$1:J468,SUMPRODUCT(MAX(ROW(E$1:E468)*(E469=E$1:E468)))))</f>
        <v/>
      </c>
      <c r="L469" s="26"/>
    </row>
    <row r="471" spans="1:12" x14ac:dyDescent="0.3">
      <c r="A471" t="s">
        <v>418</v>
      </c>
    </row>
    <row r="472" spans="1:12" x14ac:dyDescent="0.3">
      <c r="A472" t="s">
        <v>419</v>
      </c>
      <c r="E472" s="21" t="str">
        <f t="shared" ref="E472:E486" si="50">IF(D472="?OLD","!!!","")</f>
        <v/>
      </c>
      <c r="F472" s="22" t="str">
        <f>IF(OR(E472="",E472="!!!"),"",IF(NOT(ISNA(VLOOKUP(E472,E$1:E471,1,FALSE()))),"OLD",IF(AND(E472&lt;&gt;"",E472&lt;&gt;"!!!"),"NEW","")))</f>
        <v/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/>
      </c>
      <c r="H472" s="24" t="str">
        <f t="shared" ref="H472:H486" ca="1" si="51">IF(J472&lt;&gt;1,"",IF(I472="SBJ","CB","?"))</f>
        <v/>
      </c>
      <c r="I472" s="25" t="str">
        <f>IF(OR(E472="",E472="!!!",F472="NEW"),"",INDEX(B$2:B471,-1+SUMPRODUCT(MAX(ROW(E$2:E471)*(E472=E$2:E471)))))</f>
        <v/>
      </c>
      <c r="J472" s="25" t="str">
        <f ca="1">IF(OR(E472="",E472="!!!",F472="NEW"),"",COUNTBLANK(OFFSET(A$1,,,SUMPRODUCT(MAX(ROW(E$2:E472)*(E472=E$2:E472)))))-COUNTBLANK(OFFSET(A$1,,,SUMPRODUCT(MAX(ROW(E$1:E471)*(E2=E$1:E471))))))</f>
        <v/>
      </c>
      <c r="K472" s="25" t="str">
        <f>IF(OR(E472="",E472="!!!",F472="NEW"),"",INDEX(J$1:J471,SUMPRODUCT(MAX(ROW(E$1:E471)*(E472=E$1:E471)))))</f>
        <v/>
      </c>
      <c r="L472" s="26"/>
    </row>
    <row r="473" spans="1:12" x14ac:dyDescent="0.3">
      <c r="A473" t="s">
        <v>420</v>
      </c>
      <c r="E473" s="21" t="str">
        <f t="shared" si="50"/>
        <v/>
      </c>
      <c r="F473" s="22" t="str">
        <f>IF(OR(E473="",E473="!!!"),"",IF(NOT(ISNA(VLOOKUP(E473,E$1:E472,1,FALSE()))),"OLD",IF(AND(E473&lt;&gt;"",E473&lt;&gt;"!!!"),"NEW","")))</f>
        <v/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/>
      </c>
      <c r="H473" s="24" t="str">
        <f t="shared" ca="1" si="51"/>
        <v/>
      </c>
      <c r="I473" s="25" t="str">
        <f>IF(OR(E473="",E473="!!!",F473="NEW"),"",INDEX(B$2:B472,-1+SUMPRODUCT(MAX(ROW(E$2:E472)*(E473=E$2:E472)))))</f>
        <v/>
      </c>
      <c r="J473" s="25" t="str">
        <f ca="1">IF(OR(E473="",E473="!!!",F473="NEW"),"",COUNTBLANK(OFFSET(A$1,,,SUMPRODUCT(MAX(ROW(E$2:E473)*(E473=E$2:E473)))))-COUNTBLANK(OFFSET(A$1,,,SUMPRODUCT(MAX(ROW(E$1:E472)*(E2=E$1:E472))))))</f>
        <v/>
      </c>
      <c r="K473" s="25" t="str">
        <f>IF(OR(E473="",E473="!!!",F473="NEW"),"",INDEX(J$1:J472,SUMPRODUCT(MAX(ROW(E$1:E472)*(E473=E$1:E472)))))</f>
        <v/>
      </c>
      <c r="L473" s="26"/>
    </row>
    <row r="474" spans="1:12" x14ac:dyDescent="0.3">
      <c r="A474" t="s">
        <v>173</v>
      </c>
      <c r="B474" s="20" t="s">
        <v>174</v>
      </c>
      <c r="C474" s="20" t="s">
        <v>216</v>
      </c>
      <c r="E474" s="21" t="str">
        <f t="shared" si="50"/>
        <v/>
      </c>
      <c r="F474" s="22" t="str">
        <f>IF(OR(E474="",E474="!!!"),"",IF(NOT(ISNA(VLOOKUP(E474,E$1:E473,1,FALSE()))),"OLD",IF(AND(E474&lt;&gt;"",E474&lt;&gt;"!!!"),"NEW","")))</f>
        <v/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/>
      </c>
      <c r="H474" s="24" t="str">
        <f t="shared" ca="1" si="51"/>
        <v/>
      </c>
      <c r="I474" s="25" t="str">
        <f>IF(OR(E474="",E474="!!!",F474="NEW"),"",INDEX(B$2:B473,-1+SUMPRODUCT(MAX(ROW(E$2:E473)*(E474=E$2:E473)))))</f>
        <v/>
      </c>
      <c r="J474" s="25" t="str">
        <f ca="1">IF(OR(E474="",E474="!!!",F474="NEW"),"",COUNTBLANK(OFFSET(A$1,,,SUMPRODUCT(MAX(ROW(E$2:E474)*(E474=E$2:E474)))))-COUNTBLANK(OFFSET(A$1,,,SUMPRODUCT(MAX(ROW(E$1:E473)*(E2=E$1:E473))))))</f>
        <v/>
      </c>
      <c r="K474" s="25" t="str">
        <f>IF(OR(E474="",E474="!!!",F474="NEW"),"",INDEX(J$1:J473,SUMPRODUCT(MAX(ROW(E$1:E473)*(E474=E$1:E473)))))</f>
        <v/>
      </c>
      <c r="L474" s="26"/>
    </row>
    <row r="475" spans="1:12" x14ac:dyDescent="0.3">
      <c r="A475" t="s">
        <v>421</v>
      </c>
      <c r="E475" s="21" t="str">
        <f t="shared" si="50"/>
        <v/>
      </c>
      <c r="F475" s="22" t="str">
        <f>IF(OR(E475="",E475="!!!"),"",IF(NOT(ISNA(VLOOKUP(E475,E$1:E474,1,FALSE()))),"OLD",IF(AND(E475&lt;&gt;"",E475&lt;&gt;"!!!"),"NEW","")))</f>
        <v/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/>
      </c>
      <c r="H475" s="24" t="str">
        <f t="shared" ca="1" si="51"/>
        <v/>
      </c>
      <c r="I475" s="25" t="str">
        <f>IF(OR(E475="",E475="!!!",F475="NEW"),"",INDEX(B$2:B474,-1+SUMPRODUCT(MAX(ROW(E$2:E474)*(E475=E$2:E474)))))</f>
        <v/>
      </c>
      <c r="J475" s="25" t="str">
        <f ca="1">IF(OR(E475="",E475="!!!",F475="NEW"),"",COUNTBLANK(OFFSET(A$1,,,SUMPRODUCT(MAX(ROW(E$2:E475)*(E475=E$2:E475)))))-COUNTBLANK(OFFSET(A$1,,,SUMPRODUCT(MAX(ROW(E$1:E474)*(E2=E$1:E474))))))</f>
        <v/>
      </c>
      <c r="K475" s="25" t="str">
        <f>IF(OR(E475="",E475="!!!",F475="NEW"),"",INDEX(J$1:J474,SUMPRODUCT(MAX(ROW(E$1:E474)*(E475=E$1:E474)))))</f>
        <v/>
      </c>
      <c r="L475" s="26"/>
    </row>
    <row r="476" spans="1:12" x14ac:dyDescent="0.3">
      <c r="A476" t="s">
        <v>201</v>
      </c>
      <c r="B476" s="20" t="s">
        <v>166</v>
      </c>
      <c r="C476" s="20" t="s">
        <v>202</v>
      </c>
      <c r="E476" s="21" t="str">
        <f t="shared" si="50"/>
        <v/>
      </c>
      <c r="F476" s="22" t="str">
        <f>IF(OR(E476="",E476="!!!"),"",IF(NOT(ISNA(VLOOKUP(E476,E$1:E475,1,FALSE()))),"OLD",IF(AND(E476&lt;&gt;"",E476&lt;&gt;"!!!"),"NEW","")))</f>
        <v/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/>
      </c>
      <c r="H476" s="24" t="str">
        <f t="shared" ca="1" si="51"/>
        <v/>
      </c>
      <c r="I476" s="25" t="str">
        <f>IF(OR(E476="",E476="!!!",F476="NEW"),"",INDEX(B$2:B475,-1+SUMPRODUCT(MAX(ROW(E$2:E475)*(E476=E$2:E475)))))</f>
        <v/>
      </c>
      <c r="J476" s="25" t="str">
        <f ca="1">IF(OR(E476="",E476="!!!",F476="NEW"),"",COUNTBLANK(OFFSET(A$1,,,SUMPRODUCT(MAX(ROW(E$2:E476)*(E476=E$2:E476)))))-COUNTBLANK(OFFSET(A$1,,,SUMPRODUCT(MAX(ROW(E$1:E475)*(E2=E$1:E475))))))</f>
        <v/>
      </c>
      <c r="K476" s="25" t="str">
        <f>IF(OR(E476="",E476="!!!",F476="NEW"),"",INDEX(J$1:J475,SUMPRODUCT(MAX(ROW(E$1:E475)*(E476=E$1:E475)))))</f>
        <v/>
      </c>
      <c r="L476" s="26"/>
    </row>
    <row r="477" spans="1:12" x14ac:dyDescent="0.3">
      <c r="A477" t="s">
        <v>422</v>
      </c>
      <c r="E477" s="21" t="str">
        <f t="shared" si="50"/>
        <v/>
      </c>
      <c r="F477" s="22" t="str">
        <f>IF(OR(E477="",E477="!!!"),"",IF(NOT(ISNA(VLOOKUP(E477,E$1:E476,1,FALSE()))),"OLD",IF(AND(E477&lt;&gt;"",E477&lt;&gt;"!!!"),"NEW","")))</f>
        <v/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/>
      </c>
      <c r="H477" s="24" t="str">
        <f t="shared" ca="1" si="51"/>
        <v/>
      </c>
      <c r="I477" s="25" t="str">
        <f>IF(OR(E477="",E477="!!!",F477="NEW"),"",INDEX(B$2:B476,-1+SUMPRODUCT(MAX(ROW(E$2:E476)*(E477=E$2:E476)))))</f>
        <v/>
      </c>
      <c r="J477" s="25" t="str">
        <f ca="1">IF(OR(E477="",E477="!!!",F477="NEW"),"",COUNTBLANK(OFFSET(A$1,,,SUMPRODUCT(MAX(ROW(E$2:E477)*(E477=E$2:E477)))))-COUNTBLANK(OFFSET(A$1,,,SUMPRODUCT(MAX(ROW(E$1:E476)*(E2=E$1:E476))))))</f>
        <v/>
      </c>
      <c r="K477" s="25" t="str">
        <f>IF(OR(E477="",E477="!!!",F477="NEW"),"",INDEX(J$1:J476,SUMPRODUCT(MAX(ROW(E$1:E476)*(E477=E$1:E476)))))</f>
        <v/>
      </c>
      <c r="L477" s="26"/>
    </row>
    <row r="478" spans="1:12" x14ac:dyDescent="0.3">
      <c r="A478" t="s">
        <v>404</v>
      </c>
      <c r="E478" s="21" t="str">
        <f t="shared" si="50"/>
        <v/>
      </c>
      <c r="F478" s="22" t="str">
        <f>IF(OR(E478="",E478="!!!"),"",IF(NOT(ISNA(VLOOKUP(E478,E$1:E477,1,FALSE()))),"OLD",IF(AND(E478&lt;&gt;"",E478&lt;&gt;"!!!"),"NEW","")))</f>
        <v/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/>
      </c>
      <c r="H478" s="24" t="str">
        <f t="shared" ca="1" si="51"/>
        <v/>
      </c>
      <c r="I478" s="25" t="str">
        <f>IF(OR(E478="",E478="!!!",F478="NEW"),"",INDEX(B$2:B477,-1+SUMPRODUCT(MAX(ROW(E$2:E477)*(E478=E$2:E477)))))</f>
        <v/>
      </c>
      <c r="J478" s="25" t="str">
        <f ca="1">IF(OR(E478="",E478="!!!",F478="NEW"),"",COUNTBLANK(OFFSET(A$1,,,SUMPRODUCT(MAX(ROW(E$2:E478)*(E478=E$2:E478)))))-COUNTBLANK(OFFSET(A$1,,,SUMPRODUCT(MAX(ROW(E$1:E477)*(E2=E$1:E477))))))</f>
        <v/>
      </c>
      <c r="K478" s="25" t="str">
        <f>IF(OR(E478="",E478="!!!",F478="NEW"),"",INDEX(J$1:J477,SUMPRODUCT(MAX(ROW(E$1:E477)*(E478=E$1:E477)))))</f>
        <v/>
      </c>
      <c r="L478" s="26"/>
    </row>
    <row r="479" spans="1:12" x14ac:dyDescent="0.3">
      <c r="A479" t="s">
        <v>192</v>
      </c>
      <c r="E479" s="21" t="str">
        <f t="shared" si="50"/>
        <v/>
      </c>
      <c r="F479" s="22" t="str">
        <f>IF(OR(E479="",E479="!!!"),"",IF(NOT(ISNA(VLOOKUP(E479,E$1:E478,1,FALSE()))),"OLD",IF(AND(E479&lt;&gt;"",E479&lt;&gt;"!!!"),"NEW","")))</f>
        <v/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/>
      </c>
      <c r="H479" s="24" t="str">
        <f t="shared" ca="1" si="51"/>
        <v/>
      </c>
      <c r="I479" s="25" t="str">
        <f>IF(OR(E479="",E479="!!!",F479="NEW"),"",INDEX(B$2:B478,-1+SUMPRODUCT(MAX(ROW(E$2:E478)*(E479=E$2:E478)))))</f>
        <v/>
      </c>
      <c r="J479" s="25" t="str">
        <f ca="1">IF(OR(E479="",E479="!!!",F479="NEW"),"",COUNTBLANK(OFFSET(A$1,,,SUMPRODUCT(MAX(ROW(E$2:E479)*(E479=E$2:E479)))))-COUNTBLANK(OFFSET(A$1,,,SUMPRODUCT(MAX(ROW(E$1:E478)*(E2=E$1:E478))))))</f>
        <v/>
      </c>
      <c r="K479" s="25" t="str">
        <f>IF(OR(E479="",E479="!!!",F479="NEW"),"",INDEX(J$1:J478,SUMPRODUCT(MAX(ROW(E$1:E478)*(E479=E$1:E478)))))</f>
        <v/>
      </c>
      <c r="L479" s="26"/>
    </row>
    <row r="480" spans="1:12" x14ac:dyDescent="0.3">
      <c r="A480" t="s">
        <v>193</v>
      </c>
      <c r="E480" s="21" t="str">
        <f t="shared" si="50"/>
        <v/>
      </c>
      <c r="F480" s="22" t="str">
        <f>IF(OR(E480="",E480="!!!"),"",IF(NOT(ISNA(VLOOKUP(E480,E$1:E479,1,FALSE()))),"OLD",IF(AND(E480&lt;&gt;"",E480&lt;&gt;"!!!"),"NEW","")))</f>
        <v/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/>
      </c>
      <c r="H480" s="24" t="str">
        <f t="shared" ca="1" si="51"/>
        <v/>
      </c>
      <c r="I480" s="25" t="str">
        <f>IF(OR(E480="",E480="!!!",F480="NEW"),"",INDEX(B$2:B479,-1+SUMPRODUCT(MAX(ROW(E$2:E479)*(E480=E$2:E479)))))</f>
        <v/>
      </c>
      <c r="J480" s="25" t="str">
        <f ca="1">IF(OR(E480="",E480="!!!",F480="NEW"),"",COUNTBLANK(OFFSET(A$1,,,SUMPRODUCT(MAX(ROW(E$2:E480)*(E480=E$2:E480)))))-COUNTBLANK(OFFSET(A$1,,,SUMPRODUCT(MAX(ROW(E$1:E479)*(E2=E$1:E479))))))</f>
        <v/>
      </c>
      <c r="K480" s="25" t="str">
        <f>IF(OR(E480="",E480="!!!",F480="NEW"),"",INDEX(J$1:J479,SUMPRODUCT(MAX(ROW(E$1:E479)*(E480=E$1:E479)))))</f>
        <v/>
      </c>
      <c r="L480" s="26"/>
    </row>
    <row r="481" spans="1:12" x14ac:dyDescent="0.3">
      <c r="A481" t="s">
        <v>405</v>
      </c>
      <c r="B481" s="20" t="s">
        <v>183</v>
      </c>
      <c r="C481" s="20" t="s">
        <v>195</v>
      </c>
      <c r="D481" s="20" t="s">
        <v>171</v>
      </c>
      <c r="E481" s="21" t="s">
        <v>501</v>
      </c>
      <c r="F481" s="22" t="str">
        <f>IF(OR(E481="",E481="!!!"),"",IF(NOT(ISNA(VLOOKUP(E481,E$1:E480,1,FALSE()))),"OLD",IF(AND(E481&lt;&gt;"",E481&lt;&gt;"!!!"),"NEW","")))</f>
        <v>OLD</v>
      </c>
      <c r="G481" s="23" t="s">
        <v>509</v>
      </c>
      <c r="H481" s="24" t="str">
        <f t="shared" ca="1" si="51"/>
        <v/>
      </c>
      <c r="I481" s="25" t="str">
        <f>IF(OR(E481="",E481="!!!",F481="NEW"),"",INDEX(B$2:B480,-1+SUMPRODUCT(MAX(ROW(E$2:E480)*(E481=E$2:E480)))))</f>
        <v>other_2</v>
      </c>
      <c r="J481" s="25">
        <f ca="1">IF(OR(E481="",E481="!!!",F481="NEW"),"",COUNTBLANK(OFFSET(A$1,,,SUMPRODUCT(MAX(ROW(E$2:E481)*(E481=E$2:E481)))))-COUNTBLANK(OFFSET(A$1,,,SUMPRODUCT(MAX(ROW(E$1:E480)*(E2=E$1:E480))))))</f>
        <v>0</v>
      </c>
      <c r="K481" s="25" t="str">
        <f ca="1">IF(OR(E481="",E481="!!!",F481="NEW"),"",INDEX(J$1:J480,SUMPRODUCT(MAX(ROW(E$1:E480)*(E481=E$1:E480)))))</f>
        <v/>
      </c>
      <c r="L481" s="26"/>
    </row>
    <row r="482" spans="1:12" x14ac:dyDescent="0.3">
      <c r="A482" t="s">
        <v>310</v>
      </c>
      <c r="E482" s="21" t="str">
        <f t="shared" si="50"/>
        <v/>
      </c>
      <c r="F482" s="22" t="str">
        <f>IF(OR(E482="",E482="!!!"),"",IF(NOT(ISNA(VLOOKUP(E482,E$1:E481,1,FALSE()))),"OLD",IF(AND(E482&lt;&gt;"",E482&lt;&gt;"!!!"),"NEW","")))</f>
        <v/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/>
      </c>
      <c r="H482" s="24" t="str">
        <f t="shared" ca="1" si="51"/>
        <v/>
      </c>
      <c r="I482" s="25" t="str">
        <f>IF(OR(E482="",E482="!!!",F482="NEW"),"",INDEX(B$2:B481,-1+SUMPRODUCT(MAX(ROW(E$2:E481)*(E482=E$2:E481)))))</f>
        <v/>
      </c>
      <c r="J482" s="25" t="str">
        <f ca="1">IF(OR(E482="",E482="!!!",F482="NEW"),"",COUNTBLANK(OFFSET(A$1,,,SUMPRODUCT(MAX(ROW(E$2:E482)*(E482=E$2:E482)))))-COUNTBLANK(OFFSET(A$1,,,SUMPRODUCT(MAX(ROW(E$1:E481)*(E2=E$1:E481))))))</f>
        <v/>
      </c>
      <c r="K482" s="25" t="str">
        <f>IF(OR(E482="",E482="!!!",F482="NEW"),"",INDEX(J$1:J481,SUMPRODUCT(MAX(ROW(E$1:E481)*(E482=E$1:E481)))))</f>
        <v/>
      </c>
      <c r="L482" s="26"/>
    </row>
    <row r="483" spans="1:12" x14ac:dyDescent="0.3">
      <c r="A483" t="s">
        <v>172</v>
      </c>
      <c r="E483" s="21" t="str">
        <f t="shared" si="50"/>
        <v/>
      </c>
      <c r="F483" s="22" t="str">
        <f>IF(OR(E483="",E483="!!!"),"",IF(NOT(ISNA(VLOOKUP(E483,E$1:E482,1,FALSE()))),"OLD",IF(AND(E483&lt;&gt;"",E483&lt;&gt;"!!!"),"NEW","")))</f>
        <v/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/>
      </c>
      <c r="H483" s="24" t="str">
        <f t="shared" ca="1" si="51"/>
        <v/>
      </c>
      <c r="I483" s="25" t="str">
        <f>IF(OR(E483="",E483="!!!",F483="NEW"),"",INDEX(B$2:B482,-1+SUMPRODUCT(MAX(ROW(E$2:E482)*(E483=E$2:E482)))))</f>
        <v/>
      </c>
      <c r="J483" s="25" t="str">
        <f ca="1">IF(OR(E483="",E483="!!!",F483="NEW"),"",COUNTBLANK(OFFSET(A$1,,,SUMPRODUCT(MAX(ROW(E$2:E483)*(E483=E$2:E483)))))-COUNTBLANK(OFFSET(A$1,,,SUMPRODUCT(MAX(ROW(E$1:E482)*(E2=E$1:E482))))))</f>
        <v/>
      </c>
      <c r="K483" s="25" t="str">
        <f>IF(OR(E483="",E483="!!!",F483="NEW"),"",INDEX(J$1:J482,SUMPRODUCT(MAX(ROW(E$1:E482)*(E483=E$1:E482)))))</f>
        <v/>
      </c>
      <c r="L483" s="26"/>
    </row>
    <row r="484" spans="1:12" x14ac:dyDescent="0.3">
      <c r="A484" t="s">
        <v>173</v>
      </c>
      <c r="B484" s="20" t="s">
        <v>183</v>
      </c>
      <c r="C484" s="20" t="s">
        <v>175</v>
      </c>
      <c r="E484" s="21" t="str">
        <f t="shared" si="50"/>
        <v/>
      </c>
      <c r="F484" s="22" t="str">
        <f>IF(OR(E484="",E484="!!!"),"",IF(NOT(ISNA(VLOOKUP(E484,E$1:E483,1,FALSE()))),"OLD",IF(AND(E484&lt;&gt;"",E484&lt;&gt;"!!!"),"NEW","")))</f>
        <v/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/>
      </c>
      <c r="H484" s="24" t="str">
        <f t="shared" ca="1" si="51"/>
        <v/>
      </c>
      <c r="I484" s="25" t="str">
        <f>IF(OR(E484="",E484="!!!",F484="NEW"),"",INDEX(B$2:B483,-1+SUMPRODUCT(MAX(ROW(E$2:E483)*(E484=E$2:E483)))))</f>
        <v/>
      </c>
      <c r="J484" s="25" t="str">
        <f ca="1">IF(OR(E484="",E484="!!!",F484="NEW"),"",COUNTBLANK(OFFSET(A$1,,,SUMPRODUCT(MAX(ROW(E$2:E484)*(E484=E$2:E484)))))-COUNTBLANK(OFFSET(A$1,,,SUMPRODUCT(MAX(ROW(E$1:E483)*(E2=E$1:E483))))))</f>
        <v/>
      </c>
      <c r="K484" s="25" t="str">
        <f>IF(OR(E484="",E484="!!!",F484="NEW"),"",INDEX(J$1:J483,SUMPRODUCT(MAX(ROW(E$1:E483)*(E484=E$1:E483)))))</f>
        <v/>
      </c>
      <c r="L484" s="26"/>
    </row>
    <row r="485" spans="1:12" x14ac:dyDescent="0.3">
      <c r="A485" t="s">
        <v>122</v>
      </c>
      <c r="E485" s="21" t="str">
        <f t="shared" si="50"/>
        <v/>
      </c>
      <c r="F485" s="22" t="str">
        <f>IF(OR(E485="",E485="!!!"),"",IF(NOT(ISNA(VLOOKUP(E485,E$1:E484,1,FALSE()))),"OLD",IF(AND(E485&lt;&gt;"",E485&lt;&gt;"!!!"),"NEW","")))</f>
        <v/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/>
      </c>
      <c r="H485" s="24" t="str">
        <f t="shared" ca="1" si="51"/>
        <v/>
      </c>
      <c r="I485" s="25" t="str">
        <f>IF(OR(E485="",E485="!!!",F485="NEW"),"",INDEX(B$2:B484,-1+SUMPRODUCT(MAX(ROW(E$2:E484)*(E485=E$2:E484)))))</f>
        <v/>
      </c>
      <c r="J485" s="25" t="str">
        <f ca="1">IF(OR(E485="",E485="!!!",F485="NEW"),"",COUNTBLANK(OFFSET(A$1,,,SUMPRODUCT(MAX(ROW(E$2:E485)*(E485=E$2:E485)))))-COUNTBLANK(OFFSET(A$1,,,SUMPRODUCT(MAX(ROW(E$1:E484)*(E2=E$1:E484))))))</f>
        <v/>
      </c>
      <c r="K485" s="25" t="str">
        <f>IF(OR(E485="",E485="!!!",F485="NEW"),"",INDEX(J$1:J484,SUMPRODUCT(MAX(ROW(E$1:E484)*(E485=E$1:E484)))))</f>
        <v/>
      </c>
      <c r="L485" s="26"/>
    </row>
    <row r="486" spans="1:12" x14ac:dyDescent="0.3">
      <c r="A486" t="s">
        <v>197</v>
      </c>
      <c r="E486" s="21" t="str">
        <f t="shared" si="50"/>
        <v/>
      </c>
      <c r="F486" s="22" t="str">
        <f>IF(OR(E486="",E486="!!!"),"",IF(NOT(ISNA(VLOOKUP(E486,E$1:E485,1,FALSE()))),"OLD",IF(AND(E486&lt;&gt;"",E486&lt;&gt;"!!!"),"NEW","")))</f>
        <v/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/>
      </c>
      <c r="H486" s="24" t="str">
        <f t="shared" ca="1" si="51"/>
        <v/>
      </c>
      <c r="I486" s="25" t="str">
        <f>IF(OR(E486="",E486="!!!",F486="NEW"),"",INDEX(B$2:B485,-1+SUMPRODUCT(MAX(ROW(E$2:E485)*(E486=E$2:E485)))))</f>
        <v/>
      </c>
      <c r="J486" s="25" t="str">
        <f ca="1">IF(OR(E486="",E486="!!!",F486="NEW"),"",COUNTBLANK(OFFSET(A$1,,,SUMPRODUCT(MAX(ROW(E$2:E486)*(E486=E$2:E486)))))-COUNTBLANK(OFFSET(A$1,,,SUMPRODUCT(MAX(ROW(E$1:E485)*(E2=E$1:E485))))))</f>
        <v/>
      </c>
      <c r="K486" s="25" t="str">
        <f>IF(OR(E486="",E486="!!!",F486="NEW"),"",INDEX(J$1:J485,SUMPRODUCT(MAX(ROW(E$1:E485)*(E486=E$1:E485)))))</f>
        <v/>
      </c>
      <c r="L486" s="26"/>
    </row>
    <row r="488" spans="1:12" x14ac:dyDescent="0.3">
      <c r="A488" t="s">
        <v>423</v>
      </c>
    </row>
    <row r="489" spans="1:12" x14ac:dyDescent="0.3">
      <c r="A489" t="s">
        <v>424</v>
      </c>
      <c r="E489" s="21" t="str">
        <f t="shared" ref="E489:E499" si="52">IF(D489="?OLD","!!!","")</f>
        <v/>
      </c>
      <c r="F489" s="22" t="str">
        <f>IF(OR(E489="",E489="!!!"),"",IF(NOT(ISNA(VLOOKUP(E489,E$1:E488,1,FALSE()))),"OLD",IF(AND(E489&lt;&gt;"",E489&lt;&gt;"!!!"),"NEW","")))</f>
        <v/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/>
      </c>
      <c r="H489" s="24" t="str">
        <f t="shared" ref="H489:H499" ca="1" si="53">IF(J489&lt;&gt;1,"",IF(I489="SBJ","CB","?"))</f>
        <v/>
      </c>
      <c r="I489" s="25" t="str">
        <f>IF(OR(E489="",E489="!!!",F489="NEW"),"",INDEX(B$2:B488,-1+SUMPRODUCT(MAX(ROW(E$2:E488)*(E489=E$2:E488)))))</f>
        <v/>
      </c>
      <c r="J489" s="25" t="str">
        <f ca="1">IF(OR(E489="",E489="!!!",F489="NEW"),"",COUNTBLANK(OFFSET(A$1,,,SUMPRODUCT(MAX(ROW(E$2:E489)*(E489=E$2:E489)))))-COUNTBLANK(OFFSET(A$1,,,SUMPRODUCT(MAX(ROW(E$1:E488)*(E2=E$1:E488))))))</f>
        <v/>
      </c>
      <c r="K489" s="25" t="str">
        <f>IF(OR(E489="",E489="!!!",F489="NEW"),"",INDEX(J$1:J488,SUMPRODUCT(MAX(ROW(E$1:E488)*(E489=E$1:E488)))))</f>
        <v/>
      </c>
      <c r="L489" s="26"/>
    </row>
    <row r="490" spans="1:12" x14ac:dyDescent="0.3">
      <c r="A490" t="s">
        <v>185</v>
      </c>
      <c r="E490" s="21" t="str">
        <f t="shared" si="52"/>
        <v/>
      </c>
      <c r="F490" s="22" t="str">
        <f>IF(OR(E490="",E490="!!!"),"",IF(NOT(ISNA(VLOOKUP(E490,E$1:E489,1,FALSE()))),"OLD",IF(AND(E490&lt;&gt;"",E490&lt;&gt;"!!!"),"NEW","")))</f>
        <v/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/>
      </c>
      <c r="H490" s="24" t="str">
        <f t="shared" ca="1" si="53"/>
        <v/>
      </c>
      <c r="I490" s="25" t="str">
        <f>IF(OR(E490="",E490="!!!",F490="NEW"),"",INDEX(B$2:B489,-1+SUMPRODUCT(MAX(ROW(E$2:E489)*(E490=E$2:E489)))))</f>
        <v/>
      </c>
      <c r="J490" s="25" t="str">
        <f ca="1">IF(OR(E490="",E490="!!!",F490="NEW"),"",COUNTBLANK(OFFSET(A$1,,,SUMPRODUCT(MAX(ROW(E$2:E490)*(E490=E$2:E490)))))-COUNTBLANK(OFFSET(A$1,,,SUMPRODUCT(MAX(ROW(E$1:E489)*(E2=E$1:E489))))))</f>
        <v/>
      </c>
      <c r="K490" s="25" t="str">
        <f>IF(OR(E490="",E490="!!!",F490="NEW"),"",INDEX(J$1:J489,SUMPRODUCT(MAX(ROW(E$1:E489)*(E490=E$1:E489)))))</f>
        <v/>
      </c>
      <c r="L490" s="26"/>
    </row>
    <row r="491" spans="1:12" x14ac:dyDescent="0.3">
      <c r="A491" t="s">
        <v>313</v>
      </c>
      <c r="B491" s="20" t="s">
        <v>182</v>
      </c>
      <c r="C491" s="20" t="s">
        <v>184</v>
      </c>
      <c r="D491" s="20" t="s">
        <v>171</v>
      </c>
      <c r="E491" s="21" t="s">
        <v>502</v>
      </c>
      <c r="F491" s="22" t="str">
        <f>IF(OR(E491="",E491="!!!"),"",IF(NOT(ISNA(VLOOKUP(E491,E$1:E490,1,FALSE()))),"OLD",IF(AND(E491&lt;&gt;"",E491&lt;&gt;"!!!"),"NEW","")))</f>
        <v>OLD</v>
      </c>
      <c r="G491" s="23" t="s">
        <v>509</v>
      </c>
      <c r="H491" s="24" t="str">
        <f t="shared" ca="1" si="53"/>
        <v/>
      </c>
      <c r="I491" s="25" t="str">
        <f>IF(OR(E491="",E491="!!!",F491="NEW"),"",INDEX(B$2:B490,-1+SUMPRODUCT(MAX(ROW(E$2:E490)*(E491=E$2:E490)))))</f>
        <v>SBJ</v>
      </c>
      <c r="J491" s="25">
        <f ca="1">IF(OR(E491="",E491="!!!",F491="NEW"),"",COUNTBLANK(OFFSET(A$1,,,SUMPRODUCT(MAX(ROW(E$2:E491)*(E491=E$2:E491)))))-COUNTBLANK(OFFSET(A$1,,,SUMPRODUCT(MAX(ROW(E$1:E490)*(E2=E$1:E490))))))</f>
        <v>0</v>
      </c>
      <c r="K491" s="25">
        <f ca="1">IF(OR(E491="",E491="!!!",F491="NEW"),"",INDEX(J$1:J490,SUMPRODUCT(MAX(ROW(E$1:E490)*(E491=E$1:E490)))))</f>
        <v>0</v>
      </c>
      <c r="L491" s="26"/>
    </row>
    <row r="492" spans="1:12" x14ac:dyDescent="0.3">
      <c r="A492" t="s">
        <v>56</v>
      </c>
      <c r="E492" s="21" t="str">
        <f t="shared" si="52"/>
        <v/>
      </c>
      <c r="F492" s="22" t="str">
        <f>IF(OR(E492="",E492="!!!"),"",IF(NOT(ISNA(VLOOKUP(E492,E$1:E491,1,FALSE()))),"OLD",IF(AND(E492&lt;&gt;"",E492&lt;&gt;"!!!"),"NEW","")))</f>
        <v/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/>
      </c>
      <c r="H492" s="24" t="str">
        <f t="shared" ca="1" si="53"/>
        <v/>
      </c>
      <c r="I492" s="25" t="str">
        <f>IF(OR(E492="",E492="!!!",F492="NEW"),"",INDEX(B$2:B491,-1+SUMPRODUCT(MAX(ROW(E$2:E491)*(E492=E$2:E491)))))</f>
        <v/>
      </c>
      <c r="J492" s="25" t="str">
        <f ca="1">IF(OR(E492="",E492="!!!",F492="NEW"),"",COUNTBLANK(OFFSET(A$1,,,SUMPRODUCT(MAX(ROW(E$2:E492)*(E492=E$2:E492)))))-COUNTBLANK(OFFSET(A$1,,,SUMPRODUCT(MAX(ROW(E$1:E491)*(E2=E$1:E491))))))</f>
        <v/>
      </c>
      <c r="K492" s="25" t="str">
        <f>IF(OR(E492="",E492="!!!",F492="NEW"),"",INDEX(J$1:J491,SUMPRODUCT(MAX(ROW(E$1:E491)*(E492=E$1:E491)))))</f>
        <v/>
      </c>
      <c r="L492" s="26"/>
    </row>
    <row r="493" spans="1:12" x14ac:dyDescent="0.3">
      <c r="A493" t="s">
        <v>193</v>
      </c>
      <c r="E493" s="21" t="str">
        <f t="shared" si="52"/>
        <v/>
      </c>
      <c r="F493" s="22" t="str">
        <f>IF(OR(E493="",E493="!!!"),"",IF(NOT(ISNA(VLOOKUP(E493,E$1:E492,1,FALSE()))),"OLD",IF(AND(E493&lt;&gt;"",E493&lt;&gt;"!!!"),"NEW","")))</f>
        <v/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/>
      </c>
      <c r="H493" s="24" t="str">
        <f t="shared" ca="1" si="53"/>
        <v/>
      </c>
      <c r="I493" s="25" t="str">
        <f>IF(OR(E493="",E493="!!!",F493="NEW"),"",INDEX(B$2:B492,-1+SUMPRODUCT(MAX(ROW(E$2:E492)*(E493=E$2:E492)))))</f>
        <v/>
      </c>
      <c r="J493" s="25" t="str">
        <f ca="1">IF(OR(E493="",E493="!!!",F493="NEW"),"",COUNTBLANK(OFFSET(A$1,,,SUMPRODUCT(MAX(ROW(E$2:E493)*(E493=E$2:E493)))))-COUNTBLANK(OFFSET(A$1,,,SUMPRODUCT(MAX(ROW(E$1:E492)*(E2=E$1:E492))))))</f>
        <v/>
      </c>
      <c r="K493" s="25" t="str">
        <f>IF(OR(E493="",E493="!!!",F493="NEW"),"",INDEX(J$1:J492,SUMPRODUCT(MAX(ROW(E$1:E492)*(E493=E$1:E492)))))</f>
        <v/>
      </c>
      <c r="L493" s="26"/>
    </row>
    <row r="494" spans="1:12" x14ac:dyDescent="0.3">
      <c r="A494" t="s">
        <v>425</v>
      </c>
      <c r="B494" s="20" t="s">
        <v>166</v>
      </c>
      <c r="C494" s="20" t="s">
        <v>195</v>
      </c>
      <c r="D494" s="20" t="s">
        <v>171</v>
      </c>
      <c r="E494" s="21" t="s">
        <v>503</v>
      </c>
      <c r="F494" s="22" t="str">
        <f>IF(OR(E494="",E494="!!!"),"",IF(NOT(ISNA(VLOOKUP(E494,E$1:E493,1,FALSE()))),"OLD",IF(AND(E494&lt;&gt;"",E494&lt;&gt;"!!!"),"NEW","")))</f>
        <v>NEW</v>
      </c>
      <c r="G494" s="23" t="s">
        <v>510</v>
      </c>
      <c r="H494" s="24" t="str">
        <f t="shared" ca="1" si="53"/>
        <v/>
      </c>
      <c r="I494" s="25" t="str">
        <f>IF(OR(E494="",E494="!!!",F494="NEW"),"",INDEX(B$2:B493,-1+SUMPRODUCT(MAX(ROW(E$2:E493)*(E494=E$2:E493)))))</f>
        <v/>
      </c>
      <c r="J494" s="25" t="str">
        <f ca="1">IF(OR(E494="",E494="!!!",F494="NEW"),"",COUNTBLANK(OFFSET(A$1,,,SUMPRODUCT(MAX(ROW(E$2:E494)*(E494=E$2:E494)))))-COUNTBLANK(OFFSET(A$1,,,SUMPRODUCT(MAX(ROW(E$1:E493)*(E2=E$1:E493))))))</f>
        <v/>
      </c>
      <c r="K494" s="25" t="str">
        <f>IF(OR(E494="",E494="!!!",F494="NEW"),"",INDEX(J$1:J493,SUMPRODUCT(MAX(ROW(E$1:E493)*(E494=E$1:E493)))))</f>
        <v/>
      </c>
      <c r="L494" s="26"/>
    </row>
    <row r="495" spans="1:12" x14ac:dyDescent="0.3">
      <c r="A495" t="s">
        <v>206</v>
      </c>
      <c r="E495" s="21" t="str">
        <f t="shared" si="52"/>
        <v/>
      </c>
      <c r="F495" s="22" t="str">
        <f>IF(OR(E495="",E495="!!!"),"",IF(NOT(ISNA(VLOOKUP(E495,E$1:E494,1,FALSE()))),"OLD",IF(AND(E495&lt;&gt;"",E495&lt;&gt;"!!!"),"NEW","")))</f>
        <v/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/>
      </c>
      <c r="H495" s="24" t="str">
        <f t="shared" ca="1" si="53"/>
        <v/>
      </c>
      <c r="I495" s="25" t="str">
        <f>IF(OR(E495="",E495="!!!",F495="NEW"),"",INDEX(B$2:B494,-1+SUMPRODUCT(MAX(ROW(E$2:E494)*(E495=E$2:E494)))))</f>
        <v/>
      </c>
      <c r="J495" s="25" t="str">
        <f ca="1">IF(OR(E495="",E495="!!!",F495="NEW"),"",COUNTBLANK(OFFSET(A$1,,,SUMPRODUCT(MAX(ROW(E$2:E495)*(E495=E$2:E495)))))-COUNTBLANK(OFFSET(A$1,,,SUMPRODUCT(MAX(ROW(E$1:E494)*(E2=E$1:E494))))))</f>
        <v/>
      </c>
      <c r="K495" s="25" t="str">
        <f>IF(OR(E495="",E495="!!!",F495="NEW"),"",INDEX(J$1:J494,SUMPRODUCT(MAX(ROW(E$1:E494)*(E495=E$1:E494)))))</f>
        <v/>
      </c>
      <c r="L495" s="26"/>
    </row>
    <row r="496" spans="1:12" x14ac:dyDescent="0.3">
      <c r="A496" t="s">
        <v>193</v>
      </c>
      <c r="E496" s="21" t="str">
        <f t="shared" si="52"/>
        <v/>
      </c>
      <c r="F496" s="22" t="str">
        <f>IF(OR(E496="",E496="!!!"),"",IF(NOT(ISNA(VLOOKUP(E496,E$1:E495,1,FALSE()))),"OLD",IF(AND(E496&lt;&gt;"",E496&lt;&gt;"!!!"),"NEW","")))</f>
        <v/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/>
      </c>
      <c r="H496" s="24" t="str">
        <f t="shared" ca="1" si="53"/>
        <v/>
      </c>
      <c r="I496" s="25" t="str">
        <f>IF(OR(E496="",E496="!!!",F496="NEW"),"",INDEX(B$2:B495,-1+SUMPRODUCT(MAX(ROW(E$2:E495)*(E496=E$2:E495)))))</f>
        <v/>
      </c>
      <c r="J496" s="25" t="str">
        <f ca="1">IF(OR(E496="",E496="!!!",F496="NEW"),"",COUNTBLANK(OFFSET(A$1,,,SUMPRODUCT(MAX(ROW(E$2:E496)*(E496=E$2:E496)))))-COUNTBLANK(OFFSET(A$1,,,SUMPRODUCT(MAX(ROW(E$1:E495)*(E2=E$1:E495))))))</f>
        <v/>
      </c>
      <c r="K496" s="25" t="str">
        <f>IF(OR(E496="",E496="!!!",F496="NEW"),"",INDEX(J$1:J495,SUMPRODUCT(MAX(ROW(E$1:E495)*(E496=E$1:E495)))))</f>
        <v/>
      </c>
      <c r="L496" s="26"/>
    </row>
    <row r="497" spans="1:12" x14ac:dyDescent="0.3">
      <c r="A497" t="s">
        <v>426</v>
      </c>
      <c r="B497" s="20" t="s">
        <v>182</v>
      </c>
      <c r="C497" s="20" t="s">
        <v>195</v>
      </c>
      <c r="D497" s="20" t="s">
        <v>171</v>
      </c>
      <c r="E497" s="21" t="s">
        <v>504</v>
      </c>
      <c r="F497" s="22" t="str">
        <f>IF(OR(E497="",E497="!!!"),"",IF(NOT(ISNA(VLOOKUP(E497,E$1:E496,1,FALSE()))),"OLD",IF(AND(E497&lt;&gt;"",E497&lt;&gt;"!!!"),"NEW","")))</f>
        <v>NEW</v>
      </c>
      <c r="G497" s="23" t="s">
        <v>510</v>
      </c>
      <c r="H497" s="24" t="str">
        <f t="shared" ca="1" si="53"/>
        <v/>
      </c>
      <c r="I497" s="25" t="str">
        <f>IF(OR(E497="",E497="!!!",F497="NEW"),"",INDEX(B$2:B496,-1+SUMPRODUCT(MAX(ROW(E$2:E496)*(E497=E$2:E496)))))</f>
        <v/>
      </c>
      <c r="J497" s="25" t="str">
        <f ca="1">IF(OR(E497="",E497="!!!",F497="NEW"),"",COUNTBLANK(OFFSET(A$1,,,SUMPRODUCT(MAX(ROW(E$2:E497)*(E497=E$2:E497)))))-COUNTBLANK(OFFSET(A$1,,,SUMPRODUCT(MAX(ROW(E$1:E496)*(E2=E$1:E496))))))</f>
        <v/>
      </c>
      <c r="K497" s="25" t="str">
        <f>IF(OR(E497="",E497="!!!",F497="NEW"),"",INDEX(J$1:J496,SUMPRODUCT(MAX(ROW(E$1:E496)*(E497=E$1:E496)))))</f>
        <v/>
      </c>
      <c r="L497" s="26"/>
    </row>
    <row r="498" spans="1:12" x14ac:dyDescent="0.3">
      <c r="A498" t="s">
        <v>359</v>
      </c>
      <c r="E498" s="21" t="str">
        <f t="shared" si="52"/>
        <v/>
      </c>
      <c r="F498" s="22" t="str">
        <f>IF(OR(E498="",E498="!!!"),"",IF(NOT(ISNA(VLOOKUP(E498,E$1:E497,1,FALSE()))),"OLD",IF(AND(E498&lt;&gt;"",E498&lt;&gt;"!!!"),"NEW","")))</f>
        <v/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/>
      </c>
      <c r="H498" s="24" t="str">
        <f t="shared" ca="1" si="53"/>
        <v/>
      </c>
      <c r="I498" s="25" t="str">
        <f>IF(OR(E498="",E498="!!!",F498="NEW"),"",INDEX(B$2:B497,-1+SUMPRODUCT(MAX(ROW(E$2:E497)*(E498=E$2:E497)))))</f>
        <v/>
      </c>
      <c r="J498" s="25" t="str">
        <f ca="1">IF(OR(E498="",E498="!!!",F498="NEW"),"",COUNTBLANK(OFFSET(A$1,,,SUMPRODUCT(MAX(ROW(E$2:E498)*(E498=E$2:E498)))))-COUNTBLANK(OFFSET(A$1,,,SUMPRODUCT(MAX(ROW(E$1:E497)*(E2=E$1:E497))))))</f>
        <v/>
      </c>
      <c r="K498" s="25" t="str">
        <f>IF(OR(E498="",E498="!!!",F498="NEW"),"",INDEX(J$1:J497,SUMPRODUCT(MAX(ROW(E$1:E497)*(E498=E$1:E497)))))</f>
        <v/>
      </c>
      <c r="L498" s="26"/>
    </row>
    <row r="499" spans="1:12" x14ac:dyDescent="0.3">
      <c r="A499" t="s">
        <v>197</v>
      </c>
      <c r="E499" s="21" t="str">
        <f t="shared" si="52"/>
        <v/>
      </c>
      <c r="F499" s="22" t="str">
        <f>IF(OR(E499="",E499="!!!"),"",IF(NOT(ISNA(VLOOKUP(E499,E$1:E498,1,FALSE()))),"OLD",IF(AND(E499&lt;&gt;"",E499&lt;&gt;"!!!"),"NEW","")))</f>
        <v/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/>
      </c>
      <c r="H499" s="24" t="str">
        <f t="shared" ca="1" si="53"/>
        <v/>
      </c>
      <c r="I499" s="25" t="str">
        <f>IF(OR(E499="",E499="!!!",F499="NEW"),"",INDEX(B$2:B498,-1+SUMPRODUCT(MAX(ROW(E$2:E498)*(E499=E$2:E498)))))</f>
        <v/>
      </c>
      <c r="J499" s="25" t="str">
        <f ca="1">IF(OR(E499="",E499="!!!",F499="NEW"),"",COUNTBLANK(OFFSET(A$1,,,SUMPRODUCT(MAX(ROW(E$2:E499)*(E499=E$2:E499)))))-COUNTBLANK(OFFSET(A$1,,,SUMPRODUCT(MAX(ROW(E$1:E498)*(E2=E$1:E498))))))</f>
        <v/>
      </c>
      <c r="K499" s="25" t="str">
        <f>IF(OR(E499="",E499="!!!",F499="NEW"),"",INDEX(J$1:J498,SUMPRODUCT(MAX(ROW(E$1:E498)*(E499=E$1:E498)))))</f>
        <v/>
      </c>
      <c r="L499" s="26"/>
    </row>
    <row r="501" spans="1:12" x14ac:dyDescent="0.3">
      <c r="A501" t="s">
        <v>427</v>
      </c>
    </row>
    <row r="502" spans="1:12" x14ac:dyDescent="0.3">
      <c r="A502" t="s">
        <v>361</v>
      </c>
      <c r="E502" s="21" t="str">
        <f t="shared" ref="E502:E524" si="54">IF(D502="?OLD","!!!","")</f>
        <v/>
      </c>
      <c r="F502" s="22" t="str">
        <f>IF(OR(E502="",E502="!!!"),"",IF(NOT(ISNA(VLOOKUP(E502,E$1:E501,1,FALSE()))),"OLD",IF(AND(E502&lt;&gt;"",E502&lt;&gt;"!!!"),"NEW","")))</f>
        <v/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/>
      </c>
      <c r="H502" s="24" t="str">
        <f t="shared" ref="H502:H524" ca="1" si="55">IF(J502&lt;&gt;1,"",IF(I502="SBJ","CB","?"))</f>
        <v/>
      </c>
      <c r="I502" s="25" t="str">
        <f>IF(OR(E502="",E502="!!!",F502="NEW"),"",INDEX(B$2:B501,-1+SUMPRODUCT(MAX(ROW(E$2:E501)*(E502=E$2:E501)))))</f>
        <v/>
      </c>
      <c r="J502" s="25" t="str">
        <f ca="1">IF(OR(E502="",E502="!!!",F502="NEW"),"",COUNTBLANK(OFFSET(A$1,,,SUMPRODUCT(MAX(ROW(E$2:E502)*(E502=E$2:E502)))))-COUNTBLANK(OFFSET(A$1,,,SUMPRODUCT(MAX(ROW(E$1:E501)*(E2=E$1:E501))))))</f>
        <v/>
      </c>
      <c r="K502" s="25" t="str">
        <f>IF(OR(E502="",E502="!!!",F502="NEW"),"",INDEX(J$1:J501,SUMPRODUCT(MAX(ROW(E$1:E501)*(E502=E$1:E501)))))</f>
        <v/>
      </c>
      <c r="L502" s="26"/>
    </row>
    <row r="503" spans="1:12" x14ac:dyDescent="0.3">
      <c r="A503" t="s">
        <v>218</v>
      </c>
      <c r="E503" s="21" t="str">
        <f t="shared" si="54"/>
        <v/>
      </c>
      <c r="F503" s="22" t="str">
        <f>IF(OR(E503="",E503="!!!"),"",IF(NOT(ISNA(VLOOKUP(E503,E$1:E502,1,FALSE()))),"OLD",IF(AND(E503&lt;&gt;"",E503&lt;&gt;"!!!"),"NEW","")))</f>
        <v/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/>
      </c>
      <c r="H503" s="24" t="str">
        <f t="shared" ca="1" si="55"/>
        <v/>
      </c>
      <c r="I503" s="25" t="str">
        <f>IF(OR(E503="",E503="!!!",F503="NEW"),"",INDEX(B$2:B502,-1+SUMPRODUCT(MAX(ROW(E$2:E502)*(E503=E$2:E502)))))</f>
        <v/>
      </c>
      <c r="J503" s="25" t="str">
        <f ca="1">IF(OR(E503="",E503="!!!",F503="NEW"),"",COUNTBLANK(OFFSET(A$1,,,SUMPRODUCT(MAX(ROW(E$2:E503)*(E503=E$2:E503)))))-COUNTBLANK(OFFSET(A$1,,,SUMPRODUCT(MAX(ROW(E$1:E502)*(E2=E$1:E502))))))</f>
        <v/>
      </c>
      <c r="K503" s="25" t="str">
        <f>IF(OR(E503="",E503="!!!",F503="NEW"),"",INDEX(J$1:J502,SUMPRODUCT(MAX(ROW(E$1:E502)*(E503=E$1:E502)))))</f>
        <v/>
      </c>
      <c r="L503" s="26"/>
    </row>
    <row r="504" spans="1:12" x14ac:dyDescent="0.3">
      <c r="A504" t="s">
        <v>193</v>
      </c>
      <c r="E504" s="21" t="str">
        <f t="shared" si="54"/>
        <v/>
      </c>
      <c r="F504" s="22" t="str">
        <f>IF(OR(E504="",E504="!!!"),"",IF(NOT(ISNA(VLOOKUP(E504,E$1:E503,1,FALSE()))),"OLD",IF(AND(E504&lt;&gt;"",E504&lt;&gt;"!!!"),"NEW","")))</f>
        <v/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/>
      </c>
      <c r="H504" s="24" t="str">
        <f t="shared" ca="1" si="55"/>
        <v/>
      </c>
      <c r="I504" s="25" t="str">
        <f>IF(OR(E504="",E504="!!!",F504="NEW"),"",INDEX(B$2:B503,-1+SUMPRODUCT(MAX(ROW(E$2:E503)*(E504=E$2:E503)))))</f>
        <v/>
      </c>
      <c r="J504" s="25" t="str">
        <f ca="1">IF(OR(E504="",E504="!!!",F504="NEW"),"",COUNTBLANK(OFFSET(A$1,,,SUMPRODUCT(MAX(ROW(E$2:E504)*(E504=E$2:E504)))))-COUNTBLANK(OFFSET(A$1,,,SUMPRODUCT(MAX(ROW(E$1:E503)*(E2=E$1:E503))))))</f>
        <v/>
      </c>
      <c r="K504" s="25" t="str">
        <f>IF(OR(E504="",E504="!!!",F504="NEW"),"",INDEX(J$1:J503,SUMPRODUCT(MAX(ROW(E$1:E503)*(E504=E$1:E503)))))</f>
        <v/>
      </c>
      <c r="L504" s="26"/>
    </row>
    <row r="505" spans="1:12" x14ac:dyDescent="0.3">
      <c r="A505" t="s">
        <v>428</v>
      </c>
      <c r="B505" s="20" t="s">
        <v>166</v>
      </c>
      <c r="C505" s="20" t="s">
        <v>195</v>
      </c>
      <c r="D505" s="20" t="s">
        <v>171</v>
      </c>
      <c r="E505" s="21"/>
      <c r="F505" s="22" t="s">
        <v>486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/>
      </c>
      <c r="H505" s="24" t="str">
        <f t="shared" ca="1" si="55"/>
        <v/>
      </c>
      <c r="I505" s="25" t="str">
        <f>IF(OR(E505="",E505="!!!",F505="NEW"),"",INDEX(B$2:B504,-1+SUMPRODUCT(MAX(ROW(E$2:E504)*(E505=E$2:E504)))))</f>
        <v/>
      </c>
      <c r="J505" s="25" t="str">
        <f ca="1">IF(OR(E505="",E505="!!!",F505="NEW"),"",COUNTBLANK(OFFSET(A$1,,,SUMPRODUCT(MAX(ROW(E$2:E505)*(E505=E$2:E505)))))-COUNTBLANK(OFFSET(A$1,,,SUMPRODUCT(MAX(ROW(E$1:E504)*(E2=E$1:E504))))))</f>
        <v/>
      </c>
      <c r="K505" s="25" t="str">
        <f>IF(OR(E505="",E505="!!!",F505="NEW"),"",INDEX(J$1:J504,SUMPRODUCT(MAX(ROW(E$1:E504)*(E505=E$1:E504)))))</f>
        <v/>
      </c>
      <c r="L505" s="26"/>
    </row>
    <row r="506" spans="1:12" x14ac:dyDescent="0.3">
      <c r="A506" t="s">
        <v>223</v>
      </c>
      <c r="E506" s="21" t="str">
        <f t="shared" si="54"/>
        <v/>
      </c>
      <c r="F506" s="22" t="str">
        <f>IF(OR(E506="",E506="!!!"),"",IF(NOT(ISNA(VLOOKUP(E506,E$1:E505,1,FALSE()))),"OLD",IF(AND(E506&lt;&gt;"",E506&lt;&gt;"!!!"),"NEW","")))</f>
        <v/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/>
      </c>
      <c r="H506" s="24" t="str">
        <f t="shared" ca="1" si="55"/>
        <v/>
      </c>
      <c r="I506" s="25" t="str">
        <f>IF(OR(E506="",E506="!!!",F506="NEW"),"",INDEX(B$2:B505,-1+SUMPRODUCT(MAX(ROW(E$2:E505)*(E506=E$2:E505)))))</f>
        <v/>
      </c>
      <c r="J506" s="25" t="str">
        <f ca="1">IF(OR(E506="",E506="!!!",F506="NEW"),"",COUNTBLANK(OFFSET(A$1,,,SUMPRODUCT(MAX(ROW(E$2:E506)*(E506=E$2:E506)))))-COUNTBLANK(OFFSET(A$1,,,SUMPRODUCT(MAX(ROW(E$1:E505)*(E2=E$1:E505))))))</f>
        <v/>
      </c>
      <c r="K506" s="25" t="str">
        <f>IF(OR(E506="",E506="!!!",F506="NEW"),"",INDEX(J$1:J505,SUMPRODUCT(MAX(ROW(E$1:E505)*(E506=E$1:E505)))))</f>
        <v/>
      </c>
      <c r="L506" s="26"/>
    </row>
    <row r="507" spans="1:12" x14ac:dyDescent="0.3">
      <c r="A507" t="s">
        <v>275</v>
      </c>
      <c r="B507" s="20" t="s">
        <v>182</v>
      </c>
      <c r="C507" s="20" t="s">
        <v>195</v>
      </c>
      <c r="D507" s="20" t="s">
        <v>171</v>
      </c>
      <c r="E507" s="21" t="s">
        <v>472</v>
      </c>
      <c r="F507" s="22" t="str">
        <f>IF(OR(E507="",E507="!!!"),"",IF(NOT(ISNA(VLOOKUP(E507,E$1:E506,1,FALSE()))),"OLD",IF(AND(E507&lt;&gt;"",E507&lt;&gt;"!!!"),"NEW","")))</f>
        <v>OLD</v>
      </c>
      <c r="G507" s="23" t="s">
        <v>509</v>
      </c>
      <c r="H507" s="24" t="str">
        <f t="shared" ca="1" si="55"/>
        <v/>
      </c>
      <c r="I507" s="25" t="str">
        <f>IF(OR(E507="",E507="!!!",F507="NEW"),"",INDEX(B$2:B506,-1+SUMPRODUCT(MAX(ROW(E$2:E506)*(E507=E$2:E506)))))</f>
        <v>SBJ</v>
      </c>
      <c r="J507" s="25">
        <f ca="1">IF(OR(E507="",E507="!!!",F507="NEW"),"",COUNTBLANK(OFFSET(A$1,,,SUMPRODUCT(MAX(ROW(E$2:E507)*(E507=E$2:E507)))))-COUNTBLANK(OFFSET(A$1,,,SUMPRODUCT(MAX(ROW(E$1:E506)*(E2=E$1:E506))))))</f>
        <v>0</v>
      </c>
      <c r="K507" s="25">
        <f ca="1">IF(OR(E507="",E507="!!!",F507="NEW"),"",INDEX(J$1:J506,SUMPRODUCT(MAX(ROW(E$1:E506)*(E507=E$1:E506)))))</f>
        <v>0</v>
      </c>
      <c r="L507" s="26"/>
    </row>
    <row r="508" spans="1:12" x14ac:dyDescent="0.3">
      <c r="A508" t="s">
        <v>192</v>
      </c>
      <c r="E508" s="21" t="str">
        <f t="shared" si="54"/>
        <v/>
      </c>
      <c r="F508" s="22" t="str">
        <f>IF(OR(E508="",E508="!!!"),"",IF(NOT(ISNA(VLOOKUP(E508,E$1:E507,1,FALSE()))),"OLD",IF(AND(E508&lt;&gt;"",E508&lt;&gt;"!!!"),"NEW","")))</f>
        <v/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/>
      </c>
      <c r="H508" s="24" t="str">
        <f t="shared" ca="1" si="55"/>
        <v/>
      </c>
      <c r="I508" s="25" t="str">
        <f>IF(OR(E508="",E508="!!!",F508="NEW"),"",INDEX(B$2:B507,-1+SUMPRODUCT(MAX(ROW(E$2:E507)*(E508=E$2:E507)))))</f>
        <v/>
      </c>
      <c r="J508" s="25" t="str">
        <f ca="1">IF(OR(E508="",E508="!!!",F508="NEW"),"",COUNTBLANK(OFFSET(A$1,,,SUMPRODUCT(MAX(ROW(E$2:E508)*(E508=E$2:E508)))))-COUNTBLANK(OFFSET(A$1,,,SUMPRODUCT(MAX(ROW(E$1:E507)*(E2=E$1:E507))))))</f>
        <v/>
      </c>
      <c r="K508" s="25" t="str">
        <f>IF(OR(E508="",E508="!!!",F508="NEW"),"",INDEX(J$1:J507,SUMPRODUCT(MAX(ROW(E$1:E507)*(E508=E$1:E507)))))</f>
        <v/>
      </c>
      <c r="L508" s="26"/>
    </row>
    <row r="509" spans="1:12" x14ac:dyDescent="0.3">
      <c r="A509" t="s">
        <v>223</v>
      </c>
      <c r="E509" s="21" t="str">
        <f t="shared" si="54"/>
        <v/>
      </c>
      <c r="F509" s="22" t="str">
        <f>IF(OR(E509="",E509="!!!"),"",IF(NOT(ISNA(VLOOKUP(E509,E$1:E508,1,FALSE()))),"OLD",IF(AND(E509&lt;&gt;"",E509&lt;&gt;"!!!"),"NEW","")))</f>
        <v/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/>
      </c>
      <c r="H509" s="24" t="str">
        <f t="shared" ca="1" si="55"/>
        <v/>
      </c>
      <c r="I509" s="25" t="str">
        <f>IF(OR(E509="",E509="!!!",F509="NEW"),"",INDEX(B$2:B508,-1+SUMPRODUCT(MAX(ROW(E$2:E508)*(E509=E$2:E508)))))</f>
        <v/>
      </c>
      <c r="J509" s="25" t="str">
        <f ca="1">IF(OR(E509="",E509="!!!",F509="NEW"),"",COUNTBLANK(OFFSET(A$1,,,SUMPRODUCT(MAX(ROW(E$2:E509)*(E509=E$2:E509)))))-COUNTBLANK(OFFSET(A$1,,,SUMPRODUCT(MAX(ROW(E$1:E508)*(E2=E$1:E508))))))</f>
        <v/>
      </c>
      <c r="K509" s="25" t="str">
        <f>IF(OR(E509="",E509="!!!",F509="NEW"),"",INDEX(J$1:J508,SUMPRODUCT(MAX(ROW(E$1:E508)*(E509=E$1:E508)))))</f>
        <v/>
      </c>
      <c r="L509" s="26"/>
    </row>
    <row r="510" spans="1:12" x14ac:dyDescent="0.3">
      <c r="A510" t="s">
        <v>407</v>
      </c>
      <c r="B510" s="20" t="s">
        <v>268</v>
      </c>
      <c r="C510" s="20" t="s">
        <v>195</v>
      </c>
      <c r="D510" s="20" t="s">
        <v>171</v>
      </c>
      <c r="E510" s="21" t="s">
        <v>480</v>
      </c>
      <c r="F510" s="22" t="str">
        <f>IF(OR(E510="",E510="!!!"),"",IF(NOT(ISNA(VLOOKUP(E510,E$1:E509,1,FALSE()))),"OLD",IF(AND(E510&lt;&gt;"",E510&lt;&gt;"!!!"),"NEW","")))</f>
        <v>OLD</v>
      </c>
      <c r="G510" s="23" t="s">
        <v>509</v>
      </c>
      <c r="H510" s="24" t="str">
        <f t="shared" ca="1" si="55"/>
        <v/>
      </c>
      <c r="I510" s="25" t="str">
        <f>IF(OR(E510="",E510="!!!",F510="NEW"),"",INDEX(B$2:B509,-1+SUMPRODUCT(MAX(ROW(E$2:E509)*(E510=E$2:E509)))))</f>
        <v>other</v>
      </c>
      <c r="J510" s="25">
        <f ca="1">IF(OR(E510="",E510="!!!",F510="NEW"),"",COUNTBLANK(OFFSET(A$1,,,SUMPRODUCT(MAX(ROW(E$2:E510)*(E510=E$2:E510)))))-COUNTBLANK(OFFSET(A$1,,,SUMPRODUCT(MAX(ROW(E$1:E509)*(E2=E$1:E509))))))</f>
        <v>0</v>
      </c>
      <c r="K510" s="25">
        <f ca="1">IF(OR(E510="",E510="!!!",F510="NEW"),"",INDEX(J$1:J509,SUMPRODUCT(MAX(ROW(E$1:E509)*(E510=E$1:E509)))))</f>
        <v>0</v>
      </c>
      <c r="L510" s="26"/>
    </row>
    <row r="511" spans="1:12" x14ac:dyDescent="0.3">
      <c r="A511" t="s">
        <v>403</v>
      </c>
      <c r="E511" s="21" t="str">
        <f t="shared" si="54"/>
        <v/>
      </c>
      <c r="F511" s="22" t="str">
        <f>IF(OR(E511="",E511="!!!"),"",IF(NOT(ISNA(VLOOKUP(E511,E$1:E510,1,FALSE()))),"OLD",IF(AND(E511&lt;&gt;"",E511&lt;&gt;"!!!"),"NEW","")))</f>
        <v/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/>
      </c>
      <c r="H511" s="24" t="str">
        <f t="shared" ca="1" si="55"/>
        <v/>
      </c>
      <c r="I511" s="25" t="str">
        <f>IF(OR(E511="",E511="!!!",F511="NEW"),"",INDEX(B$2:B510,-1+SUMPRODUCT(MAX(ROW(E$2:E510)*(E511=E$2:E510)))))</f>
        <v/>
      </c>
      <c r="J511" s="25" t="str">
        <f ca="1">IF(OR(E511="",E511="!!!",F511="NEW"),"",COUNTBLANK(OFFSET(A$1,,,SUMPRODUCT(MAX(ROW(E$2:E511)*(E511=E$2:E511)))))-COUNTBLANK(OFFSET(A$1,,,SUMPRODUCT(MAX(ROW(E$1:E510)*(E2=E$1:E510))))))</f>
        <v/>
      </c>
      <c r="K511" s="25" t="str">
        <f>IF(OR(E511="",E511="!!!",F511="NEW"),"",INDEX(J$1:J510,SUMPRODUCT(MAX(ROW(E$1:E510)*(E511=E$1:E510)))))</f>
        <v/>
      </c>
      <c r="L511" s="26"/>
    </row>
    <row r="512" spans="1:12" x14ac:dyDescent="0.3">
      <c r="A512" t="s">
        <v>429</v>
      </c>
      <c r="E512" s="21" t="str">
        <f t="shared" si="54"/>
        <v/>
      </c>
      <c r="F512" s="22" t="str">
        <f>IF(OR(E512="",E512="!!!"),"",IF(NOT(ISNA(VLOOKUP(E512,E$1:E511,1,FALSE()))),"OLD",IF(AND(E512&lt;&gt;"",E512&lt;&gt;"!!!"),"NEW","")))</f>
        <v/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/>
      </c>
      <c r="H512" s="24" t="str">
        <f t="shared" ca="1" si="55"/>
        <v/>
      </c>
      <c r="I512" s="25" t="str">
        <f>IF(OR(E512="",E512="!!!",F512="NEW"),"",INDEX(B$2:B511,-1+SUMPRODUCT(MAX(ROW(E$2:E511)*(E512=E$2:E511)))))</f>
        <v/>
      </c>
      <c r="J512" s="25" t="str">
        <f ca="1">IF(OR(E512="",E512="!!!",F512="NEW"),"",COUNTBLANK(OFFSET(A$1,,,SUMPRODUCT(MAX(ROW(E$2:E512)*(E512=E$2:E512)))))-COUNTBLANK(OFFSET(A$1,,,SUMPRODUCT(MAX(ROW(E$1:E511)*(E2=E$1:E511))))))</f>
        <v/>
      </c>
      <c r="K512" s="25" t="str">
        <f>IF(OR(E512="",E512="!!!",F512="NEW"),"",INDEX(J$1:J511,SUMPRODUCT(MAX(ROW(E$1:E511)*(E512=E$1:E511)))))</f>
        <v/>
      </c>
      <c r="L512" s="26"/>
    </row>
    <row r="513" spans="1:12" x14ac:dyDescent="0.3">
      <c r="A513" t="s">
        <v>430</v>
      </c>
      <c r="E513" s="21" t="str">
        <f t="shared" si="54"/>
        <v/>
      </c>
      <c r="F513" s="22" t="str">
        <f>IF(OR(E513="",E513="!!!"),"",IF(NOT(ISNA(VLOOKUP(E513,E$1:E512,1,FALSE()))),"OLD",IF(AND(E513&lt;&gt;"",E513&lt;&gt;"!!!"),"NEW","")))</f>
        <v/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/>
      </c>
      <c r="H513" s="24" t="str">
        <f t="shared" ca="1" si="55"/>
        <v/>
      </c>
      <c r="I513" s="25" t="str">
        <f>IF(OR(E513="",E513="!!!",F513="NEW"),"",INDEX(B$2:B512,-1+SUMPRODUCT(MAX(ROW(E$2:E512)*(E513=E$2:E512)))))</f>
        <v/>
      </c>
      <c r="J513" s="25" t="str">
        <f ca="1">IF(OR(E513="",E513="!!!",F513="NEW"),"",COUNTBLANK(OFFSET(A$1,,,SUMPRODUCT(MAX(ROW(E$2:E513)*(E513=E$2:E513)))))-COUNTBLANK(OFFSET(A$1,,,SUMPRODUCT(MAX(ROW(E$1:E512)*(E2=E$1:E512))))))</f>
        <v/>
      </c>
      <c r="K513" s="25" t="str">
        <f>IF(OR(E513="",E513="!!!",F513="NEW"),"",INDEX(J$1:J512,SUMPRODUCT(MAX(ROW(E$1:E512)*(E513=E$1:E512)))))</f>
        <v/>
      </c>
      <c r="L513" s="26"/>
    </row>
    <row r="514" spans="1:12" x14ac:dyDescent="0.3">
      <c r="A514" t="s">
        <v>206</v>
      </c>
      <c r="E514" s="21" t="str">
        <f t="shared" si="54"/>
        <v/>
      </c>
      <c r="F514" s="22" t="str">
        <f>IF(OR(E514="",E514="!!!"),"",IF(NOT(ISNA(VLOOKUP(E514,E$1:E513,1,FALSE()))),"OLD",IF(AND(E514&lt;&gt;"",E514&lt;&gt;"!!!"),"NEW","")))</f>
        <v/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/>
      </c>
      <c r="H514" s="24" t="str">
        <f t="shared" ca="1" si="55"/>
        <v/>
      </c>
      <c r="I514" s="25" t="str">
        <f>IF(OR(E514="",E514="!!!",F514="NEW"),"",INDEX(B$2:B513,-1+SUMPRODUCT(MAX(ROW(E$2:E513)*(E514=E$2:E513)))))</f>
        <v/>
      </c>
      <c r="J514" s="25" t="str">
        <f ca="1">IF(OR(E514="",E514="!!!",F514="NEW"),"",COUNTBLANK(OFFSET(A$1,,,SUMPRODUCT(MAX(ROW(E$2:E514)*(E514=E$2:E514)))))-COUNTBLANK(OFFSET(A$1,,,SUMPRODUCT(MAX(ROW(E$1:E513)*(E2=E$1:E513))))))</f>
        <v/>
      </c>
      <c r="K514" s="25" t="str">
        <f>IF(OR(E514="",E514="!!!",F514="NEW"),"",INDEX(J$1:J513,SUMPRODUCT(MAX(ROW(E$1:E513)*(E514=E$1:E513)))))</f>
        <v/>
      </c>
      <c r="L514" s="26"/>
    </row>
    <row r="515" spans="1:12" x14ac:dyDescent="0.3">
      <c r="A515" t="s">
        <v>431</v>
      </c>
      <c r="E515" s="21" t="str">
        <f t="shared" si="54"/>
        <v/>
      </c>
      <c r="F515" s="22" t="str">
        <f>IF(OR(E515="",E515="!!!"),"",IF(NOT(ISNA(VLOOKUP(E515,E$1:E514,1,FALSE()))),"OLD",IF(AND(E515&lt;&gt;"",E515&lt;&gt;"!!!"),"NEW","")))</f>
        <v/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/>
      </c>
      <c r="H515" s="24" t="str">
        <f t="shared" ca="1" si="55"/>
        <v/>
      </c>
      <c r="I515" s="25" t="str">
        <f>IF(OR(E515="",E515="!!!",F515="NEW"),"",INDEX(B$2:B514,-1+SUMPRODUCT(MAX(ROW(E$2:E514)*(E515=E$2:E514)))))</f>
        <v/>
      </c>
      <c r="J515" s="25" t="str">
        <f ca="1">IF(OR(E515="",E515="!!!",F515="NEW"),"",COUNTBLANK(OFFSET(A$1,,,SUMPRODUCT(MAX(ROW(E$2:E515)*(E515=E$2:E515)))))-COUNTBLANK(OFFSET(A$1,,,SUMPRODUCT(MAX(ROW(E$1:E514)*(E2=E$1:E514))))))</f>
        <v/>
      </c>
      <c r="K515" s="25" t="str">
        <f>IF(OR(E515="",E515="!!!",F515="NEW"),"",INDEX(J$1:J514,SUMPRODUCT(MAX(ROW(E$1:E514)*(E515=E$1:E514)))))</f>
        <v/>
      </c>
      <c r="L515" s="26"/>
    </row>
    <row r="516" spans="1:12" x14ac:dyDescent="0.3">
      <c r="A516" t="s">
        <v>201</v>
      </c>
      <c r="B516" s="20" t="s">
        <v>209</v>
      </c>
      <c r="C516" s="20" t="s">
        <v>202</v>
      </c>
      <c r="E516" s="21" t="str">
        <f t="shared" si="54"/>
        <v/>
      </c>
      <c r="F516" s="22" t="str">
        <f>IF(OR(E516="",E516="!!!"),"",IF(NOT(ISNA(VLOOKUP(E516,E$1:E515,1,FALSE()))),"OLD",IF(AND(E516&lt;&gt;"",E516&lt;&gt;"!!!"),"NEW","")))</f>
        <v/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/>
      </c>
      <c r="H516" s="24" t="str">
        <f t="shared" ca="1" si="55"/>
        <v/>
      </c>
      <c r="I516" s="25" t="str">
        <f>IF(OR(E516="",E516="!!!",F516="NEW"),"",INDEX(B$2:B515,-1+SUMPRODUCT(MAX(ROW(E$2:E515)*(E516=E$2:E515)))))</f>
        <v/>
      </c>
      <c r="J516" s="25" t="str">
        <f ca="1">IF(OR(E516="",E516="!!!",F516="NEW"),"",COUNTBLANK(OFFSET(A$1,,,SUMPRODUCT(MAX(ROW(E$2:E516)*(E516=E$2:E516)))))-COUNTBLANK(OFFSET(A$1,,,SUMPRODUCT(MAX(ROW(E$1:E515)*(E2=E$1:E515))))))</f>
        <v/>
      </c>
      <c r="K516" s="25" t="str">
        <f>IF(OR(E516="",E516="!!!",F516="NEW"),"",INDEX(J$1:J515,SUMPRODUCT(MAX(ROW(E$1:E515)*(E516=E$1:E515)))))</f>
        <v/>
      </c>
      <c r="L516" s="26"/>
    </row>
    <row r="517" spans="1:12" x14ac:dyDescent="0.3">
      <c r="A517" t="s">
        <v>334</v>
      </c>
      <c r="B517" s="20" t="s">
        <v>215</v>
      </c>
      <c r="E517" s="21" t="str">
        <f t="shared" si="54"/>
        <v/>
      </c>
      <c r="F517" s="22" t="str">
        <f>IF(OR(E517="",E517="!!!"),"",IF(NOT(ISNA(VLOOKUP(E517,E$1:E516,1,FALSE()))),"OLD",IF(AND(E517&lt;&gt;"",E517&lt;&gt;"!!!"),"NEW","")))</f>
        <v/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/>
      </c>
      <c r="H517" s="24" t="str">
        <f t="shared" ca="1" si="55"/>
        <v/>
      </c>
      <c r="I517" s="25" t="str">
        <f>IF(OR(E517="",E517="!!!",F517="NEW"),"",INDEX(B$2:B516,-1+SUMPRODUCT(MAX(ROW(E$2:E516)*(E517=E$2:E516)))))</f>
        <v/>
      </c>
      <c r="J517" s="25" t="str">
        <f ca="1">IF(OR(E517="",E517="!!!",F517="NEW"),"",COUNTBLANK(OFFSET(A$1,,,SUMPRODUCT(MAX(ROW(E$2:E517)*(E517=E$2:E517)))))-COUNTBLANK(OFFSET(A$1,,,SUMPRODUCT(MAX(ROW(E$1:E516)*(E2=E$1:E516))))))</f>
        <v/>
      </c>
      <c r="K517" s="25" t="str">
        <f>IF(OR(E517="",E517="!!!",F517="NEW"),"",INDEX(J$1:J516,SUMPRODUCT(MAX(ROW(E$1:E516)*(E517=E$1:E516)))))</f>
        <v/>
      </c>
      <c r="L517" s="26"/>
    </row>
    <row r="518" spans="1:12" x14ac:dyDescent="0.3">
      <c r="A518" t="s">
        <v>371</v>
      </c>
      <c r="E518" s="21" t="str">
        <f t="shared" si="54"/>
        <v/>
      </c>
      <c r="F518" s="22" t="str">
        <f>IF(OR(E518="",E518="!!!"),"",IF(NOT(ISNA(VLOOKUP(E518,E$1:E517,1,FALSE()))),"OLD",IF(AND(E518&lt;&gt;"",E518&lt;&gt;"!!!"),"NEW","")))</f>
        <v/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/>
      </c>
      <c r="H518" s="24" t="str">
        <f t="shared" ca="1" si="55"/>
        <v/>
      </c>
      <c r="I518" s="25" t="str">
        <f>IF(OR(E518="",E518="!!!",F518="NEW"),"",INDEX(B$2:B517,-1+SUMPRODUCT(MAX(ROW(E$2:E517)*(E518=E$2:E517)))))</f>
        <v/>
      </c>
      <c r="J518" s="25" t="str">
        <f ca="1">IF(OR(E518="",E518="!!!",F518="NEW"),"",COUNTBLANK(OFFSET(A$1,,,SUMPRODUCT(MAX(ROW(E$2:E518)*(E518=E$2:E518)))))-COUNTBLANK(OFFSET(A$1,,,SUMPRODUCT(MAX(ROW(E$1:E517)*(E2=E$1:E517))))))</f>
        <v/>
      </c>
      <c r="K518" s="25" t="str">
        <f>IF(OR(E518="",E518="!!!",F518="NEW"),"",INDEX(J$1:J517,SUMPRODUCT(MAX(ROW(E$1:E517)*(E518=E$1:E517)))))</f>
        <v/>
      </c>
      <c r="L518" s="26"/>
    </row>
    <row r="519" spans="1:12" x14ac:dyDescent="0.3">
      <c r="A519" t="s">
        <v>281</v>
      </c>
      <c r="E519" s="21" t="str">
        <f t="shared" si="54"/>
        <v/>
      </c>
      <c r="F519" s="22" t="str">
        <f>IF(OR(E519="",E519="!!!"),"",IF(NOT(ISNA(VLOOKUP(E519,E$1:E518,1,FALSE()))),"OLD",IF(AND(E519&lt;&gt;"",E519&lt;&gt;"!!!"),"NEW","")))</f>
        <v/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/>
      </c>
      <c r="H519" s="24" t="str">
        <f t="shared" ca="1" si="55"/>
        <v/>
      </c>
      <c r="I519" s="25" t="str">
        <f>IF(OR(E519="",E519="!!!",F519="NEW"),"",INDEX(B$2:B518,-1+SUMPRODUCT(MAX(ROW(E$2:E518)*(E519=E$2:E518)))))</f>
        <v/>
      </c>
      <c r="J519" s="25" t="str">
        <f ca="1">IF(OR(E519="",E519="!!!",F519="NEW"),"",COUNTBLANK(OFFSET(A$1,,,SUMPRODUCT(MAX(ROW(E$2:E519)*(E519=E$2:E519)))))-COUNTBLANK(OFFSET(A$1,,,SUMPRODUCT(MAX(ROW(E$1:E518)*(E2=E$1:E518))))))</f>
        <v/>
      </c>
      <c r="K519" s="25" t="str">
        <f>IF(OR(E519="",E519="!!!",F519="NEW"),"",INDEX(J$1:J518,SUMPRODUCT(MAX(ROW(E$1:E518)*(E519=E$1:E518)))))</f>
        <v/>
      </c>
      <c r="L519" s="26"/>
    </row>
    <row r="520" spans="1:12" x14ac:dyDescent="0.3">
      <c r="A520" t="s">
        <v>432</v>
      </c>
      <c r="B520" s="20" t="s">
        <v>182</v>
      </c>
      <c r="C520" s="20" t="s">
        <v>195</v>
      </c>
      <c r="D520" s="20" t="s">
        <v>171</v>
      </c>
      <c r="E520" s="21"/>
      <c r="F520" s="22" t="s">
        <v>486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/>
      </c>
      <c r="H520" s="24" t="str">
        <f t="shared" ca="1" si="55"/>
        <v/>
      </c>
      <c r="I520" s="25" t="str">
        <f>IF(OR(E520="",E520="!!!",F520="NEW"),"",INDEX(B$2:B519,-1+SUMPRODUCT(MAX(ROW(E$2:E519)*(E520=E$2:E519)))))</f>
        <v/>
      </c>
      <c r="J520" s="25" t="str">
        <f ca="1">IF(OR(E520="",E520="!!!",F520="NEW"),"",COUNTBLANK(OFFSET(A$1,,,SUMPRODUCT(MAX(ROW(E$2:E520)*(E520=E$2:E520)))))-COUNTBLANK(OFFSET(A$1,,,SUMPRODUCT(MAX(ROW(E$1:E519)*(E2=E$1:E519))))))</f>
        <v/>
      </c>
      <c r="K520" s="25" t="str">
        <f>IF(OR(E520="",E520="!!!",F520="NEW"),"",INDEX(J$1:J519,SUMPRODUCT(MAX(ROW(E$1:E519)*(E520=E$1:E519)))))</f>
        <v/>
      </c>
      <c r="L520" s="26"/>
    </row>
    <row r="521" spans="1:12" x14ac:dyDescent="0.3">
      <c r="A521" t="s">
        <v>223</v>
      </c>
      <c r="E521" s="21" t="str">
        <f t="shared" si="54"/>
        <v/>
      </c>
      <c r="F521" s="22" t="str">
        <f>IF(OR(E521="",E521="!!!"),"",IF(NOT(ISNA(VLOOKUP(E521,E$1:E520,1,FALSE()))),"OLD",IF(AND(E521&lt;&gt;"",E521&lt;&gt;"!!!"),"NEW","")))</f>
        <v/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/>
      </c>
      <c r="H521" s="24" t="str">
        <f t="shared" ca="1" si="55"/>
        <v/>
      </c>
      <c r="I521" s="25" t="str">
        <f>IF(OR(E521="",E521="!!!",F521="NEW"),"",INDEX(B$2:B520,-1+SUMPRODUCT(MAX(ROW(E$2:E520)*(E521=E$2:E520)))))</f>
        <v/>
      </c>
      <c r="J521" s="25" t="str">
        <f ca="1">IF(OR(E521="",E521="!!!",F521="NEW"),"",COUNTBLANK(OFFSET(A$1,,,SUMPRODUCT(MAX(ROW(E$2:E521)*(E521=E$2:E521)))))-COUNTBLANK(OFFSET(A$1,,,SUMPRODUCT(MAX(ROW(E$1:E520)*(E2=E$1:E520))))))</f>
        <v/>
      </c>
      <c r="K521" s="25" t="str">
        <f>IF(OR(E521="",E521="!!!",F521="NEW"),"",INDEX(J$1:J520,SUMPRODUCT(MAX(ROW(E$1:E520)*(E521=E$1:E520)))))</f>
        <v/>
      </c>
      <c r="L521" s="26"/>
    </row>
    <row r="522" spans="1:12" x14ac:dyDescent="0.3">
      <c r="A522" t="s">
        <v>433</v>
      </c>
      <c r="E522" s="21" t="str">
        <f t="shared" si="54"/>
        <v/>
      </c>
      <c r="F522" s="22" t="str">
        <f>IF(OR(E522="",E522="!!!"),"",IF(NOT(ISNA(VLOOKUP(E522,E$1:E521,1,FALSE()))),"OLD",IF(AND(E522&lt;&gt;"",E522&lt;&gt;"!!!"),"NEW","")))</f>
        <v/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/>
      </c>
      <c r="H522" s="24" t="str">
        <f t="shared" ca="1" si="55"/>
        <v/>
      </c>
      <c r="I522" s="25" t="str">
        <f>IF(OR(E522="",E522="!!!",F522="NEW"),"",INDEX(B$2:B521,-1+SUMPRODUCT(MAX(ROW(E$2:E521)*(E522=E$2:E521)))))</f>
        <v/>
      </c>
      <c r="J522" s="25" t="str">
        <f ca="1">IF(OR(E522="",E522="!!!",F522="NEW"),"",COUNTBLANK(OFFSET(A$1,,,SUMPRODUCT(MAX(ROW(E$2:E522)*(E522=E$2:E522)))))-COUNTBLANK(OFFSET(A$1,,,SUMPRODUCT(MAX(ROW(E$1:E521)*(E2=E$1:E521))))))</f>
        <v/>
      </c>
      <c r="K522" s="25" t="str">
        <f>IF(OR(E522="",E522="!!!",F522="NEW"),"",INDEX(J$1:J521,SUMPRODUCT(MAX(ROW(E$1:E521)*(E522=E$1:E521)))))</f>
        <v/>
      </c>
      <c r="L522" s="26"/>
    </row>
    <row r="523" spans="1:12" x14ac:dyDescent="0.3">
      <c r="A523" t="s">
        <v>434</v>
      </c>
      <c r="B523" s="20" t="s">
        <v>268</v>
      </c>
      <c r="C523" s="20" t="s">
        <v>195</v>
      </c>
      <c r="D523" s="20" t="s">
        <v>171</v>
      </c>
      <c r="E523" s="21" t="s">
        <v>505</v>
      </c>
      <c r="F523" s="22" t="str">
        <f>IF(OR(E523="",E523="!!!"),"",IF(NOT(ISNA(VLOOKUP(E523,E$1:E522,1,FALSE()))),"OLD",IF(AND(E523&lt;&gt;"",E523&lt;&gt;"!!!"),"NEW","")))</f>
        <v>NEW</v>
      </c>
      <c r="G523" s="23" t="s">
        <v>510</v>
      </c>
      <c r="H523" s="24" t="str">
        <f t="shared" ca="1" si="55"/>
        <v/>
      </c>
      <c r="I523" s="25" t="str">
        <f>IF(OR(E523="",E523="!!!",F523="NEW"),"",INDEX(B$2:B522,-1+SUMPRODUCT(MAX(ROW(E$2:E522)*(E523=E$2:E522)))))</f>
        <v/>
      </c>
      <c r="J523" s="25" t="str">
        <f ca="1">IF(OR(E523="",E523="!!!",F523="NEW"),"",COUNTBLANK(OFFSET(A$1,,,SUMPRODUCT(MAX(ROW(E$2:E523)*(E523=E$2:E523)))))-COUNTBLANK(OFFSET(A$1,,,SUMPRODUCT(MAX(ROW(E$1:E522)*(E2=E$1:E522))))))</f>
        <v/>
      </c>
      <c r="K523" s="25" t="str">
        <f>IF(OR(E523="",E523="!!!",F523="NEW"),"",INDEX(J$1:J522,SUMPRODUCT(MAX(ROW(E$1:E522)*(E523=E$1:E522)))))</f>
        <v/>
      </c>
      <c r="L523" s="26"/>
    </row>
    <row r="524" spans="1:12" x14ac:dyDescent="0.3">
      <c r="A524" t="s">
        <v>197</v>
      </c>
      <c r="E524" s="21" t="str">
        <f t="shared" si="54"/>
        <v/>
      </c>
      <c r="F524" s="22" t="str">
        <f>IF(OR(E524="",E524="!!!"),"",IF(NOT(ISNA(VLOOKUP(E524,E$1:E523,1,FALSE()))),"OLD",IF(AND(E524&lt;&gt;"",E524&lt;&gt;"!!!"),"NEW","")))</f>
        <v/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/>
      </c>
      <c r="H524" s="24" t="str">
        <f t="shared" ca="1" si="55"/>
        <v/>
      </c>
      <c r="I524" s="25" t="str">
        <f>IF(OR(E524="",E524="!!!",F524="NEW"),"",INDEX(B$2:B523,-1+SUMPRODUCT(MAX(ROW(E$2:E523)*(E524=E$2:E523)))))</f>
        <v/>
      </c>
      <c r="J524" s="25" t="str">
        <f ca="1">IF(OR(E524="",E524="!!!",F524="NEW"),"",COUNTBLANK(OFFSET(A$1,,,SUMPRODUCT(MAX(ROW(E$2:E524)*(E524=E$2:E524)))))-COUNTBLANK(OFFSET(A$1,,,SUMPRODUCT(MAX(ROW(E$1:E523)*(E2=E$1:E523))))))</f>
        <v/>
      </c>
      <c r="K524" s="25" t="str">
        <f>IF(OR(E524="",E524="!!!",F524="NEW"),"",INDEX(J$1:J523,SUMPRODUCT(MAX(ROW(E$1:E523)*(E524=E$1:E523)))))</f>
        <v/>
      </c>
      <c r="L524" s="26"/>
    </row>
    <row r="526" spans="1:12" x14ac:dyDescent="0.3">
      <c r="A526" t="s">
        <v>435</v>
      </c>
    </row>
    <row r="527" spans="1:12" x14ac:dyDescent="0.3">
      <c r="A527" t="s">
        <v>249</v>
      </c>
      <c r="E527" s="21" t="str">
        <f t="shared" ref="E527:E540" si="56">IF(D527="?OLD","!!!","")</f>
        <v/>
      </c>
      <c r="F527" s="22" t="str">
        <f>IF(OR(E527="",E527="!!!"),"",IF(NOT(ISNA(VLOOKUP(E527,E$1:E526,1,FALSE()))),"OLD",IF(AND(E527&lt;&gt;"",E527&lt;&gt;"!!!"),"NEW","")))</f>
        <v/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/>
      </c>
      <c r="H527" s="24" t="str">
        <f t="shared" ref="H527:H540" ca="1" si="57">IF(J527&lt;&gt;1,"",IF(I527="SBJ","CB","?"))</f>
        <v/>
      </c>
      <c r="I527" s="25" t="str">
        <f>IF(OR(E527="",E527="!!!",F527="NEW"),"",INDEX(B$2:B526,-1+SUMPRODUCT(MAX(ROW(E$2:E526)*(E527=E$2:E526)))))</f>
        <v/>
      </c>
      <c r="J527" s="25" t="str">
        <f ca="1">IF(OR(E527="",E527="!!!",F527="NEW"),"",COUNTBLANK(OFFSET(A$1,,,SUMPRODUCT(MAX(ROW(E$2:E527)*(E527=E$2:E527)))))-COUNTBLANK(OFFSET(A$1,,,SUMPRODUCT(MAX(ROW(E$1:E526)*(E2=E$1:E526))))))</f>
        <v/>
      </c>
      <c r="K527" s="25" t="str">
        <f>IF(OR(E527="",E527="!!!",F527="NEW"),"",INDEX(J$1:J526,SUMPRODUCT(MAX(ROW(E$1:E526)*(E527=E$1:E526)))))</f>
        <v/>
      </c>
      <c r="L527" s="26"/>
    </row>
    <row r="528" spans="1:12" x14ac:dyDescent="0.3">
      <c r="A528" t="s">
        <v>436</v>
      </c>
      <c r="B528" s="20" t="s">
        <v>166</v>
      </c>
      <c r="C528" s="20" t="s">
        <v>229</v>
      </c>
      <c r="E528" s="21" t="str">
        <f t="shared" si="56"/>
        <v/>
      </c>
      <c r="F528" s="22" t="str">
        <f>IF(OR(E528="",E528="!!!"),"",IF(NOT(ISNA(VLOOKUP(E528,E$1:E527,1,FALSE()))),"OLD",IF(AND(E528&lt;&gt;"",E528&lt;&gt;"!!!"),"NEW","")))</f>
        <v/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/>
      </c>
      <c r="H528" s="24" t="str">
        <f t="shared" ca="1" si="57"/>
        <v/>
      </c>
      <c r="I528" s="25" t="str">
        <f>IF(OR(E528="",E528="!!!",F528="NEW"),"",INDEX(B$2:B527,-1+SUMPRODUCT(MAX(ROW(E$2:E527)*(E528=E$2:E527)))))</f>
        <v/>
      </c>
      <c r="J528" s="25" t="str">
        <f ca="1">IF(OR(E528="",E528="!!!",F528="NEW"),"",COUNTBLANK(OFFSET(A$1,,,SUMPRODUCT(MAX(ROW(E$2:E528)*(E528=E$2:E528)))))-COUNTBLANK(OFFSET(A$1,,,SUMPRODUCT(MAX(ROW(E$1:E527)*(E2=E$1:E527))))))</f>
        <v/>
      </c>
      <c r="K528" s="25" t="str">
        <f>IF(OR(E528="",E528="!!!",F528="NEW"),"",INDEX(J$1:J527,SUMPRODUCT(MAX(ROW(E$1:E527)*(E528=E$1:E527)))))</f>
        <v/>
      </c>
      <c r="L528" s="26"/>
    </row>
    <row r="529" spans="1:12" x14ac:dyDescent="0.3">
      <c r="A529" t="s">
        <v>371</v>
      </c>
      <c r="E529" s="21" t="str">
        <f t="shared" si="56"/>
        <v/>
      </c>
      <c r="F529" s="22" t="str">
        <f>IF(OR(E529="",E529="!!!"),"",IF(NOT(ISNA(VLOOKUP(E529,E$1:E528,1,FALSE()))),"OLD",IF(AND(E529&lt;&gt;"",E529&lt;&gt;"!!!"),"NEW","")))</f>
        <v/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/>
      </c>
      <c r="H529" s="24" t="str">
        <f t="shared" ca="1" si="57"/>
        <v/>
      </c>
      <c r="I529" s="25" t="str">
        <f>IF(OR(E529="",E529="!!!",F529="NEW"),"",INDEX(B$2:B528,-1+SUMPRODUCT(MAX(ROW(E$2:E528)*(E529=E$2:E528)))))</f>
        <v/>
      </c>
      <c r="J529" s="25" t="str">
        <f ca="1">IF(OR(E529="",E529="!!!",F529="NEW"),"",COUNTBLANK(OFFSET(A$1,,,SUMPRODUCT(MAX(ROW(E$2:E529)*(E529=E$2:E529)))))-COUNTBLANK(OFFSET(A$1,,,SUMPRODUCT(MAX(ROW(E$1:E528)*(E2=E$1:E528))))))</f>
        <v/>
      </c>
      <c r="K529" s="25" t="str">
        <f>IF(OR(E529="",E529="!!!",F529="NEW"),"",INDEX(J$1:J528,SUMPRODUCT(MAX(ROW(E$1:E528)*(E529=E$1:E528)))))</f>
        <v/>
      </c>
      <c r="L529" s="26"/>
    </row>
    <row r="530" spans="1:12" x14ac:dyDescent="0.3">
      <c r="A530" t="s">
        <v>437</v>
      </c>
      <c r="B530" s="20" t="s">
        <v>182</v>
      </c>
      <c r="C530" s="20" t="s">
        <v>175</v>
      </c>
      <c r="E530" s="21" t="str">
        <f t="shared" si="56"/>
        <v/>
      </c>
      <c r="F530" s="22" t="str">
        <f>IF(OR(E530="",E530="!!!"),"",IF(NOT(ISNA(VLOOKUP(E530,E$1:E529,1,FALSE()))),"OLD",IF(AND(E530&lt;&gt;"",E530&lt;&gt;"!!!"),"NEW","")))</f>
        <v/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/>
      </c>
      <c r="H530" s="24" t="str">
        <f t="shared" ca="1" si="57"/>
        <v/>
      </c>
      <c r="I530" s="25" t="str">
        <f>IF(OR(E530="",E530="!!!",F530="NEW"),"",INDEX(B$2:B529,-1+SUMPRODUCT(MAX(ROW(E$2:E529)*(E530=E$2:E529)))))</f>
        <v/>
      </c>
      <c r="J530" s="25" t="str">
        <f ca="1">IF(OR(E530="",E530="!!!",F530="NEW"),"",COUNTBLANK(OFFSET(A$1,,,SUMPRODUCT(MAX(ROW(E$2:E530)*(E530=E$2:E530)))))-COUNTBLANK(OFFSET(A$1,,,SUMPRODUCT(MAX(ROW(E$1:E529)*(E2=E$1:E529))))))</f>
        <v/>
      </c>
      <c r="K530" s="25" t="str">
        <f>IF(OR(E530="",E530="!!!",F530="NEW"),"",INDEX(J$1:J529,SUMPRODUCT(MAX(ROW(E$1:E529)*(E530=E$1:E529)))))</f>
        <v/>
      </c>
      <c r="L530" s="26"/>
    </row>
    <row r="531" spans="1:12" x14ac:dyDescent="0.3">
      <c r="A531" t="s">
        <v>192</v>
      </c>
      <c r="E531" s="21" t="str">
        <f t="shared" si="56"/>
        <v/>
      </c>
      <c r="F531" s="22" t="str">
        <f>IF(OR(E531="",E531="!!!"),"",IF(NOT(ISNA(VLOOKUP(E531,E$1:E530,1,FALSE()))),"OLD",IF(AND(E531&lt;&gt;"",E531&lt;&gt;"!!!"),"NEW","")))</f>
        <v/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/>
      </c>
      <c r="H531" s="24" t="str">
        <f t="shared" ca="1" si="57"/>
        <v/>
      </c>
      <c r="I531" s="25" t="str">
        <f>IF(OR(E531="",E531="!!!",F531="NEW"),"",INDEX(B$2:B530,-1+SUMPRODUCT(MAX(ROW(E$2:E530)*(E531=E$2:E530)))))</f>
        <v/>
      </c>
      <c r="J531" s="25" t="str">
        <f ca="1">IF(OR(E531="",E531="!!!",F531="NEW"),"",COUNTBLANK(OFFSET(A$1,,,SUMPRODUCT(MAX(ROW(E$2:E531)*(E531=E$2:E531)))))-COUNTBLANK(OFFSET(A$1,,,SUMPRODUCT(MAX(ROW(E$1:E530)*(E2=E$1:E530))))))</f>
        <v/>
      </c>
      <c r="K531" s="25" t="str">
        <f>IF(OR(E531="",E531="!!!",F531="NEW"),"",INDEX(J$1:J530,SUMPRODUCT(MAX(ROW(E$1:E530)*(E531=E$1:E530)))))</f>
        <v/>
      </c>
      <c r="L531" s="26"/>
    </row>
    <row r="532" spans="1:12" x14ac:dyDescent="0.3">
      <c r="A532" t="s">
        <v>438</v>
      </c>
      <c r="E532" s="21" t="str">
        <f t="shared" si="56"/>
        <v/>
      </c>
      <c r="F532" s="22" t="str">
        <f>IF(OR(E532="",E532="!!!"),"",IF(NOT(ISNA(VLOOKUP(E532,E$1:E531,1,FALSE()))),"OLD",IF(AND(E532&lt;&gt;"",E532&lt;&gt;"!!!"),"NEW","")))</f>
        <v/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/>
      </c>
      <c r="H532" s="24" t="str">
        <f t="shared" ca="1" si="57"/>
        <v/>
      </c>
      <c r="I532" s="25" t="str">
        <f>IF(OR(E532="",E532="!!!",F532="NEW"),"",INDEX(B$2:B531,-1+SUMPRODUCT(MAX(ROW(E$2:E531)*(E532=E$2:E531)))))</f>
        <v/>
      </c>
      <c r="J532" s="25" t="str">
        <f ca="1">IF(OR(E532="",E532="!!!",F532="NEW"),"",COUNTBLANK(OFFSET(A$1,,,SUMPRODUCT(MAX(ROW(E$2:E532)*(E532=E$2:E532)))))-COUNTBLANK(OFFSET(A$1,,,SUMPRODUCT(MAX(ROW(E$1:E531)*(E2=E$1:E531))))))</f>
        <v/>
      </c>
      <c r="K532" s="25" t="str">
        <f>IF(OR(E532="",E532="!!!",F532="NEW"),"",INDEX(J$1:J531,SUMPRODUCT(MAX(ROW(E$1:E531)*(E532=E$1:E531)))))</f>
        <v/>
      </c>
      <c r="L532" s="26"/>
    </row>
    <row r="533" spans="1:12" x14ac:dyDescent="0.3">
      <c r="A533" t="s">
        <v>439</v>
      </c>
      <c r="B533" s="20" t="s">
        <v>268</v>
      </c>
      <c r="C533" s="20" t="s">
        <v>202</v>
      </c>
      <c r="E533" s="21" t="str">
        <f t="shared" si="56"/>
        <v/>
      </c>
      <c r="F533" s="22" t="str">
        <f>IF(OR(E533="",E533="!!!"),"",IF(NOT(ISNA(VLOOKUP(E533,E$1:E532,1,FALSE()))),"OLD",IF(AND(E533&lt;&gt;"",E533&lt;&gt;"!!!"),"NEW","")))</f>
        <v/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/>
      </c>
      <c r="H533" s="24" t="str">
        <f t="shared" ca="1" si="57"/>
        <v/>
      </c>
      <c r="I533" s="25" t="str">
        <f>IF(OR(E533="",E533="!!!",F533="NEW"),"",INDEX(B$2:B532,-1+SUMPRODUCT(MAX(ROW(E$2:E532)*(E533=E$2:E532)))))</f>
        <v/>
      </c>
      <c r="J533" s="25" t="str">
        <f ca="1">IF(OR(E533="",E533="!!!",F533="NEW"),"",COUNTBLANK(OFFSET(A$1,,,SUMPRODUCT(MAX(ROW(E$2:E533)*(E533=E$2:E533)))))-COUNTBLANK(OFFSET(A$1,,,SUMPRODUCT(MAX(ROW(E$1:E532)*(E2=E$1:E532))))))</f>
        <v/>
      </c>
      <c r="K533" s="25" t="str">
        <f>IF(OR(E533="",E533="!!!",F533="NEW"),"",INDEX(J$1:J532,SUMPRODUCT(MAX(ROW(E$1:E532)*(E533=E$1:E532)))))</f>
        <v/>
      </c>
      <c r="L533" s="26"/>
    </row>
    <row r="534" spans="1:12" x14ac:dyDescent="0.3">
      <c r="A534" t="s">
        <v>440</v>
      </c>
      <c r="B534" s="20" t="s">
        <v>182</v>
      </c>
      <c r="C534" s="20" t="s">
        <v>216</v>
      </c>
      <c r="E534" s="21" t="str">
        <f t="shared" si="56"/>
        <v/>
      </c>
      <c r="F534" s="22" t="str">
        <f>IF(OR(E534="",E534="!!!"),"",IF(NOT(ISNA(VLOOKUP(E534,E$1:E533,1,FALSE()))),"OLD",IF(AND(E534&lt;&gt;"",E534&lt;&gt;"!!!"),"NEW","")))</f>
        <v/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/>
      </c>
      <c r="H534" s="24" t="str">
        <f t="shared" ca="1" si="57"/>
        <v/>
      </c>
      <c r="I534" s="25" t="str">
        <f>IF(OR(E534="",E534="!!!",F534="NEW"),"",INDEX(B$2:B533,-1+SUMPRODUCT(MAX(ROW(E$2:E533)*(E534=E$2:E533)))))</f>
        <v/>
      </c>
      <c r="J534" s="25" t="str">
        <f ca="1">IF(OR(E534="",E534="!!!",F534="NEW"),"",COUNTBLANK(OFFSET(A$1,,,SUMPRODUCT(MAX(ROW(E$2:E534)*(E534=E$2:E534)))))-COUNTBLANK(OFFSET(A$1,,,SUMPRODUCT(MAX(ROW(E$1:E533)*(E2=E$1:E533))))))</f>
        <v/>
      </c>
      <c r="K534" s="25" t="str">
        <f>IF(OR(E534="",E534="!!!",F534="NEW"),"",INDEX(J$1:J533,SUMPRODUCT(MAX(ROW(E$1:E533)*(E534=E$1:E533)))))</f>
        <v/>
      </c>
      <c r="L534" s="26"/>
    </row>
    <row r="535" spans="1:12" x14ac:dyDescent="0.3">
      <c r="A535" t="s">
        <v>245</v>
      </c>
      <c r="E535" s="21" t="str">
        <f t="shared" si="56"/>
        <v/>
      </c>
      <c r="F535" s="22" t="str">
        <f>IF(OR(E535="",E535="!!!"),"",IF(NOT(ISNA(VLOOKUP(E535,E$1:E534,1,FALSE()))),"OLD",IF(AND(E535&lt;&gt;"",E535&lt;&gt;"!!!"),"NEW","")))</f>
        <v/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/>
      </c>
      <c r="H535" s="24" t="str">
        <f t="shared" ca="1" si="57"/>
        <v/>
      </c>
      <c r="I535" s="25" t="str">
        <f>IF(OR(E535="",E535="!!!",F535="NEW"),"",INDEX(B$2:B534,-1+SUMPRODUCT(MAX(ROW(E$2:E534)*(E535=E$2:E534)))))</f>
        <v/>
      </c>
      <c r="J535" s="25" t="str">
        <f ca="1">IF(OR(E535="",E535="!!!",F535="NEW"),"",COUNTBLANK(OFFSET(A$1,,,SUMPRODUCT(MAX(ROW(E$2:E535)*(E535=E$2:E535)))))-COUNTBLANK(OFFSET(A$1,,,SUMPRODUCT(MAX(ROW(E$1:E534)*(E2=E$1:E534))))))</f>
        <v/>
      </c>
      <c r="K535" s="25" t="str">
        <f>IF(OR(E535="",E535="!!!",F535="NEW"),"",INDEX(J$1:J534,SUMPRODUCT(MAX(ROW(E$1:E534)*(E535=E$1:E534)))))</f>
        <v/>
      </c>
      <c r="L535" s="26"/>
    </row>
    <row r="536" spans="1:12" x14ac:dyDescent="0.3">
      <c r="A536" t="s">
        <v>241</v>
      </c>
      <c r="B536" s="20" t="s">
        <v>174</v>
      </c>
      <c r="C536" s="20" t="s">
        <v>242</v>
      </c>
      <c r="D536" s="20" t="s">
        <v>171</v>
      </c>
      <c r="E536" s="21"/>
      <c r="F536" s="22" t="s">
        <v>471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/>
      </c>
      <c r="H536" s="24" t="str">
        <f t="shared" ca="1" si="57"/>
        <v/>
      </c>
      <c r="I536" s="25" t="str">
        <f>IF(OR(E536="",E536="!!!",F536="NEW"),"",INDEX(B$2:B535,-1+SUMPRODUCT(MAX(ROW(E$2:E535)*(E536=E$2:E535)))))</f>
        <v/>
      </c>
      <c r="J536" s="25" t="str">
        <f ca="1">IF(OR(E536="",E536="!!!",F536="NEW"),"",COUNTBLANK(OFFSET(A$1,,,SUMPRODUCT(MAX(ROW(E$2:E536)*(E536=E$2:E536)))))-COUNTBLANK(OFFSET(A$1,,,SUMPRODUCT(MAX(ROW(E$1:E535)*(E2=E$1:E535))))))</f>
        <v/>
      </c>
      <c r="K536" s="25" t="str">
        <f>IF(OR(E536="",E536="!!!",F536="NEW"),"",INDEX(J$1:J535,SUMPRODUCT(MAX(ROW(E$1:E535)*(E536=E$1:E535)))))</f>
        <v/>
      </c>
      <c r="L536" s="26"/>
    </row>
    <row r="537" spans="1:12" x14ac:dyDescent="0.3">
      <c r="A537" t="s">
        <v>359</v>
      </c>
      <c r="E537" s="21" t="str">
        <f t="shared" si="56"/>
        <v/>
      </c>
      <c r="F537" s="22" t="str">
        <f>IF(OR(E537="",E537="!!!"),"",IF(NOT(ISNA(VLOOKUP(E537,E$1:E536,1,FALSE()))),"OLD",IF(AND(E537&lt;&gt;"",E537&lt;&gt;"!!!"),"NEW","")))</f>
        <v/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/>
      </c>
      <c r="H537" s="24" t="str">
        <f t="shared" ca="1" si="57"/>
        <v/>
      </c>
      <c r="I537" s="25" t="str">
        <f>IF(OR(E537="",E537="!!!",F537="NEW"),"",INDEX(B$2:B536,-1+SUMPRODUCT(MAX(ROW(E$2:E536)*(E537=E$2:E536)))))</f>
        <v/>
      </c>
      <c r="J537" s="25" t="str">
        <f ca="1">IF(OR(E537="",E537="!!!",F537="NEW"),"",COUNTBLANK(OFFSET(A$1,,,SUMPRODUCT(MAX(ROW(E$2:E537)*(E537=E$2:E537)))))-COUNTBLANK(OFFSET(A$1,,,SUMPRODUCT(MAX(ROW(E$1:E536)*(E2=E$1:E536))))))</f>
        <v/>
      </c>
      <c r="K537" s="25" t="str">
        <f>IF(OR(E537="",E537="!!!",F537="NEW"),"",INDEX(J$1:J536,SUMPRODUCT(MAX(ROW(E$1:E536)*(E537=E$1:E536)))))</f>
        <v/>
      </c>
      <c r="L537" s="26"/>
    </row>
    <row r="538" spans="1:12" x14ac:dyDescent="0.3">
      <c r="A538" t="s">
        <v>441</v>
      </c>
      <c r="E538" s="21" t="str">
        <f t="shared" si="56"/>
        <v/>
      </c>
      <c r="F538" s="22" t="str">
        <f>IF(OR(E538="",E538="!!!"),"",IF(NOT(ISNA(VLOOKUP(E538,E$1:E537,1,FALSE()))),"OLD",IF(AND(E538&lt;&gt;"",E538&lt;&gt;"!!!"),"NEW","")))</f>
        <v/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/>
      </c>
      <c r="H538" s="24" t="str">
        <f t="shared" ca="1" si="57"/>
        <v/>
      </c>
      <c r="I538" s="25" t="str">
        <f>IF(OR(E538="",E538="!!!",F538="NEW"),"",INDEX(B$2:B537,-1+SUMPRODUCT(MAX(ROW(E$2:E537)*(E538=E$2:E537)))))</f>
        <v/>
      </c>
      <c r="J538" s="25" t="str">
        <f ca="1">IF(OR(E538="",E538="!!!",F538="NEW"),"",COUNTBLANK(OFFSET(A$1,,,SUMPRODUCT(MAX(ROW(E$2:E538)*(E538=E$2:E538)))))-COUNTBLANK(OFFSET(A$1,,,SUMPRODUCT(MAX(ROW(E$1:E537)*(E2=E$1:E537))))))</f>
        <v/>
      </c>
      <c r="K538" s="25" t="str">
        <f>IF(OR(E538="",E538="!!!",F538="NEW"),"",INDEX(J$1:J537,SUMPRODUCT(MAX(ROW(E$1:E537)*(E538=E$1:E537)))))</f>
        <v/>
      </c>
      <c r="L538" s="26"/>
    </row>
    <row r="539" spans="1:12" x14ac:dyDescent="0.3">
      <c r="A539" t="s">
        <v>133</v>
      </c>
      <c r="E539" s="21" t="str">
        <f t="shared" si="56"/>
        <v/>
      </c>
      <c r="F539" s="22" t="str">
        <f>IF(OR(E539="",E539="!!!"),"",IF(NOT(ISNA(VLOOKUP(E539,E$1:E538,1,FALSE()))),"OLD",IF(AND(E539&lt;&gt;"",E539&lt;&gt;"!!!"),"NEW","")))</f>
        <v/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/>
      </c>
      <c r="H539" s="24" t="str">
        <f t="shared" ca="1" si="57"/>
        <v/>
      </c>
      <c r="I539" s="25" t="str">
        <f>IF(OR(E539="",E539="!!!",F539="NEW"),"",INDEX(B$2:B538,-1+SUMPRODUCT(MAX(ROW(E$2:E538)*(E539=E$2:E538)))))</f>
        <v/>
      </c>
      <c r="J539" s="25" t="str">
        <f ca="1">IF(OR(E539="",E539="!!!",F539="NEW"),"",COUNTBLANK(OFFSET(A$1,,,SUMPRODUCT(MAX(ROW(E$2:E539)*(E539=E$2:E539)))))-COUNTBLANK(OFFSET(A$1,,,SUMPRODUCT(MAX(ROW(E$1:E538)*(E2=E$1:E538))))))</f>
        <v/>
      </c>
      <c r="K539" s="25" t="str">
        <f>IF(OR(E539="",E539="!!!",F539="NEW"),"",INDEX(J$1:J538,SUMPRODUCT(MAX(ROW(E$1:E538)*(E539=E$1:E538)))))</f>
        <v/>
      </c>
      <c r="L539" s="26"/>
    </row>
    <row r="540" spans="1:12" x14ac:dyDescent="0.3">
      <c r="A540" t="s">
        <v>197</v>
      </c>
      <c r="E540" s="21" t="str">
        <f t="shared" si="56"/>
        <v/>
      </c>
      <c r="F540" s="22" t="str">
        <f>IF(OR(E540="",E540="!!!"),"",IF(NOT(ISNA(VLOOKUP(E540,E$1:E539,1,FALSE()))),"OLD",IF(AND(E540&lt;&gt;"",E540&lt;&gt;"!!!"),"NEW","")))</f>
        <v/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/>
      </c>
      <c r="H540" s="24" t="str">
        <f t="shared" ca="1" si="57"/>
        <v/>
      </c>
      <c r="I540" s="25" t="str">
        <f>IF(OR(E540="",E540="!!!",F540="NEW"),"",INDEX(B$2:B539,-1+SUMPRODUCT(MAX(ROW(E$2:E539)*(E540=E$2:E539)))))</f>
        <v/>
      </c>
      <c r="J540" s="25" t="str">
        <f ca="1">IF(OR(E540="",E540="!!!",F540="NEW"),"",COUNTBLANK(OFFSET(A$1,,,SUMPRODUCT(MAX(ROW(E$2:E540)*(E540=E$2:E540)))))-COUNTBLANK(OFFSET(A$1,,,SUMPRODUCT(MAX(ROW(E$1:E539)*(E2=E$1:E539))))))</f>
        <v/>
      </c>
      <c r="K540" s="25" t="str">
        <f>IF(OR(E540="",E540="!!!",F540="NEW"),"",INDEX(J$1:J539,SUMPRODUCT(MAX(ROW(E$1:E539)*(E540=E$1:E539)))))</f>
        <v/>
      </c>
      <c r="L540" s="26"/>
    </row>
    <row r="542" spans="1:12" x14ac:dyDescent="0.3">
      <c r="A542" t="s">
        <v>442</v>
      </c>
    </row>
    <row r="543" spans="1:12" x14ac:dyDescent="0.3">
      <c r="A543" t="s">
        <v>178</v>
      </c>
      <c r="E543" s="21" t="str">
        <f t="shared" ref="E543:E557" si="58">IF(D543="?OLD","!!!","")</f>
        <v/>
      </c>
      <c r="F543" s="22" t="str">
        <f>IF(OR(E543="",E543="!!!"),"",IF(NOT(ISNA(VLOOKUP(E543,E$1:E542,1,FALSE()))),"OLD",IF(AND(E543&lt;&gt;"",E543&lt;&gt;"!!!"),"NEW","")))</f>
        <v/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/>
      </c>
      <c r="H543" s="24" t="str">
        <f t="shared" ref="H543:H557" ca="1" si="59">IF(J543&lt;&gt;1,"",IF(I543="SBJ","CB","?"))</f>
        <v/>
      </c>
      <c r="I543" s="25" t="str">
        <f>IF(OR(E543="",E543="!!!",F543="NEW"),"",INDEX(B$2:B542,-1+SUMPRODUCT(MAX(ROW(E$2:E542)*(E543=E$2:E542)))))</f>
        <v/>
      </c>
      <c r="J543" s="25" t="str">
        <f ca="1">IF(OR(E543="",E543="!!!",F543="NEW"),"",COUNTBLANK(OFFSET(A$1,,,SUMPRODUCT(MAX(ROW(E$2:E543)*(E543=E$2:E543)))))-COUNTBLANK(OFFSET(A$1,,,SUMPRODUCT(MAX(ROW(E$1:E542)*(E2=E$1:E542))))))</f>
        <v/>
      </c>
      <c r="K543" s="25" t="str">
        <f>IF(OR(E543="",E543="!!!",F543="NEW"),"",INDEX(J$1:J542,SUMPRODUCT(MAX(ROW(E$1:E542)*(E543=E$1:E542)))))</f>
        <v/>
      </c>
      <c r="L543" s="26"/>
    </row>
    <row r="544" spans="1:12" x14ac:dyDescent="0.3">
      <c r="A544" t="s">
        <v>264</v>
      </c>
      <c r="B544" s="20" t="s">
        <v>166</v>
      </c>
      <c r="C544" s="20" t="s">
        <v>170</v>
      </c>
      <c r="D544" s="20" t="s">
        <v>171</v>
      </c>
      <c r="E544" s="21" t="s">
        <v>468</v>
      </c>
      <c r="F544" s="22" t="str">
        <f>IF(OR(E544="",E544="!!!"),"",IF(NOT(ISNA(VLOOKUP(E544,E$1:E543,1,FALSE()))),"OLD",IF(AND(E544&lt;&gt;"",E544&lt;&gt;"!!!"),"NEW","")))</f>
        <v>OLD</v>
      </c>
      <c r="G544" s="23" t="s">
        <v>509</v>
      </c>
      <c r="H544" s="24" t="str">
        <f t="shared" ca="1" si="59"/>
        <v/>
      </c>
      <c r="I544" s="25" t="str">
        <f>IF(OR(E544="",E544="!!!",F544="NEW"),"",INDEX(B$2:B543,-1+SUMPRODUCT(MAX(ROW(E$2:E543)*(E544=E$2:E543)))))</f>
        <v>other</v>
      </c>
      <c r="J544" s="25">
        <f ca="1">IF(OR(E544="",E544="!!!",F544="NEW"),"",COUNTBLANK(OFFSET(A$1,,,SUMPRODUCT(MAX(ROW(E$2:E544)*(E544=E$2:E544)))))-COUNTBLANK(OFFSET(A$1,,,SUMPRODUCT(MAX(ROW(E$1:E543)*(E2=E$1:E543))))))</f>
        <v>0</v>
      </c>
      <c r="K544" s="25">
        <f ca="1">IF(OR(E544="",E544="!!!",F544="NEW"),"",INDEX(J$1:J543,SUMPRODUCT(MAX(ROW(E$1:E543)*(E544=E$1:E543)))))</f>
        <v>0</v>
      </c>
      <c r="L544" s="26"/>
    </row>
    <row r="545" spans="1:12" x14ac:dyDescent="0.3">
      <c r="A545" t="s">
        <v>137</v>
      </c>
      <c r="E545" s="21" t="str">
        <f t="shared" si="58"/>
        <v/>
      </c>
      <c r="F545" s="22" t="str">
        <f>IF(OR(E545="",E545="!!!"),"",IF(NOT(ISNA(VLOOKUP(E545,E$1:E544,1,FALSE()))),"OLD",IF(AND(E545&lt;&gt;"",E545&lt;&gt;"!!!"),"NEW","")))</f>
        <v/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/>
      </c>
      <c r="H545" s="24" t="str">
        <f t="shared" ca="1" si="59"/>
        <v/>
      </c>
      <c r="I545" s="25" t="str">
        <f>IF(OR(E545="",E545="!!!",F545="NEW"),"",INDEX(B$2:B544,-1+SUMPRODUCT(MAX(ROW(E$2:E544)*(E545=E$2:E544)))))</f>
        <v/>
      </c>
      <c r="J545" s="25" t="str">
        <f ca="1">IF(OR(E545="",E545="!!!",F545="NEW"),"",COUNTBLANK(OFFSET(A$1,,,SUMPRODUCT(MAX(ROW(E$2:E545)*(E545=E$2:E545)))))-COUNTBLANK(OFFSET(A$1,,,SUMPRODUCT(MAX(ROW(E$1:E544)*(E2=E$1:E544))))))</f>
        <v/>
      </c>
      <c r="K545" s="25" t="str">
        <f>IF(OR(E545="",E545="!!!",F545="NEW"),"",INDEX(J$1:J544,SUMPRODUCT(MAX(ROW(E$1:E544)*(E545=E$1:E544)))))</f>
        <v/>
      </c>
      <c r="L545" s="26"/>
    </row>
    <row r="546" spans="1:12" x14ac:dyDescent="0.3">
      <c r="A546" t="s">
        <v>443</v>
      </c>
      <c r="E546" s="21" t="str">
        <f t="shared" si="58"/>
        <v/>
      </c>
      <c r="F546" s="22" t="str">
        <f>IF(OR(E546="",E546="!!!"),"",IF(NOT(ISNA(VLOOKUP(E546,E$1:E545,1,FALSE()))),"OLD",IF(AND(E546&lt;&gt;"",E546&lt;&gt;"!!!"),"NEW","")))</f>
        <v/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/>
      </c>
      <c r="H546" s="24" t="str">
        <f t="shared" ca="1" si="59"/>
        <v/>
      </c>
      <c r="I546" s="25" t="str">
        <f>IF(OR(E546="",E546="!!!",F546="NEW"),"",INDEX(B$2:B545,-1+SUMPRODUCT(MAX(ROW(E$2:E545)*(E546=E$2:E545)))))</f>
        <v/>
      </c>
      <c r="J546" s="25" t="str">
        <f ca="1">IF(OR(E546="",E546="!!!",F546="NEW"),"",COUNTBLANK(OFFSET(A$1,,,SUMPRODUCT(MAX(ROW(E$2:E546)*(E546=E$2:E546)))))-COUNTBLANK(OFFSET(A$1,,,SUMPRODUCT(MAX(ROW(E$1:E545)*(E2=E$1:E545))))))</f>
        <v/>
      </c>
      <c r="K546" s="25" t="str">
        <f>IF(OR(E546="",E546="!!!",F546="NEW"),"",INDEX(J$1:J545,SUMPRODUCT(MAX(ROW(E$1:E545)*(E546=E$1:E545)))))</f>
        <v/>
      </c>
      <c r="L546" s="26"/>
    </row>
    <row r="547" spans="1:12" x14ac:dyDescent="0.3">
      <c r="A547" t="s">
        <v>206</v>
      </c>
      <c r="E547" s="21" t="str">
        <f t="shared" si="58"/>
        <v/>
      </c>
      <c r="F547" s="22" t="str">
        <f>IF(OR(E547="",E547="!!!"),"",IF(NOT(ISNA(VLOOKUP(E547,E$1:E546,1,FALSE()))),"OLD",IF(AND(E547&lt;&gt;"",E547&lt;&gt;"!!!"),"NEW","")))</f>
        <v/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/>
      </c>
      <c r="H547" s="24" t="str">
        <f t="shared" ca="1" si="59"/>
        <v/>
      </c>
      <c r="I547" s="25" t="str">
        <f>IF(OR(E547="",E547="!!!",F547="NEW"),"",INDEX(B$2:B546,-1+SUMPRODUCT(MAX(ROW(E$2:E546)*(E547=E$2:E546)))))</f>
        <v/>
      </c>
      <c r="J547" s="25" t="str">
        <f ca="1">IF(OR(E547="",E547="!!!",F547="NEW"),"",COUNTBLANK(OFFSET(A$1,,,SUMPRODUCT(MAX(ROW(E$2:E547)*(E547=E$2:E547)))))-COUNTBLANK(OFFSET(A$1,,,SUMPRODUCT(MAX(ROW(E$1:E546)*(E2=E$1:E546))))))</f>
        <v/>
      </c>
      <c r="K547" s="25" t="str">
        <f>IF(OR(E547="",E547="!!!",F547="NEW"),"",INDEX(J$1:J546,SUMPRODUCT(MAX(ROW(E$1:E546)*(E547=E$1:E546)))))</f>
        <v/>
      </c>
      <c r="L547" s="26"/>
    </row>
    <row r="548" spans="1:12" x14ac:dyDescent="0.3">
      <c r="A548" t="s">
        <v>207</v>
      </c>
      <c r="E548" s="21" t="str">
        <f t="shared" si="58"/>
        <v/>
      </c>
      <c r="F548" s="22" t="str">
        <f>IF(OR(E548="",E548="!!!"),"",IF(NOT(ISNA(VLOOKUP(E548,E$1:E547,1,FALSE()))),"OLD",IF(AND(E548&lt;&gt;"",E548&lt;&gt;"!!!"),"NEW","")))</f>
        <v/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/>
      </c>
      <c r="H548" s="24" t="str">
        <f t="shared" ca="1" si="59"/>
        <v/>
      </c>
      <c r="I548" s="25" t="str">
        <f>IF(OR(E548="",E548="!!!",F548="NEW"),"",INDEX(B$2:B547,-1+SUMPRODUCT(MAX(ROW(E$2:E547)*(E548=E$2:E547)))))</f>
        <v/>
      </c>
      <c r="J548" s="25" t="str">
        <f ca="1">IF(OR(E548="",E548="!!!",F548="NEW"),"",COUNTBLANK(OFFSET(A$1,,,SUMPRODUCT(MAX(ROW(E$2:E548)*(E548=E$2:E548)))))-COUNTBLANK(OFFSET(A$1,,,SUMPRODUCT(MAX(ROW(E$1:E547)*(E2=E$1:E547))))))</f>
        <v/>
      </c>
      <c r="K548" s="25" t="str">
        <f>IF(OR(E548="",E548="!!!",F548="NEW"),"",INDEX(J$1:J547,SUMPRODUCT(MAX(ROW(E$1:E547)*(E548=E$1:E547)))))</f>
        <v/>
      </c>
      <c r="L548" s="26"/>
    </row>
    <row r="549" spans="1:12" x14ac:dyDescent="0.3">
      <c r="A549" t="s">
        <v>241</v>
      </c>
      <c r="B549" s="20" t="s">
        <v>209</v>
      </c>
      <c r="C549" s="20" t="s">
        <v>242</v>
      </c>
      <c r="D549" s="20" t="s">
        <v>171</v>
      </c>
      <c r="E549" s="21"/>
      <c r="F549" s="22" t="s">
        <v>471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/>
      </c>
      <c r="H549" s="24" t="str">
        <f t="shared" ca="1" si="59"/>
        <v/>
      </c>
      <c r="I549" s="25" t="str">
        <f>IF(OR(E549="",E549="!!!",F549="NEW"),"",INDEX(B$2:B548,-1+SUMPRODUCT(MAX(ROW(E$2:E548)*(E549=E$2:E548)))))</f>
        <v/>
      </c>
      <c r="J549" s="25" t="str">
        <f ca="1">IF(OR(E549="",E549="!!!",F549="NEW"),"",COUNTBLANK(OFFSET(A$1,,,SUMPRODUCT(MAX(ROW(E$2:E549)*(E549=E$2:E549)))))-COUNTBLANK(OFFSET(A$1,,,SUMPRODUCT(MAX(ROW(E$1:E548)*(E2=E$1:E548))))))</f>
        <v/>
      </c>
      <c r="K549" s="25" t="str">
        <f>IF(OR(E549="",E549="!!!",F549="NEW"),"",INDEX(J$1:J548,SUMPRODUCT(MAX(ROW(E$1:E548)*(E549=E$1:E548)))))</f>
        <v/>
      </c>
      <c r="L549" s="26"/>
    </row>
    <row r="550" spans="1:12" x14ac:dyDescent="0.3">
      <c r="A550" t="s">
        <v>308</v>
      </c>
      <c r="E550" s="21" t="str">
        <f t="shared" si="58"/>
        <v/>
      </c>
      <c r="F550" s="22" t="str">
        <f>IF(OR(E550="",E550="!!!"),"",IF(NOT(ISNA(VLOOKUP(E550,E$1:E549,1,FALSE()))),"OLD",IF(AND(E550&lt;&gt;"",E550&lt;&gt;"!!!"),"NEW","")))</f>
        <v/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/>
      </c>
      <c r="H550" s="24" t="str">
        <f t="shared" ca="1" si="59"/>
        <v/>
      </c>
      <c r="I550" s="25" t="str">
        <f>IF(OR(E550="",E550="!!!",F550="NEW"),"",INDEX(B$2:B549,-1+SUMPRODUCT(MAX(ROW(E$2:E549)*(E550=E$2:E549)))))</f>
        <v/>
      </c>
      <c r="J550" s="25" t="str">
        <f ca="1">IF(OR(E550="",E550="!!!",F550="NEW"),"",COUNTBLANK(OFFSET(A$1,,,SUMPRODUCT(MAX(ROW(E$2:E550)*(E550=E$2:E550)))))-COUNTBLANK(OFFSET(A$1,,,SUMPRODUCT(MAX(ROW(E$1:E549)*(E2=E$1:E549))))))</f>
        <v/>
      </c>
      <c r="K550" s="25" t="str">
        <f>IF(OR(E550="",E550="!!!",F550="NEW"),"",INDEX(J$1:J549,SUMPRODUCT(MAX(ROW(E$1:E549)*(E550=E$1:E549)))))</f>
        <v/>
      </c>
      <c r="L550" s="26"/>
    </row>
    <row r="551" spans="1:12" x14ac:dyDescent="0.3">
      <c r="A551" t="s">
        <v>444</v>
      </c>
      <c r="B551" s="20" t="s">
        <v>209</v>
      </c>
      <c r="C551" s="20" t="s">
        <v>175</v>
      </c>
      <c r="E551" s="21" t="str">
        <f t="shared" si="58"/>
        <v/>
      </c>
      <c r="F551" s="22" t="str">
        <f>IF(OR(E551="",E551="!!!"),"",IF(NOT(ISNA(VLOOKUP(E551,E$1:E550,1,FALSE()))),"OLD",IF(AND(E551&lt;&gt;"",E551&lt;&gt;"!!!"),"NEW","")))</f>
        <v/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/>
      </c>
      <c r="H551" s="24" t="str">
        <f t="shared" ca="1" si="59"/>
        <v/>
      </c>
      <c r="I551" s="25" t="str">
        <f>IF(OR(E551="",E551="!!!",F551="NEW"),"",INDEX(B$2:B550,-1+SUMPRODUCT(MAX(ROW(E$2:E550)*(E551=E$2:E550)))))</f>
        <v/>
      </c>
      <c r="J551" s="25" t="str">
        <f ca="1">IF(OR(E551="",E551="!!!",F551="NEW"),"",COUNTBLANK(OFFSET(A$1,,,SUMPRODUCT(MAX(ROW(E$2:E551)*(E551=E$2:E551)))))-COUNTBLANK(OFFSET(A$1,,,SUMPRODUCT(MAX(ROW(E$1:E550)*(E2=E$1:E550))))))</f>
        <v/>
      </c>
      <c r="K551" s="25" t="str">
        <f>IF(OR(E551="",E551="!!!",F551="NEW"),"",INDEX(J$1:J550,SUMPRODUCT(MAX(ROW(E$1:E550)*(E551=E$1:E550)))))</f>
        <v/>
      </c>
      <c r="L551" s="26"/>
    </row>
    <row r="552" spans="1:12" x14ac:dyDescent="0.3">
      <c r="A552" t="s">
        <v>192</v>
      </c>
      <c r="E552" s="21" t="str">
        <f t="shared" si="58"/>
        <v/>
      </c>
      <c r="F552" s="22" t="str">
        <f>IF(OR(E552="",E552="!!!"),"",IF(NOT(ISNA(VLOOKUP(E552,E$1:E551,1,FALSE()))),"OLD",IF(AND(E552&lt;&gt;"",E552&lt;&gt;"!!!"),"NEW","")))</f>
        <v/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/>
      </c>
      <c r="H552" s="24" t="str">
        <f t="shared" ca="1" si="59"/>
        <v/>
      </c>
      <c r="I552" s="25" t="str">
        <f>IF(OR(E552="",E552="!!!",F552="NEW"),"",INDEX(B$2:B551,-1+SUMPRODUCT(MAX(ROW(E$2:E551)*(E552=E$2:E551)))))</f>
        <v/>
      </c>
      <c r="J552" s="25" t="str">
        <f ca="1">IF(OR(E552="",E552="!!!",F552="NEW"),"",COUNTBLANK(OFFSET(A$1,,,SUMPRODUCT(MAX(ROW(E$2:E552)*(E552=E$2:E552)))))-COUNTBLANK(OFFSET(A$1,,,SUMPRODUCT(MAX(ROW(E$1:E551)*(E2=E$1:E551))))))</f>
        <v/>
      </c>
      <c r="K552" s="25" t="str">
        <f>IF(OR(E552="",E552="!!!",F552="NEW"),"",INDEX(J$1:J551,SUMPRODUCT(MAX(ROW(E$1:E551)*(E552=E$1:E551)))))</f>
        <v/>
      </c>
      <c r="L552" s="26"/>
    </row>
    <row r="553" spans="1:12" x14ac:dyDescent="0.3">
      <c r="A553" t="s">
        <v>223</v>
      </c>
      <c r="E553" s="21" t="str">
        <f t="shared" si="58"/>
        <v/>
      </c>
      <c r="F553" s="22" t="str">
        <f>IF(OR(E553="",E553="!!!"),"",IF(NOT(ISNA(VLOOKUP(E553,E$1:E552,1,FALSE()))),"OLD",IF(AND(E553&lt;&gt;"",E553&lt;&gt;"!!!"),"NEW","")))</f>
        <v/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/>
      </c>
      <c r="H553" s="24" t="str">
        <f t="shared" ca="1" si="59"/>
        <v/>
      </c>
      <c r="I553" s="25" t="str">
        <f>IF(OR(E553="",E553="!!!",F553="NEW"),"",INDEX(B$2:B552,-1+SUMPRODUCT(MAX(ROW(E$2:E552)*(E553=E$2:E552)))))</f>
        <v/>
      </c>
      <c r="J553" s="25" t="str">
        <f ca="1">IF(OR(E553="",E553="!!!",F553="NEW"),"",COUNTBLANK(OFFSET(A$1,,,SUMPRODUCT(MAX(ROW(E$2:E553)*(E553=E$2:E553)))))-COUNTBLANK(OFFSET(A$1,,,SUMPRODUCT(MAX(ROW(E$1:E552)*(E2=E$1:E552))))))</f>
        <v/>
      </c>
      <c r="K553" s="25" t="str">
        <f>IF(OR(E553="",E553="!!!",F553="NEW"),"",INDEX(J$1:J552,SUMPRODUCT(MAX(ROW(E$1:E552)*(E553=E$1:E552)))))</f>
        <v/>
      </c>
      <c r="L553" s="26"/>
    </row>
    <row r="554" spans="1:12" x14ac:dyDescent="0.3">
      <c r="A554" t="s">
        <v>445</v>
      </c>
      <c r="B554" s="20" t="s">
        <v>182</v>
      </c>
      <c r="C554" s="20" t="s">
        <v>195</v>
      </c>
      <c r="D554" s="20" t="s">
        <v>171</v>
      </c>
      <c r="E554" s="21" t="s">
        <v>511</v>
      </c>
      <c r="F554" s="22" t="str">
        <f>IF(OR(E554="",E554="!!!"),"",IF(NOT(ISNA(VLOOKUP(E554,E$1:E553,1,FALSE()))),"OLD",IF(AND(E554&lt;&gt;"",E554&lt;&gt;"!!!"),"NEW","")))</f>
        <v>OLD</v>
      </c>
      <c r="G554" s="23" t="s">
        <v>509</v>
      </c>
      <c r="H554" s="24" t="str">
        <f t="shared" ca="1" si="59"/>
        <v/>
      </c>
      <c r="I554" s="25" t="str">
        <f>IF(OR(E554="",E554="!!!",F554="NEW"),"",INDEX(B$2:B553,-1+SUMPRODUCT(MAX(ROW(E$2:E553)*(E554=E$2:E553)))))</f>
        <v>SBJ</v>
      </c>
      <c r="J554" s="25">
        <f ca="1">IF(OR(E554="",E554="!!!",F554="NEW"),"",COUNTBLANK(OFFSET(A$1,,,SUMPRODUCT(MAX(ROW(E$2:E554)*(E554=E$2:E554)))))-COUNTBLANK(OFFSET(A$1,,,SUMPRODUCT(MAX(ROW(E$1:E553)*(E2=E$1:E553))))))</f>
        <v>0</v>
      </c>
      <c r="K554" s="25" t="str">
        <f ca="1">IF(OR(E554="",E554="!!!",F554="NEW"),"",INDEX(J$1:J553,SUMPRODUCT(MAX(ROW(E$1:E553)*(E554=E$1:E553)))))</f>
        <v/>
      </c>
      <c r="L554" s="26"/>
    </row>
    <row r="555" spans="1:12" x14ac:dyDescent="0.3">
      <c r="A555" t="s">
        <v>133</v>
      </c>
      <c r="E555" s="21" t="str">
        <f t="shared" si="58"/>
        <v/>
      </c>
      <c r="F555" s="22" t="str">
        <f>IF(OR(E555="",E555="!!!"),"",IF(NOT(ISNA(VLOOKUP(E555,E$1:E554,1,FALSE()))),"OLD",IF(AND(E555&lt;&gt;"",E555&lt;&gt;"!!!"),"NEW","")))</f>
        <v/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/>
      </c>
      <c r="H555" s="24" t="str">
        <f t="shared" ca="1" si="59"/>
        <v/>
      </c>
      <c r="I555" s="25" t="str">
        <f>IF(OR(E555="",E555="!!!",F555="NEW"),"",INDEX(B$2:B554,-1+SUMPRODUCT(MAX(ROW(E$2:E554)*(E555=E$2:E554)))))</f>
        <v/>
      </c>
      <c r="J555" s="25" t="str">
        <f ca="1">IF(OR(E555="",E555="!!!",F555="NEW"),"",COUNTBLANK(OFFSET(A$1,,,SUMPRODUCT(MAX(ROW(E$2:E555)*(E555=E$2:E555)))))-COUNTBLANK(OFFSET(A$1,,,SUMPRODUCT(MAX(ROW(E$1:E554)*(E2=E$1:E554))))))</f>
        <v/>
      </c>
      <c r="K555" s="25" t="str">
        <f>IF(OR(E555="",E555="!!!",F555="NEW"),"",INDEX(J$1:J554,SUMPRODUCT(MAX(ROW(E$1:E554)*(E555=E$1:E554)))))</f>
        <v/>
      </c>
      <c r="L555" s="26"/>
    </row>
    <row r="556" spans="1:12" x14ac:dyDescent="0.3">
      <c r="A556" t="s">
        <v>218</v>
      </c>
      <c r="E556" s="21" t="str">
        <f t="shared" si="58"/>
        <v/>
      </c>
      <c r="F556" s="22" t="str">
        <f>IF(OR(E556="",E556="!!!"),"",IF(NOT(ISNA(VLOOKUP(E556,E$1:E555,1,FALSE()))),"OLD",IF(AND(E556&lt;&gt;"",E556&lt;&gt;"!!!"),"NEW","")))</f>
        <v/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/>
      </c>
      <c r="H556" s="24" t="str">
        <f t="shared" ca="1" si="59"/>
        <v/>
      </c>
      <c r="I556" s="25" t="str">
        <f>IF(OR(E556="",E556="!!!",F556="NEW"),"",INDEX(B$2:B555,-1+SUMPRODUCT(MAX(ROW(E$2:E555)*(E556=E$2:E555)))))</f>
        <v/>
      </c>
      <c r="J556" s="25" t="str">
        <f ca="1">IF(OR(E556="",E556="!!!",F556="NEW"),"",COUNTBLANK(OFFSET(A$1,,,SUMPRODUCT(MAX(ROW(E$2:E556)*(E556=E$2:E556)))))-COUNTBLANK(OFFSET(A$1,,,SUMPRODUCT(MAX(ROW(E$1:E555)*(E2=E$1:E555))))))</f>
        <v/>
      </c>
      <c r="K556" s="25" t="str">
        <f>IF(OR(E556="",E556="!!!",F556="NEW"),"",INDEX(J$1:J555,SUMPRODUCT(MAX(ROW(E$1:E555)*(E556=E$1:E555)))))</f>
        <v/>
      </c>
      <c r="L556" s="26"/>
    </row>
    <row r="557" spans="1:12" x14ac:dyDescent="0.3">
      <c r="A557" t="s">
        <v>197</v>
      </c>
      <c r="E557" s="21" t="str">
        <f t="shared" si="58"/>
        <v/>
      </c>
      <c r="F557" s="22" t="str">
        <f>IF(OR(E557="",E557="!!!"),"",IF(NOT(ISNA(VLOOKUP(E557,E$1:E556,1,FALSE()))),"OLD",IF(AND(E557&lt;&gt;"",E557&lt;&gt;"!!!"),"NEW","")))</f>
        <v/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/>
      </c>
      <c r="H557" s="24" t="str">
        <f t="shared" ca="1" si="59"/>
        <v/>
      </c>
      <c r="I557" s="25" t="str">
        <f>IF(OR(E557="",E557="!!!",F557="NEW"),"",INDEX(B$2:B556,-1+SUMPRODUCT(MAX(ROW(E$2:E556)*(E557=E$2:E556)))))</f>
        <v/>
      </c>
      <c r="J557" s="25" t="str">
        <f ca="1">IF(OR(E557="",E557="!!!",F557="NEW"),"",COUNTBLANK(OFFSET(A$1,,,SUMPRODUCT(MAX(ROW(E$2:E557)*(E557=E$2:E557)))))-COUNTBLANK(OFFSET(A$1,,,SUMPRODUCT(MAX(ROW(E$1:E556)*(E2=E$1:E556))))))</f>
        <v/>
      </c>
      <c r="K557" s="25" t="str">
        <f>IF(OR(E557="",E557="!!!",F557="NEW"),"",INDEX(J$1:J556,SUMPRODUCT(MAX(ROW(E$1:E556)*(E557=E$1:E556)))))</f>
        <v/>
      </c>
      <c r="L557" s="26"/>
    </row>
    <row r="559" spans="1:12" x14ac:dyDescent="0.3">
      <c r="A559" t="s">
        <v>219</v>
      </c>
      <c r="E559" s="21" t="str">
        <f>IF(D559="?OLD","!!!","")</f>
        <v/>
      </c>
      <c r="F559" s="22" t="str">
        <f>IF(OR(E559="",E559="!!!"),"",IF(NOT(ISNA(VLOOKUP(E559,E$1:E558,1,FALSE()))),"OLD",IF(AND(E559&lt;&gt;"",E559&lt;&gt;"!!!"),"NEW","")))</f>
        <v/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/>
      </c>
      <c r="H559" s="24" t="str">
        <f ca="1">IF(J559&lt;&gt;1,"",IF(I559="SBJ","CB","?"))</f>
        <v/>
      </c>
      <c r="I559" s="25" t="str">
        <f>IF(OR(E559="",E559="!!!",F559="NEW"),"",INDEX(B$2:B558,-1+SUMPRODUCT(MAX(ROW(E$2:E558)*(E559=E$2:E558)))))</f>
        <v/>
      </c>
      <c r="J559" s="25" t="str">
        <f ca="1">IF(OR(E559="",E559="!!!",F559="NEW"),"",COUNTBLANK(OFFSET(A$1,,,SUMPRODUCT(MAX(ROW(E$2:E559)*(E559=E$2:E559)))))-COUNTBLANK(OFFSET(A$1,,,SUMPRODUCT(MAX(ROW(E$1:E558)*(E2=E$1:E558))))))</f>
        <v/>
      </c>
      <c r="K559" s="25" t="str">
        <f>IF(OR(E559="",E559="!!!",F559="NEW"),"",INDEX(J$1:J558,SUMPRODUCT(MAX(ROW(E$1:E558)*(E559=E$1:E558)))))</f>
        <v/>
      </c>
      <c r="L559" s="26"/>
    </row>
    <row r="560" spans="1:12" x14ac:dyDescent="0.3">
      <c r="A560" t="s">
        <v>446</v>
      </c>
    </row>
    <row r="561" spans="1:12" x14ac:dyDescent="0.3">
      <c r="A561" t="s">
        <v>254</v>
      </c>
      <c r="B561" s="20" t="s">
        <v>166</v>
      </c>
      <c r="C561" s="20" t="s">
        <v>175</v>
      </c>
      <c r="E561" s="21" t="str">
        <f t="shared" ref="E561:E579" si="60">IF(D561="?OLD","!!!","")</f>
        <v/>
      </c>
      <c r="F561" s="22" t="str">
        <f>IF(OR(E561="",E561="!!!"),"",IF(NOT(ISNA(VLOOKUP(E561,E$1:E560,1,FALSE()))),"OLD",IF(AND(E561&lt;&gt;"",E561&lt;&gt;"!!!"),"NEW","")))</f>
        <v/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/>
      </c>
      <c r="H561" s="24" t="str">
        <f t="shared" ref="H561:H579" ca="1" si="61">IF(J561&lt;&gt;1,"",IF(I561="SBJ","CB","?"))</f>
        <v/>
      </c>
      <c r="I561" s="25" t="str">
        <f>IF(OR(E561="",E561="!!!",F561="NEW"),"",INDEX(B$2:B560,-1+SUMPRODUCT(MAX(ROW(E$2:E560)*(E561=E$2:E560)))))</f>
        <v/>
      </c>
      <c r="J561" s="25" t="str">
        <f ca="1">IF(OR(E561="",E561="!!!",F561="NEW"),"",COUNTBLANK(OFFSET(A$1,,,SUMPRODUCT(MAX(ROW(E$2:E561)*(E561=E$2:E561)))))-COUNTBLANK(OFFSET(A$1,,,SUMPRODUCT(MAX(ROW(E$1:E560)*(E2=E$1:E560))))))</f>
        <v/>
      </c>
      <c r="K561" s="25" t="str">
        <f>IF(OR(E561="",E561="!!!",F561="NEW"),"",INDEX(J$1:J560,SUMPRODUCT(MAX(ROW(E$1:E560)*(E561=E$1:E560)))))</f>
        <v/>
      </c>
      <c r="L561" s="26"/>
    </row>
    <row r="562" spans="1:12" x14ac:dyDescent="0.3">
      <c r="A562" t="s">
        <v>447</v>
      </c>
      <c r="B562" s="20" t="s">
        <v>182</v>
      </c>
      <c r="C562" s="20" t="s">
        <v>170</v>
      </c>
      <c r="D562" s="20" t="s">
        <v>171</v>
      </c>
      <c r="E562" s="21" t="s">
        <v>481</v>
      </c>
      <c r="F562" s="22" t="str">
        <f>IF(OR(E562="",E562="!!!"),"",IF(NOT(ISNA(VLOOKUP(E562,E$1:E561,1,FALSE()))),"OLD",IF(AND(E562&lt;&gt;"",E562&lt;&gt;"!!!"),"NEW","")))</f>
        <v>NEW</v>
      </c>
      <c r="G562" s="23" t="s">
        <v>510</v>
      </c>
      <c r="H562" s="24" t="str">
        <f t="shared" ca="1" si="61"/>
        <v/>
      </c>
      <c r="I562" s="25" t="str">
        <f>IF(OR(E562="",E562="!!!",F562="NEW"),"",INDEX(B$2:B561,-1+SUMPRODUCT(MAX(ROW(E$2:E561)*(E562=E$2:E561)))))</f>
        <v/>
      </c>
      <c r="J562" s="25" t="str">
        <f ca="1">IF(OR(E562="",E562="!!!",F562="NEW"),"",COUNTBLANK(OFFSET(A$1,,,SUMPRODUCT(MAX(ROW(E$2:E562)*(E562=E$2:E562)))))-COUNTBLANK(OFFSET(A$1,,,SUMPRODUCT(MAX(ROW(E$1:E561)*(E2=E$1:E561))))))</f>
        <v/>
      </c>
      <c r="K562" s="25" t="str">
        <f>IF(OR(E562="",E562="!!!",F562="NEW"),"",INDEX(J$1:J561,SUMPRODUCT(MAX(ROW(E$1:E561)*(E562=E$1:E561)))))</f>
        <v/>
      </c>
      <c r="L562" s="26"/>
    </row>
    <row r="563" spans="1:12" x14ac:dyDescent="0.3">
      <c r="A563" t="s">
        <v>448</v>
      </c>
      <c r="E563" s="21" t="str">
        <f t="shared" si="60"/>
        <v/>
      </c>
      <c r="F563" s="22" t="str">
        <f>IF(OR(E563="",E563="!!!"),"",IF(NOT(ISNA(VLOOKUP(E563,E$1:E562,1,FALSE()))),"OLD",IF(AND(E563&lt;&gt;"",E563&lt;&gt;"!!!"),"NEW","")))</f>
        <v/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/>
      </c>
      <c r="H563" s="24" t="str">
        <f t="shared" ca="1" si="61"/>
        <v/>
      </c>
      <c r="I563" s="25" t="str">
        <f>IF(OR(E563="",E563="!!!",F563="NEW"),"",INDEX(B$2:B562,-1+SUMPRODUCT(MAX(ROW(E$2:E562)*(E563=E$2:E562)))))</f>
        <v/>
      </c>
      <c r="J563" s="25" t="str">
        <f ca="1">IF(OR(E563="",E563="!!!",F563="NEW"),"",COUNTBLANK(OFFSET(A$1,,,SUMPRODUCT(MAX(ROW(E$2:E563)*(E563=E$2:E563)))))-COUNTBLANK(OFFSET(A$1,,,SUMPRODUCT(MAX(ROW(E$1:E562)*(E2=E$1:E562))))))</f>
        <v/>
      </c>
      <c r="K563" s="25" t="str">
        <f>IF(OR(E563="",E563="!!!",F563="NEW"),"",INDEX(J$1:J562,SUMPRODUCT(MAX(ROW(E$1:E562)*(E563=E$1:E562)))))</f>
        <v/>
      </c>
      <c r="L563" s="26"/>
    </row>
    <row r="564" spans="1:12" x14ac:dyDescent="0.3">
      <c r="A564" t="s">
        <v>259</v>
      </c>
      <c r="E564" s="21" t="str">
        <f t="shared" si="60"/>
        <v/>
      </c>
      <c r="F564" s="22" t="str">
        <f>IF(OR(E564="",E564="!!!"),"",IF(NOT(ISNA(VLOOKUP(E564,E$1:E563,1,FALSE()))),"OLD",IF(AND(E564&lt;&gt;"",E564&lt;&gt;"!!!"),"NEW","")))</f>
        <v/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/>
      </c>
      <c r="H564" s="24" t="str">
        <f t="shared" ca="1" si="61"/>
        <v/>
      </c>
      <c r="I564" s="25" t="str">
        <f>IF(OR(E564="",E564="!!!",F564="NEW"),"",INDEX(B$2:B563,-1+SUMPRODUCT(MAX(ROW(E$2:E563)*(E564=E$2:E563)))))</f>
        <v/>
      </c>
      <c r="J564" s="25" t="str">
        <f ca="1">IF(OR(E564="",E564="!!!",F564="NEW"),"",COUNTBLANK(OFFSET(A$1,,,SUMPRODUCT(MAX(ROW(E$2:E564)*(E564=E$2:E564)))))-COUNTBLANK(OFFSET(A$1,,,SUMPRODUCT(MAX(ROW(E$1:E563)*(E2=E$1:E563))))))</f>
        <v/>
      </c>
      <c r="K564" s="25" t="str">
        <f>IF(OR(E564="",E564="!!!",F564="NEW"),"",INDEX(J$1:J563,SUMPRODUCT(MAX(ROW(E$1:E563)*(E564=E$1:E563)))))</f>
        <v/>
      </c>
      <c r="L564" s="26"/>
    </row>
    <row r="565" spans="1:12" x14ac:dyDescent="0.3">
      <c r="A565" t="s">
        <v>185</v>
      </c>
      <c r="E565" s="21" t="str">
        <f t="shared" si="60"/>
        <v/>
      </c>
      <c r="F565" s="22" t="str">
        <f>IF(OR(E565="",E565="!!!"),"",IF(NOT(ISNA(VLOOKUP(E565,E$1:E564,1,FALSE()))),"OLD",IF(AND(E565&lt;&gt;"",E565&lt;&gt;"!!!"),"NEW","")))</f>
        <v/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/>
      </c>
      <c r="H565" s="24" t="str">
        <f t="shared" ca="1" si="61"/>
        <v/>
      </c>
      <c r="I565" s="25" t="str">
        <f>IF(OR(E565="",E565="!!!",F565="NEW"),"",INDEX(B$2:B564,-1+SUMPRODUCT(MAX(ROW(E$2:E564)*(E565=E$2:E564)))))</f>
        <v/>
      </c>
      <c r="J565" s="25" t="str">
        <f ca="1">IF(OR(E565="",E565="!!!",F565="NEW"),"",COUNTBLANK(OFFSET(A$1,,,SUMPRODUCT(MAX(ROW(E$2:E565)*(E565=E$2:E565)))))-COUNTBLANK(OFFSET(A$1,,,SUMPRODUCT(MAX(ROW(E$1:E564)*(E2=E$1:E564))))))</f>
        <v/>
      </c>
      <c r="K565" s="25" t="str">
        <f>IF(OR(E565="",E565="!!!",F565="NEW"),"",INDEX(J$1:J564,SUMPRODUCT(MAX(ROW(E$1:E564)*(E565=E$1:E564)))))</f>
        <v/>
      </c>
      <c r="L565" s="26"/>
    </row>
    <row r="566" spans="1:12" x14ac:dyDescent="0.3">
      <c r="A566" t="s">
        <v>226</v>
      </c>
      <c r="E566" s="21" t="str">
        <f t="shared" si="60"/>
        <v/>
      </c>
      <c r="F566" s="22" t="str">
        <f>IF(OR(E566="",E566="!!!"),"",IF(NOT(ISNA(VLOOKUP(E566,E$1:E565,1,FALSE()))),"OLD",IF(AND(E566&lt;&gt;"",E566&lt;&gt;"!!!"),"NEW","")))</f>
        <v/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/>
      </c>
      <c r="H566" s="24" t="str">
        <f t="shared" ca="1" si="61"/>
        <v/>
      </c>
      <c r="I566" s="25" t="str">
        <f>IF(OR(E566="",E566="!!!",F566="NEW"),"",INDEX(B$2:B565,-1+SUMPRODUCT(MAX(ROW(E$2:E565)*(E566=E$2:E565)))))</f>
        <v/>
      </c>
      <c r="J566" s="25" t="str">
        <f ca="1">IF(OR(E566="",E566="!!!",F566="NEW"),"",COUNTBLANK(OFFSET(A$1,,,SUMPRODUCT(MAX(ROW(E$2:E566)*(E566=E$2:E566)))))-COUNTBLANK(OFFSET(A$1,,,SUMPRODUCT(MAX(ROW(E$1:E565)*(E2=E$1:E565))))))</f>
        <v/>
      </c>
      <c r="K566" s="25" t="str">
        <f>IF(OR(E566="",E566="!!!",F566="NEW"),"",INDEX(J$1:J565,SUMPRODUCT(MAX(ROW(E$1:E565)*(E566=E$1:E565)))))</f>
        <v/>
      </c>
      <c r="L566" s="26"/>
    </row>
    <row r="567" spans="1:12" x14ac:dyDescent="0.3">
      <c r="A567" t="s">
        <v>449</v>
      </c>
      <c r="E567" s="21" t="str">
        <f t="shared" si="60"/>
        <v/>
      </c>
      <c r="F567" s="22" t="str">
        <f>IF(OR(E567="",E567="!!!"),"",IF(NOT(ISNA(VLOOKUP(E567,E$1:E566,1,FALSE()))),"OLD",IF(AND(E567&lt;&gt;"",E567&lt;&gt;"!!!"),"NEW","")))</f>
        <v/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/>
      </c>
      <c r="H567" s="24" t="str">
        <f t="shared" ca="1" si="61"/>
        <v/>
      </c>
      <c r="I567" s="25" t="str">
        <f>IF(OR(E567="",E567="!!!",F567="NEW"),"",INDEX(B$2:B566,-1+SUMPRODUCT(MAX(ROW(E$2:E566)*(E567=E$2:E566)))))</f>
        <v/>
      </c>
      <c r="J567" s="25" t="str">
        <f ca="1">IF(OR(E567="",E567="!!!",F567="NEW"),"",COUNTBLANK(OFFSET(A$1,,,SUMPRODUCT(MAX(ROW(E$2:E567)*(E567=E$2:E567)))))-COUNTBLANK(OFFSET(A$1,,,SUMPRODUCT(MAX(ROW(E$1:E566)*(E2=E$1:E566))))))</f>
        <v/>
      </c>
      <c r="K567" s="25" t="str">
        <f>IF(OR(E567="",E567="!!!",F567="NEW"),"",INDEX(J$1:J566,SUMPRODUCT(MAX(ROW(E$1:E566)*(E567=E$1:E566)))))</f>
        <v/>
      </c>
      <c r="L567" s="26"/>
    </row>
    <row r="568" spans="1:12" x14ac:dyDescent="0.3">
      <c r="A568" t="s">
        <v>335</v>
      </c>
      <c r="E568" s="21" t="str">
        <f t="shared" si="60"/>
        <v/>
      </c>
      <c r="F568" s="22" t="str">
        <f>IF(OR(E568="",E568="!!!"),"",IF(NOT(ISNA(VLOOKUP(E568,E$1:E567,1,FALSE()))),"OLD",IF(AND(E568&lt;&gt;"",E568&lt;&gt;"!!!"),"NEW","")))</f>
        <v/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/>
      </c>
      <c r="H568" s="24" t="str">
        <f t="shared" ca="1" si="61"/>
        <v/>
      </c>
      <c r="I568" s="25" t="str">
        <f>IF(OR(E568="",E568="!!!",F568="NEW"),"",INDEX(B$2:B567,-1+SUMPRODUCT(MAX(ROW(E$2:E567)*(E568=E$2:E567)))))</f>
        <v/>
      </c>
      <c r="J568" s="25" t="str">
        <f ca="1">IF(OR(E568="",E568="!!!",F568="NEW"),"",COUNTBLANK(OFFSET(A$1,,,SUMPRODUCT(MAX(ROW(E$2:E568)*(E568=E$2:E568)))))-COUNTBLANK(OFFSET(A$1,,,SUMPRODUCT(MAX(ROW(E$1:E567)*(E2=E$1:E567))))))</f>
        <v/>
      </c>
      <c r="K568" s="25" t="str">
        <f>IF(OR(E568="",E568="!!!",F568="NEW"),"",INDEX(J$1:J567,SUMPRODUCT(MAX(ROW(E$1:E567)*(E568=E$1:E567)))))</f>
        <v/>
      </c>
      <c r="L568" s="26"/>
    </row>
    <row r="569" spans="1:12" x14ac:dyDescent="0.3">
      <c r="A569" t="s">
        <v>450</v>
      </c>
      <c r="E569" s="21" t="str">
        <f t="shared" si="60"/>
        <v/>
      </c>
      <c r="F569" s="22" t="str">
        <f>IF(OR(E569="",E569="!!!"),"",IF(NOT(ISNA(VLOOKUP(E569,E$1:E568,1,FALSE()))),"OLD",IF(AND(E569&lt;&gt;"",E569&lt;&gt;"!!!"),"NEW","")))</f>
        <v/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/>
      </c>
      <c r="H569" s="24" t="str">
        <f t="shared" ca="1" si="61"/>
        <v/>
      </c>
      <c r="I569" s="25" t="str">
        <f>IF(OR(E569="",E569="!!!",F569="NEW"),"",INDEX(B$2:B568,-1+SUMPRODUCT(MAX(ROW(E$2:E568)*(E569=E$2:E568)))))</f>
        <v/>
      </c>
      <c r="J569" s="25" t="str">
        <f ca="1">IF(OR(E569="",E569="!!!",F569="NEW"),"",COUNTBLANK(OFFSET(A$1,,,SUMPRODUCT(MAX(ROW(E$2:E569)*(E569=E$2:E569)))))-COUNTBLANK(OFFSET(A$1,,,SUMPRODUCT(MAX(ROW(E$1:E568)*(E2=E$1:E568))))))</f>
        <v/>
      </c>
      <c r="K569" s="25" t="str">
        <f>IF(OR(E569="",E569="!!!",F569="NEW"),"",INDEX(J$1:J568,SUMPRODUCT(MAX(ROW(E$1:E568)*(E569=E$1:E568)))))</f>
        <v/>
      </c>
      <c r="L569" s="26"/>
    </row>
    <row r="570" spans="1:12" x14ac:dyDescent="0.3">
      <c r="A570" t="s">
        <v>451</v>
      </c>
      <c r="B570" s="20" t="s">
        <v>182</v>
      </c>
      <c r="C570" s="20" t="s">
        <v>229</v>
      </c>
      <c r="E570" s="21" t="str">
        <f t="shared" si="60"/>
        <v/>
      </c>
      <c r="F570" s="22" t="str">
        <f>IF(OR(E570="",E570="!!!"),"",IF(NOT(ISNA(VLOOKUP(E570,E$1:E569,1,FALSE()))),"OLD",IF(AND(E570&lt;&gt;"",E570&lt;&gt;"!!!"),"NEW","")))</f>
        <v/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/>
      </c>
      <c r="H570" s="24" t="str">
        <f t="shared" ca="1" si="61"/>
        <v/>
      </c>
      <c r="I570" s="25" t="str">
        <f>IF(OR(E570="",E570="!!!",F570="NEW"),"",INDEX(B$2:B569,-1+SUMPRODUCT(MAX(ROW(E$2:E569)*(E570=E$2:E569)))))</f>
        <v/>
      </c>
      <c r="J570" s="25" t="str">
        <f ca="1">IF(OR(E570="",E570="!!!",F570="NEW"),"",COUNTBLANK(OFFSET(A$1,,,SUMPRODUCT(MAX(ROW(E$2:E570)*(E570=E$2:E570)))))-COUNTBLANK(OFFSET(A$1,,,SUMPRODUCT(MAX(ROW(E$1:E569)*(E2=E$1:E569))))))</f>
        <v/>
      </c>
      <c r="K570" s="25" t="str">
        <f>IF(OR(E570="",E570="!!!",F570="NEW"),"",INDEX(J$1:J569,SUMPRODUCT(MAX(ROW(E$1:E569)*(E570=E$1:E569)))))</f>
        <v/>
      </c>
      <c r="L570" s="26"/>
    </row>
    <row r="571" spans="1:12" x14ac:dyDescent="0.3">
      <c r="A571" t="s">
        <v>271</v>
      </c>
      <c r="E571" s="21" t="str">
        <f t="shared" si="60"/>
        <v/>
      </c>
      <c r="F571" s="22" t="str">
        <f>IF(OR(E571="",E571="!!!"),"",IF(NOT(ISNA(VLOOKUP(E571,E$1:E570,1,FALSE()))),"OLD",IF(AND(E571&lt;&gt;"",E571&lt;&gt;"!!!"),"NEW","")))</f>
        <v/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/>
      </c>
      <c r="H571" s="24" t="str">
        <f t="shared" ca="1" si="61"/>
        <v/>
      </c>
      <c r="I571" s="25" t="str">
        <f>IF(OR(E571="",E571="!!!",F571="NEW"),"",INDEX(B$2:B570,-1+SUMPRODUCT(MAX(ROW(E$2:E570)*(E571=E$2:E570)))))</f>
        <v/>
      </c>
      <c r="J571" s="25" t="str">
        <f ca="1">IF(OR(E571="",E571="!!!",F571="NEW"),"",COUNTBLANK(OFFSET(A$1,,,SUMPRODUCT(MAX(ROW(E$2:E571)*(E571=E$2:E571)))))-COUNTBLANK(OFFSET(A$1,,,SUMPRODUCT(MAX(ROW(E$1:E570)*(E2=E$1:E570))))))</f>
        <v/>
      </c>
      <c r="K571" s="25" t="str">
        <f>IF(OR(E571="",E571="!!!",F571="NEW"),"",INDEX(J$1:J570,SUMPRODUCT(MAX(ROW(E$1:E570)*(E571=E$1:E570)))))</f>
        <v/>
      </c>
      <c r="L571" s="26"/>
    </row>
    <row r="572" spans="1:12" x14ac:dyDescent="0.3">
      <c r="A572" t="s">
        <v>193</v>
      </c>
      <c r="E572" s="21" t="str">
        <f t="shared" si="60"/>
        <v/>
      </c>
      <c r="F572" s="22" t="str">
        <f>IF(OR(E572="",E572="!!!"),"",IF(NOT(ISNA(VLOOKUP(E572,E$1:E571,1,FALSE()))),"OLD",IF(AND(E572&lt;&gt;"",E572&lt;&gt;"!!!"),"NEW","")))</f>
        <v/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/>
      </c>
      <c r="H572" s="24" t="str">
        <f t="shared" ca="1" si="61"/>
        <v/>
      </c>
      <c r="I572" s="25" t="str">
        <f>IF(OR(E572="",E572="!!!",F572="NEW"),"",INDEX(B$2:B571,-1+SUMPRODUCT(MAX(ROW(E$2:E571)*(E572=E$2:E571)))))</f>
        <v/>
      </c>
      <c r="J572" s="25" t="str">
        <f ca="1">IF(OR(E572="",E572="!!!",F572="NEW"),"",COUNTBLANK(OFFSET(A$1,,,SUMPRODUCT(MAX(ROW(E$2:E572)*(E572=E$2:E572)))))-COUNTBLANK(OFFSET(A$1,,,SUMPRODUCT(MAX(ROW(E$1:E571)*(E2=E$1:E571))))))</f>
        <v/>
      </c>
      <c r="K572" s="25" t="str">
        <f>IF(OR(E572="",E572="!!!",F572="NEW"),"",INDEX(J$1:J571,SUMPRODUCT(MAX(ROW(E$1:E571)*(E572=E$1:E571)))))</f>
        <v/>
      </c>
      <c r="L572" s="26"/>
    </row>
    <row r="573" spans="1:12" x14ac:dyDescent="0.3">
      <c r="A573" t="s">
        <v>322</v>
      </c>
      <c r="B573" s="20" t="s">
        <v>183</v>
      </c>
      <c r="C573" s="20" t="s">
        <v>170</v>
      </c>
      <c r="D573" s="20" t="s">
        <v>171</v>
      </c>
      <c r="E573" s="21" t="s">
        <v>476</v>
      </c>
      <c r="F573" s="22" t="str">
        <f>IF(OR(E573="",E573="!!!"),"",IF(NOT(ISNA(VLOOKUP(E573,E$1:E572,1,FALSE()))),"OLD",IF(AND(E573&lt;&gt;"",E573&lt;&gt;"!!!"),"NEW","")))</f>
        <v>OLD</v>
      </c>
      <c r="G573" s="23" t="s">
        <v>509</v>
      </c>
      <c r="H573" s="24" t="str">
        <f t="shared" ca="1" si="61"/>
        <v/>
      </c>
      <c r="I573" s="25" t="str">
        <f>IF(OR(E573="",E573="!!!",F573="NEW"),"",INDEX(B$2:B572,-1+SUMPRODUCT(MAX(ROW(E$2:E572)*(E573=E$2:E572)))))</f>
        <v>SBJ</v>
      </c>
      <c r="J573" s="25">
        <f ca="1">IF(OR(E573="",E573="!!!",F573="NEW"),"",COUNTBLANK(OFFSET(A$1,,,SUMPRODUCT(MAX(ROW(E$2:E573)*(E573=E$2:E573)))))-COUNTBLANK(OFFSET(A$1,,,SUMPRODUCT(MAX(ROW(E$1:E572)*(E2=E$1:E572))))))</f>
        <v>0</v>
      </c>
      <c r="K573" s="25" t="str">
        <f ca="1">IF(OR(E573="",E573="!!!",F573="NEW"),"",INDEX(J$1:J572,SUMPRODUCT(MAX(ROW(E$1:E572)*(E573=E$1:E572)))))</f>
        <v/>
      </c>
      <c r="L573" s="26"/>
    </row>
    <row r="574" spans="1:12" x14ac:dyDescent="0.3">
      <c r="A574" t="s">
        <v>263</v>
      </c>
      <c r="E574" s="21" t="str">
        <f t="shared" si="60"/>
        <v/>
      </c>
      <c r="F574" s="22" t="str">
        <f>IF(OR(E574="",E574="!!!"),"",IF(NOT(ISNA(VLOOKUP(E574,E$1:E573,1,FALSE()))),"OLD",IF(AND(E574&lt;&gt;"",E574&lt;&gt;"!!!"),"NEW","")))</f>
        <v/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/>
      </c>
      <c r="H574" s="24" t="str">
        <f t="shared" ca="1" si="61"/>
        <v/>
      </c>
      <c r="I574" s="25" t="str">
        <f>IF(OR(E574="",E574="!!!",F574="NEW"),"",INDEX(B$2:B573,-1+SUMPRODUCT(MAX(ROW(E$2:E573)*(E574=E$2:E573)))))</f>
        <v/>
      </c>
      <c r="J574" s="25" t="str">
        <f ca="1">IF(OR(E574="",E574="!!!",F574="NEW"),"",COUNTBLANK(OFFSET(A$1,,,SUMPRODUCT(MAX(ROW(E$2:E574)*(E574=E$2:E574)))))-COUNTBLANK(OFFSET(A$1,,,SUMPRODUCT(MAX(ROW(E$1:E573)*(E2=E$1:E573))))))</f>
        <v/>
      </c>
      <c r="K574" s="25" t="str">
        <f>IF(OR(E574="",E574="!!!",F574="NEW"),"",INDEX(J$1:J573,SUMPRODUCT(MAX(ROW(E$1:E573)*(E574=E$1:E573)))))</f>
        <v/>
      </c>
      <c r="L574" s="26"/>
    </row>
    <row r="575" spans="1:12" x14ac:dyDescent="0.3">
      <c r="A575" t="s">
        <v>192</v>
      </c>
      <c r="E575" s="21" t="str">
        <f t="shared" si="60"/>
        <v/>
      </c>
      <c r="F575" s="22" t="str">
        <f>IF(OR(E575="",E575="!!!"),"",IF(NOT(ISNA(VLOOKUP(E575,E$1:E574,1,FALSE()))),"OLD",IF(AND(E575&lt;&gt;"",E575&lt;&gt;"!!!"),"NEW","")))</f>
        <v/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/>
      </c>
      <c r="H575" s="24" t="str">
        <f t="shared" ca="1" si="61"/>
        <v/>
      </c>
      <c r="I575" s="25" t="str">
        <f>IF(OR(E575="",E575="!!!",F575="NEW"),"",INDEX(B$2:B574,-1+SUMPRODUCT(MAX(ROW(E$2:E574)*(E575=E$2:E574)))))</f>
        <v/>
      </c>
      <c r="J575" s="25" t="str">
        <f ca="1">IF(OR(E575="",E575="!!!",F575="NEW"),"",COUNTBLANK(OFFSET(A$1,,,SUMPRODUCT(MAX(ROW(E$2:E575)*(E575=E$2:E575)))))-COUNTBLANK(OFFSET(A$1,,,SUMPRODUCT(MAX(ROW(E$1:E574)*(E2=E$1:E574))))))</f>
        <v/>
      </c>
      <c r="K575" s="25" t="str">
        <f>IF(OR(E575="",E575="!!!",F575="NEW"),"",INDEX(J$1:J574,SUMPRODUCT(MAX(ROW(E$1:E574)*(E575=E$1:E574)))))</f>
        <v/>
      </c>
      <c r="L575" s="26"/>
    </row>
    <row r="576" spans="1:12" x14ac:dyDescent="0.3">
      <c r="A576" t="s">
        <v>305</v>
      </c>
      <c r="E576" s="21" t="str">
        <f t="shared" si="60"/>
        <v/>
      </c>
      <c r="F576" s="22" t="str">
        <f>IF(OR(E576="",E576="!!!"),"",IF(NOT(ISNA(VLOOKUP(E576,E$1:E575,1,FALSE()))),"OLD",IF(AND(E576&lt;&gt;"",E576&lt;&gt;"!!!"),"NEW","")))</f>
        <v/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/>
      </c>
      <c r="H576" s="24" t="str">
        <f t="shared" ca="1" si="61"/>
        <v/>
      </c>
      <c r="I576" s="25" t="str">
        <f>IF(OR(E576="",E576="!!!",F576="NEW"),"",INDEX(B$2:B575,-1+SUMPRODUCT(MAX(ROW(E$2:E575)*(E576=E$2:E575)))))</f>
        <v/>
      </c>
      <c r="J576" s="25" t="str">
        <f ca="1">IF(OR(E576="",E576="!!!",F576="NEW"),"",COUNTBLANK(OFFSET(A$1,,,SUMPRODUCT(MAX(ROW(E$2:E576)*(E576=E$2:E576)))))-COUNTBLANK(OFFSET(A$1,,,SUMPRODUCT(MAX(ROW(E$1:E575)*(E2=E$1:E575))))))</f>
        <v/>
      </c>
      <c r="K576" s="25" t="str">
        <f>IF(OR(E576="",E576="!!!",F576="NEW"),"",INDEX(J$1:J575,SUMPRODUCT(MAX(ROW(E$1:E575)*(E576=E$1:E575)))))</f>
        <v/>
      </c>
      <c r="L576" s="26"/>
    </row>
    <row r="577" spans="1:12" x14ac:dyDescent="0.3">
      <c r="A577" t="s">
        <v>452</v>
      </c>
      <c r="B577" s="20" t="s">
        <v>182</v>
      </c>
      <c r="C577" s="20" t="s">
        <v>195</v>
      </c>
      <c r="D577" s="20" t="s">
        <v>171</v>
      </c>
      <c r="E577" s="21"/>
      <c r="F577" s="22" t="s">
        <v>470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/>
      </c>
      <c r="H577" s="24" t="str">
        <f t="shared" ca="1" si="61"/>
        <v/>
      </c>
      <c r="I577" s="25" t="str">
        <f>IF(OR(E577="",E577="!!!",F577="NEW"),"",INDEX(B$2:B576,-1+SUMPRODUCT(MAX(ROW(E$2:E576)*(E577=E$2:E576)))))</f>
        <v/>
      </c>
      <c r="J577" s="25" t="str">
        <f ca="1">IF(OR(E577="",E577="!!!",F577="NEW"),"",COUNTBLANK(OFFSET(A$1,,,SUMPRODUCT(MAX(ROW(E$2:E577)*(E577=E$2:E577)))))-COUNTBLANK(OFFSET(A$1,,,SUMPRODUCT(MAX(ROW(E$1:E576)*(E2=E$1:E576))))))</f>
        <v/>
      </c>
      <c r="K577" s="25" t="str">
        <f>IF(OR(E577="",E577="!!!",F577="NEW"),"",INDEX(J$1:J576,SUMPRODUCT(MAX(ROW(E$1:E576)*(E577=E$1:E576)))))</f>
        <v/>
      </c>
      <c r="L577" s="26"/>
    </row>
    <row r="578" spans="1:12" x14ac:dyDescent="0.3">
      <c r="A578" t="s">
        <v>197</v>
      </c>
      <c r="E578" s="21" t="str">
        <f t="shared" si="60"/>
        <v/>
      </c>
      <c r="F578" s="22" t="str">
        <f>IF(OR(E578="",E578="!!!"),"",IF(NOT(ISNA(VLOOKUP(E578,E$1:E577,1,FALSE()))),"OLD",IF(AND(E578&lt;&gt;"",E578&lt;&gt;"!!!"),"NEW","")))</f>
        <v/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/>
      </c>
      <c r="H578" s="24" t="str">
        <f t="shared" ca="1" si="61"/>
        <v/>
      </c>
      <c r="I578" s="25" t="str">
        <f>IF(OR(E578="",E578="!!!",F578="NEW"),"",INDEX(B$2:B577,-1+SUMPRODUCT(MAX(ROW(E$2:E577)*(E578=E$2:E577)))))</f>
        <v/>
      </c>
      <c r="J578" s="25" t="str">
        <f ca="1">IF(OR(E578="",E578="!!!",F578="NEW"),"",COUNTBLANK(OFFSET(A$1,,,SUMPRODUCT(MAX(ROW(E$2:E578)*(E578=E$2:E578)))))-COUNTBLANK(OFFSET(A$1,,,SUMPRODUCT(MAX(ROW(E$1:E577)*(E2=E$1:E577))))))</f>
        <v/>
      </c>
      <c r="K578" s="25" t="str">
        <f>IF(OR(E578="",E578="!!!",F578="NEW"),"",INDEX(J$1:J577,SUMPRODUCT(MAX(ROW(E$1:E577)*(E578=E$1:E577)))))</f>
        <v/>
      </c>
      <c r="L578" s="26"/>
    </row>
    <row r="579" spans="1:12" x14ac:dyDescent="0.3">
      <c r="A579" t="s">
        <v>226</v>
      </c>
      <c r="E579" s="21" t="str">
        <f t="shared" si="60"/>
        <v/>
      </c>
      <c r="F579" s="22" t="str">
        <f>IF(OR(E579="",E579="!!!"),"",IF(NOT(ISNA(VLOOKUP(E579,E$1:E578,1,FALSE()))),"OLD",IF(AND(E579&lt;&gt;"",E579&lt;&gt;"!!!"),"NEW","")))</f>
        <v/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/>
      </c>
      <c r="H579" s="24" t="str">
        <f t="shared" ca="1" si="61"/>
        <v/>
      </c>
      <c r="I579" s="25" t="str">
        <f>IF(OR(E579="",E579="!!!",F579="NEW"),"",INDEX(B$2:B578,-1+SUMPRODUCT(MAX(ROW(E$2:E578)*(E579=E$2:E578)))))</f>
        <v/>
      </c>
      <c r="J579" s="25" t="str">
        <f ca="1">IF(OR(E579="",E579="!!!",F579="NEW"),"",COUNTBLANK(OFFSET(A$1,,,SUMPRODUCT(MAX(ROW(E$2:E579)*(E579=E$2:E579)))))-COUNTBLANK(OFFSET(A$1,,,SUMPRODUCT(MAX(ROW(E$1:E578)*(E2=E$1:E578))))))</f>
        <v/>
      </c>
      <c r="K579" s="25" t="str">
        <f>IF(OR(E579="",E579="!!!",F579="NEW"),"",INDEX(J$1:J578,SUMPRODUCT(MAX(ROW(E$1:E578)*(E579=E$1:E578)))))</f>
        <v/>
      </c>
      <c r="L579" s="26"/>
    </row>
    <row r="581" spans="1:12" x14ac:dyDescent="0.3">
      <c r="A581" t="s">
        <v>453</v>
      </c>
    </row>
    <row r="582" spans="1:12" x14ac:dyDescent="0.3">
      <c r="A582" t="s">
        <v>178</v>
      </c>
      <c r="B582" s="20" t="s">
        <v>166</v>
      </c>
      <c r="E582" s="21" t="s">
        <v>476</v>
      </c>
      <c r="F582" s="22" t="str">
        <f>IF(OR(E582="",E582="!!!"),"",IF(NOT(ISNA(VLOOKUP(E582,E$1:E581,1,FALSE()))),"OLD",IF(AND(E582&lt;&gt;"",E582&lt;&gt;"!!!"),"NEW","")))</f>
        <v>OLD</v>
      </c>
      <c r="G582" s="23" t="s">
        <v>513</v>
      </c>
      <c r="H582" s="24" t="s">
        <v>160</v>
      </c>
      <c r="I582" s="25" t="str">
        <f>IF(OR(E582="",E582="!!!",F582="NEW"),"",INDEX(B$2:B581,-1+SUMPRODUCT(MAX(ROW(E$2:E581)*(E582=E$2:E581)))))</f>
        <v>other</v>
      </c>
      <c r="J582" s="25">
        <f ca="1">IF(OR(E582="",E582="!!!",F582="NEW"),"",COUNTBLANK(OFFSET(A$1,,,SUMPRODUCT(MAX(ROW(E$2:E582)*(E582=E$2:E582)))))-COUNTBLANK(OFFSET(A$1,,,SUMPRODUCT(MAX(ROW(E$1:E581)*(E2=E$1:E581))))))</f>
        <v>0</v>
      </c>
      <c r="K582" s="25">
        <f ca="1">IF(OR(E582="",E582="!!!",F582="NEW"),"",INDEX(J$1:J581,SUMPRODUCT(MAX(ROW(E$1:E581)*(E582=E$1:E581)))))</f>
        <v>0</v>
      </c>
      <c r="L582" s="26" t="s">
        <v>482</v>
      </c>
    </row>
    <row r="583" spans="1:12" x14ac:dyDescent="0.3">
      <c r="A583" t="s">
        <v>454</v>
      </c>
      <c r="E583" s="21" t="str">
        <f t="shared" ref="E583:E592" si="62">IF(D583="?OLD","!!!","")</f>
        <v/>
      </c>
      <c r="F583" s="22" t="str">
        <f>IF(OR(E583="",E583="!!!"),"",IF(NOT(ISNA(VLOOKUP(E583,E$1:E582,1,FALSE()))),"OLD",IF(AND(E583&lt;&gt;"",E583&lt;&gt;"!!!"),"NEW","")))</f>
        <v/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/>
      </c>
      <c r="H583" s="24" t="str">
        <f t="shared" ref="H583:H592" ca="1" si="63">IF(J583&lt;&gt;1,"",IF(I583="SBJ","CB","?"))</f>
        <v/>
      </c>
      <c r="I583" s="25" t="str">
        <f>IF(OR(E583="",E583="!!!",F583="NEW"),"",INDEX(B$2:B582,-1+SUMPRODUCT(MAX(ROW(E$2:E582)*(E583=E$2:E582)))))</f>
        <v/>
      </c>
      <c r="J583" s="25" t="str">
        <f ca="1">IF(OR(E583="",E583="!!!",F583="NEW"),"",COUNTBLANK(OFFSET(A$1,,,SUMPRODUCT(MAX(ROW(E$2:E583)*(E583=E$2:E583)))))-COUNTBLANK(OFFSET(A$1,,,SUMPRODUCT(MAX(ROW(E$1:E582)*(E2=E$1:E582))))))</f>
        <v/>
      </c>
      <c r="K583" s="25" t="str">
        <f>IF(OR(E583="",E583="!!!",F583="NEW"),"",INDEX(J$1:J582,SUMPRODUCT(MAX(ROW(E$1:E582)*(E583=E$1:E582)))))</f>
        <v/>
      </c>
      <c r="L583" s="26"/>
    </row>
    <row r="584" spans="1:12" x14ac:dyDescent="0.3">
      <c r="A584" t="s">
        <v>334</v>
      </c>
      <c r="B584" s="20" t="s">
        <v>174</v>
      </c>
      <c r="E584" s="21" t="str">
        <f t="shared" si="62"/>
        <v/>
      </c>
      <c r="F584" s="22" t="str">
        <f>IF(OR(E584="",E584="!!!"),"",IF(NOT(ISNA(VLOOKUP(E584,E$1:E583,1,FALSE()))),"OLD",IF(AND(E584&lt;&gt;"",E584&lt;&gt;"!!!"),"NEW","")))</f>
        <v/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/>
      </c>
      <c r="H584" s="24" t="str">
        <f t="shared" ca="1" si="63"/>
        <v/>
      </c>
      <c r="I584" s="25" t="str">
        <f>IF(OR(E584="",E584="!!!",F584="NEW"),"",INDEX(B$2:B583,-1+SUMPRODUCT(MAX(ROW(E$2:E583)*(E584=E$2:E583)))))</f>
        <v/>
      </c>
      <c r="J584" s="25" t="str">
        <f ca="1">IF(OR(E584="",E584="!!!",F584="NEW"),"",COUNTBLANK(OFFSET(A$1,,,SUMPRODUCT(MAX(ROW(E$2:E584)*(E584=E$2:E584)))))-COUNTBLANK(OFFSET(A$1,,,SUMPRODUCT(MAX(ROW(E$1:E583)*(E2=E$1:E583))))))</f>
        <v/>
      </c>
      <c r="K584" s="25" t="str">
        <f>IF(OR(E584="",E584="!!!",F584="NEW"),"",INDEX(J$1:J583,SUMPRODUCT(MAX(ROW(E$1:E583)*(E584=E$1:E583)))))</f>
        <v/>
      </c>
      <c r="L584" s="26"/>
    </row>
    <row r="585" spans="1:12" x14ac:dyDescent="0.3">
      <c r="A585" t="s">
        <v>455</v>
      </c>
      <c r="E585" s="21" t="str">
        <f t="shared" si="62"/>
        <v/>
      </c>
      <c r="F585" s="22" t="str">
        <f>IF(OR(E585="",E585="!!!"),"",IF(NOT(ISNA(VLOOKUP(E585,E$1:E584,1,FALSE()))),"OLD",IF(AND(E585&lt;&gt;"",E585&lt;&gt;"!!!"),"NEW","")))</f>
        <v/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/>
      </c>
      <c r="H585" s="24" t="str">
        <f t="shared" ca="1" si="63"/>
        <v/>
      </c>
      <c r="I585" s="25" t="str">
        <f>IF(OR(E585="",E585="!!!",F585="NEW"),"",INDEX(B$2:B584,-1+SUMPRODUCT(MAX(ROW(E$2:E584)*(E585=E$2:E584)))))</f>
        <v/>
      </c>
      <c r="J585" s="25" t="str">
        <f ca="1">IF(OR(E585="",E585="!!!",F585="NEW"),"",COUNTBLANK(OFFSET(A$1,,,SUMPRODUCT(MAX(ROW(E$2:E585)*(E585=E$2:E585)))))-COUNTBLANK(OFFSET(A$1,,,SUMPRODUCT(MAX(ROW(E$1:E584)*(E2=E$1:E584))))))</f>
        <v/>
      </c>
      <c r="K585" s="25" t="str">
        <f>IF(OR(E585="",E585="!!!",F585="NEW"),"",INDEX(J$1:J584,SUMPRODUCT(MAX(ROW(E$1:E584)*(E585=E$1:E584)))))</f>
        <v/>
      </c>
      <c r="L585" s="26"/>
    </row>
    <row r="586" spans="1:12" x14ac:dyDescent="0.3">
      <c r="A586" t="s">
        <v>203</v>
      </c>
      <c r="E586" s="21" t="str">
        <f t="shared" si="62"/>
        <v/>
      </c>
      <c r="F586" s="22" t="str">
        <f>IF(OR(E586="",E586="!!!"),"",IF(NOT(ISNA(VLOOKUP(E586,E$1:E585,1,FALSE()))),"OLD",IF(AND(E586&lt;&gt;"",E586&lt;&gt;"!!!"),"NEW","")))</f>
        <v/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/>
      </c>
      <c r="H586" s="24" t="str">
        <f t="shared" ca="1" si="63"/>
        <v/>
      </c>
      <c r="I586" s="25" t="str">
        <f>IF(OR(E586="",E586="!!!",F586="NEW"),"",INDEX(B$2:B585,-1+SUMPRODUCT(MAX(ROW(E$2:E585)*(E586=E$2:E585)))))</f>
        <v/>
      </c>
      <c r="J586" s="25" t="str">
        <f ca="1">IF(OR(E586="",E586="!!!",F586="NEW"),"",COUNTBLANK(OFFSET(A$1,,,SUMPRODUCT(MAX(ROW(E$2:E586)*(E586=E$2:E586)))))-COUNTBLANK(OFFSET(A$1,,,SUMPRODUCT(MAX(ROW(E$1:E585)*(E2=E$1:E585))))))</f>
        <v/>
      </c>
      <c r="K586" s="25" t="str">
        <f>IF(OR(E586="",E586="!!!",F586="NEW"),"",INDEX(J$1:J585,SUMPRODUCT(MAX(ROW(E$1:E585)*(E586=E$1:E585)))))</f>
        <v/>
      </c>
      <c r="L586" s="26"/>
    </row>
    <row r="587" spans="1:12" x14ac:dyDescent="0.3">
      <c r="A587" t="s">
        <v>441</v>
      </c>
      <c r="B587" s="20" t="s">
        <v>182</v>
      </c>
      <c r="C587" s="20" t="s">
        <v>202</v>
      </c>
      <c r="E587" s="21" t="str">
        <f t="shared" si="62"/>
        <v/>
      </c>
      <c r="F587" s="22" t="str">
        <f>IF(OR(E587="",E587="!!!"),"",IF(NOT(ISNA(VLOOKUP(E587,E$1:E586,1,FALSE()))),"OLD",IF(AND(E587&lt;&gt;"",E587&lt;&gt;"!!!"),"NEW","")))</f>
        <v/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/>
      </c>
      <c r="H587" s="24" t="str">
        <f t="shared" ca="1" si="63"/>
        <v/>
      </c>
      <c r="I587" s="25" t="str">
        <f>IF(OR(E587="",E587="!!!",F587="NEW"),"",INDEX(B$2:B586,-1+SUMPRODUCT(MAX(ROW(E$2:E586)*(E587=E$2:E586)))))</f>
        <v/>
      </c>
      <c r="J587" s="25" t="str">
        <f ca="1">IF(OR(E587="",E587="!!!",F587="NEW"),"",COUNTBLANK(OFFSET(A$1,,,SUMPRODUCT(MAX(ROW(E$2:E587)*(E587=E$2:E587)))))-COUNTBLANK(OFFSET(A$1,,,SUMPRODUCT(MAX(ROW(E$1:E586)*(E2=E$1:E586))))))</f>
        <v/>
      </c>
      <c r="K587" s="25" t="str">
        <f>IF(OR(E587="",E587="!!!",F587="NEW"),"",INDEX(J$1:J586,SUMPRODUCT(MAX(ROW(E$1:E586)*(E587=E$1:E586)))))</f>
        <v/>
      </c>
      <c r="L587" s="26"/>
    </row>
    <row r="588" spans="1:12" x14ac:dyDescent="0.3">
      <c r="A588" t="s">
        <v>456</v>
      </c>
      <c r="B588" s="20" t="s">
        <v>183</v>
      </c>
      <c r="C588" s="20" t="s">
        <v>175</v>
      </c>
      <c r="E588" s="21" t="str">
        <f t="shared" si="62"/>
        <v/>
      </c>
      <c r="F588" s="22" t="str">
        <f>IF(OR(E588="",E588="!!!"),"",IF(NOT(ISNA(VLOOKUP(E588,E$1:E587,1,FALSE()))),"OLD",IF(AND(E588&lt;&gt;"",E588&lt;&gt;"!!!"),"NEW","")))</f>
        <v/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/>
      </c>
      <c r="H588" s="24" t="str">
        <f t="shared" ca="1" si="63"/>
        <v/>
      </c>
      <c r="I588" s="25" t="str">
        <f>IF(OR(E588="",E588="!!!",F588="NEW"),"",INDEX(B$2:B587,-1+SUMPRODUCT(MAX(ROW(E$2:E587)*(E588=E$2:E587)))))</f>
        <v/>
      </c>
      <c r="J588" s="25" t="str">
        <f ca="1">IF(OR(E588="",E588="!!!",F588="NEW"),"",COUNTBLANK(OFFSET(A$1,,,SUMPRODUCT(MAX(ROW(E$2:E588)*(E588=E$2:E588)))))-COUNTBLANK(OFFSET(A$1,,,SUMPRODUCT(MAX(ROW(E$1:E587)*(E2=E$1:E587))))))</f>
        <v/>
      </c>
      <c r="K588" s="25" t="str">
        <f>IF(OR(E588="",E588="!!!",F588="NEW"),"",INDEX(J$1:J587,SUMPRODUCT(MAX(ROW(E$1:E587)*(E588=E$1:E587)))))</f>
        <v/>
      </c>
      <c r="L588" s="26"/>
    </row>
    <row r="589" spans="1:12" x14ac:dyDescent="0.3">
      <c r="A589" t="s">
        <v>310</v>
      </c>
      <c r="E589" s="21" t="str">
        <f t="shared" si="62"/>
        <v/>
      </c>
      <c r="F589" s="22" t="str">
        <f>IF(OR(E589="",E589="!!!"),"",IF(NOT(ISNA(VLOOKUP(E589,E$1:E588,1,FALSE()))),"OLD",IF(AND(E589&lt;&gt;"",E589&lt;&gt;"!!!"),"NEW","")))</f>
        <v/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/>
      </c>
      <c r="H589" s="24" t="str">
        <f t="shared" ca="1" si="63"/>
        <v/>
      </c>
      <c r="I589" s="25" t="str">
        <f>IF(OR(E589="",E589="!!!",F589="NEW"),"",INDEX(B$2:B588,-1+SUMPRODUCT(MAX(ROW(E$2:E588)*(E589=E$2:E588)))))</f>
        <v/>
      </c>
      <c r="J589" s="25" t="str">
        <f ca="1">IF(OR(E589="",E589="!!!",F589="NEW"),"",COUNTBLANK(OFFSET(A$1,,,SUMPRODUCT(MAX(ROW(E$2:E589)*(E589=E$2:E589)))))-COUNTBLANK(OFFSET(A$1,,,SUMPRODUCT(MAX(ROW(E$1:E588)*(E2=E$1:E588))))))</f>
        <v/>
      </c>
      <c r="K589" s="25" t="str">
        <f>IF(OR(E589="",E589="!!!",F589="NEW"),"",INDEX(J$1:J588,SUMPRODUCT(MAX(ROW(E$1:E588)*(E589=E$1:E588)))))</f>
        <v/>
      </c>
      <c r="L589" s="26"/>
    </row>
    <row r="590" spans="1:12" x14ac:dyDescent="0.3">
      <c r="A590" t="s">
        <v>457</v>
      </c>
      <c r="B590" s="20" t="s">
        <v>183</v>
      </c>
      <c r="C590" s="20" t="s">
        <v>175</v>
      </c>
      <c r="E590" s="21" t="str">
        <f t="shared" si="62"/>
        <v/>
      </c>
      <c r="F590" s="22" t="str">
        <f>IF(OR(E590="",E590="!!!"),"",IF(NOT(ISNA(VLOOKUP(E590,E$1:E589,1,FALSE()))),"OLD",IF(AND(E590&lt;&gt;"",E590&lt;&gt;"!!!"),"NEW","")))</f>
        <v/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/>
      </c>
      <c r="H590" s="24" t="str">
        <f t="shared" ca="1" si="63"/>
        <v/>
      </c>
      <c r="I590" s="25" t="str">
        <f>IF(OR(E590="",E590="!!!",F590="NEW"),"",INDEX(B$2:B589,-1+SUMPRODUCT(MAX(ROW(E$2:E589)*(E590=E$2:E589)))))</f>
        <v/>
      </c>
      <c r="J590" s="25" t="str">
        <f ca="1">IF(OR(E590="",E590="!!!",F590="NEW"),"",COUNTBLANK(OFFSET(A$1,,,SUMPRODUCT(MAX(ROW(E$2:E590)*(E590=E$2:E590)))))-COUNTBLANK(OFFSET(A$1,,,SUMPRODUCT(MAX(ROW(E$1:E589)*(E2=E$1:E589))))))</f>
        <v/>
      </c>
      <c r="K590" s="25" t="str">
        <f>IF(OR(E590="",E590="!!!",F590="NEW"),"",INDEX(J$1:J589,SUMPRODUCT(MAX(ROW(E$1:E589)*(E590=E$1:E589)))))</f>
        <v/>
      </c>
      <c r="L590" s="26"/>
    </row>
    <row r="591" spans="1:12" x14ac:dyDescent="0.3">
      <c r="A591" t="s">
        <v>458</v>
      </c>
      <c r="E591" s="21" t="s">
        <v>508</v>
      </c>
      <c r="F591" s="22" t="str">
        <f>IF(OR(E591="",E591="!!!"),"",IF(NOT(ISNA(VLOOKUP(E591,E$1:E590,1,FALSE()))),"OLD",IF(AND(E591&lt;&gt;"",E591&lt;&gt;"!!!"),"NEW","")))</f>
        <v>NEW</v>
      </c>
      <c r="G591" s="23" t="s">
        <v>510</v>
      </c>
      <c r="H591" s="24" t="str">
        <f t="shared" ca="1" si="63"/>
        <v/>
      </c>
      <c r="I591" s="25" t="str">
        <f>IF(OR(E591="",E591="!!!",F591="NEW"),"",INDEX(B$2:B590,-1+SUMPRODUCT(MAX(ROW(E$2:E590)*(E591=E$2:E590)))))</f>
        <v/>
      </c>
      <c r="J591" s="25" t="str">
        <f ca="1">IF(OR(E591="",E591="!!!",F591="NEW"),"",COUNTBLANK(OFFSET(A$1,,,SUMPRODUCT(MAX(ROW(E$2:E591)*(E591=E$2:E591)))))-COUNTBLANK(OFFSET(A$1,,,SUMPRODUCT(MAX(ROW(E$1:E590)*(E2=E$1:E590))))))</f>
        <v/>
      </c>
      <c r="K591" s="25" t="str">
        <f>IF(OR(E591="",E591="!!!",F591="NEW"),"",INDEX(J$1:J590,SUMPRODUCT(MAX(ROW(E$1:E590)*(E591=E$1:E590)))))</f>
        <v/>
      </c>
      <c r="L591" s="26" t="s">
        <v>473</v>
      </c>
    </row>
    <row r="592" spans="1:12" x14ac:dyDescent="0.3">
      <c r="A592" t="s">
        <v>197</v>
      </c>
      <c r="E592" s="21" t="str">
        <f t="shared" si="62"/>
        <v/>
      </c>
      <c r="F592" s="22" t="str">
        <f>IF(OR(E592="",E592="!!!"),"",IF(NOT(ISNA(VLOOKUP(E592,E$1:E591,1,FALSE()))),"OLD",IF(AND(E592&lt;&gt;"",E592&lt;&gt;"!!!"),"NEW","")))</f>
        <v/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/>
      </c>
      <c r="H592" s="24" t="str">
        <f t="shared" ca="1" si="63"/>
        <v/>
      </c>
      <c r="I592" s="25" t="str">
        <f>IF(OR(E592="",E592="!!!",F592="NEW"),"",INDEX(B$2:B591,-1+SUMPRODUCT(MAX(ROW(E$2:E591)*(E592=E$2:E591)))))</f>
        <v/>
      </c>
      <c r="J592" s="25" t="str">
        <f ca="1">IF(OR(E592="",E592="!!!",F592="NEW"),"",COUNTBLANK(OFFSET(A$1,,,SUMPRODUCT(MAX(ROW(E$2:E592)*(E592=E$2:E592)))))-COUNTBLANK(OFFSET(A$1,,,SUMPRODUCT(MAX(ROW(E$1:E591)*(E2=E$1:E591))))))</f>
        <v/>
      </c>
      <c r="K592" s="25" t="str">
        <f>IF(OR(E592="",E592="!!!",F592="NEW"),"",INDEX(J$1:J591,SUMPRODUCT(MAX(ROW(E$1:E591)*(E592=E$1:E591)))))</f>
        <v/>
      </c>
      <c r="L592" s="26"/>
    </row>
    <row r="594" spans="1:12" x14ac:dyDescent="0.3">
      <c r="A594" t="s">
        <v>459</v>
      </c>
    </row>
    <row r="595" spans="1:12" x14ac:dyDescent="0.3">
      <c r="A595" t="s">
        <v>460</v>
      </c>
      <c r="B595" s="20" t="s">
        <v>166</v>
      </c>
      <c r="C595" s="20" t="s">
        <v>184</v>
      </c>
      <c r="D595" s="20" t="s">
        <v>171</v>
      </c>
      <c r="E595" s="21" t="s">
        <v>508</v>
      </c>
      <c r="F595" s="22" t="str">
        <f>IF(OR(E595="",E595="!!!"),"",IF(NOT(ISNA(VLOOKUP(E595,E$1:E594,1,FALSE()))),"OLD",IF(AND(E595&lt;&gt;"",E595&lt;&gt;"!!!"),"NEW","")))</f>
        <v>OLD</v>
      </c>
      <c r="G595" s="23" t="s">
        <v>513</v>
      </c>
      <c r="H595" s="24" t="s">
        <v>160</v>
      </c>
      <c r="I595" s="25">
        <f>IF(OR(E595="",E595="!!!",F595="NEW"),"",INDEX(B$2:B594,-1+SUMPRODUCT(MAX(ROW(E$2:E594)*(E595=E$2:E594)))))</f>
        <v>0</v>
      </c>
      <c r="J595" s="25">
        <f ca="1">IF(OR(E595="",E595="!!!",F595="NEW"),"",COUNTBLANK(OFFSET(A$1,,,SUMPRODUCT(MAX(ROW(E$2:E595)*(E595=E$2:E595)))))-COUNTBLANK(OFFSET(A$1,,,SUMPRODUCT(MAX(ROW(E$1:E594)*(E2=E$1:E594))))))</f>
        <v>0</v>
      </c>
      <c r="K595" s="25" t="str">
        <f ca="1">IF(OR(E595="",E595="!!!",F595="NEW"),"",INDEX(J$1:J594,SUMPRODUCT(MAX(ROW(E$1:E594)*(E595=E$1:E594)))))</f>
        <v/>
      </c>
      <c r="L595" s="26"/>
    </row>
    <row r="596" spans="1:12" x14ac:dyDescent="0.3">
      <c r="A596" t="s">
        <v>297</v>
      </c>
      <c r="E596" s="21" t="str">
        <f t="shared" ref="E596:E609" si="64">IF(D596="?OLD","!!!","")</f>
        <v/>
      </c>
      <c r="F596" s="22" t="str">
        <f>IF(OR(E596="",E596="!!!"),"",IF(NOT(ISNA(VLOOKUP(E596,E$1:E595,1,FALSE()))),"OLD",IF(AND(E596&lt;&gt;"",E596&lt;&gt;"!!!"),"NEW","")))</f>
        <v/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/>
      </c>
      <c r="H596" s="24" t="str">
        <f t="shared" ref="H596:H609" ca="1" si="65">IF(J596&lt;&gt;1,"",IF(I596="SBJ","CB","?"))</f>
        <v/>
      </c>
      <c r="I596" s="25" t="str">
        <f>IF(OR(E596="",E596="!!!",F596="NEW"),"",INDEX(B$2:B595,-1+SUMPRODUCT(MAX(ROW(E$2:E595)*(E596=E$2:E595)))))</f>
        <v/>
      </c>
      <c r="J596" s="25" t="str">
        <f ca="1">IF(OR(E596="",E596="!!!",F596="NEW"),"",COUNTBLANK(OFFSET(A$1,,,SUMPRODUCT(MAX(ROW(E$2:E596)*(E596=E$2:E596)))))-COUNTBLANK(OFFSET(A$1,,,SUMPRODUCT(MAX(ROW(E$1:E595)*(E2=E$1:E595))))))</f>
        <v/>
      </c>
      <c r="K596" s="25" t="str">
        <f>IF(OR(E596="",E596="!!!",F596="NEW"),"",INDEX(J$1:J595,SUMPRODUCT(MAX(ROW(E$1:E595)*(E596=E$1:E595)))))</f>
        <v/>
      </c>
      <c r="L596" s="26"/>
    </row>
    <row r="597" spans="1:12" x14ac:dyDescent="0.3">
      <c r="A597" t="s">
        <v>359</v>
      </c>
      <c r="E597" s="21" t="str">
        <f t="shared" si="64"/>
        <v/>
      </c>
      <c r="F597" s="22" t="str">
        <f>IF(OR(E597="",E597="!!!"),"",IF(NOT(ISNA(VLOOKUP(E597,E$1:E596,1,FALSE()))),"OLD",IF(AND(E597&lt;&gt;"",E597&lt;&gt;"!!!"),"NEW","")))</f>
        <v/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/>
      </c>
      <c r="H597" s="24" t="str">
        <f t="shared" ca="1" si="65"/>
        <v/>
      </c>
      <c r="I597" s="25" t="str">
        <f>IF(OR(E597="",E597="!!!",F597="NEW"),"",INDEX(B$2:B596,-1+SUMPRODUCT(MAX(ROW(E$2:E596)*(E597=E$2:E596)))))</f>
        <v/>
      </c>
      <c r="J597" s="25" t="str">
        <f ca="1">IF(OR(E597="",E597="!!!",F597="NEW"),"",COUNTBLANK(OFFSET(A$1,,,SUMPRODUCT(MAX(ROW(E$2:E597)*(E597=E$2:E597)))))-COUNTBLANK(OFFSET(A$1,,,SUMPRODUCT(MAX(ROW(E$1:E596)*(E2=E$1:E596))))))</f>
        <v/>
      </c>
      <c r="K597" s="25" t="str">
        <f>IF(OR(E597="",E597="!!!",F597="NEW"),"",INDEX(J$1:J596,SUMPRODUCT(MAX(ROW(E$1:E596)*(E597=E$1:E596)))))</f>
        <v/>
      </c>
      <c r="L597" s="26"/>
    </row>
    <row r="598" spans="1:12" x14ac:dyDescent="0.3">
      <c r="A598" t="s">
        <v>461</v>
      </c>
      <c r="E598" s="21" t="str">
        <f t="shared" si="64"/>
        <v/>
      </c>
      <c r="F598" s="22" t="str">
        <f>IF(OR(E598="",E598="!!!"),"",IF(NOT(ISNA(VLOOKUP(E598,E$1:E597,1,FALSE()))),"OLD",IF(AND(E598&lt;&gt;"",E598&lt;&gt;"!!!"),"NEW","")))</f>
        <v/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/>
      </c>
      <c r="H598" s="24" t="str">
        <f t="shared" ca="1" si="65"/>
        <v/>
      </c>
      <c r="I598" s="25" t="str">
        <f>IF(OR(E598="",E598="!!!",F598="NEW"),"",INDEX(B$2:B597,-1+SUMPRODUCT(MAX(ROW(E$2:E597)*(E598=E$2:E597)))))</f>
        <v/>
      </c>
      <c r="J598" s="25" t="str">
        <f ca="1">IF(OR(E598="",E598="!!!",F598="NEW"),"",COUNTBLANK(OFFSET(A$1,,,SUMPRODUCT(MAX(ROW(E$2:E598)*(E598=E$2:E598)))))-COUNTBLANK(OFFSET(A$1,,,SUMPRODUCT(MAX(ROW(E$1:E597)*(E2=E$1:E597))))))</f>
        <v/>
      </c>
      <c r="K598" s="25" t="str">
        <f>IF(OR(E598="",E598="!!!",F598="NEW"),"",INDEX(J$1:J597,SUMPRODUCT(MAX(ROW(E$1:E597)*(E598=E$1:E597)))))</f>
        <v/>
      </c>
      <c r="L598" s="26"/>
    </row>
    <row r="599" spans="1:12" x14ac:dyDescent="0.3">
      <c r="A599" t="s">
        <v>206</v>
      </c>
      <c r="E599" s="21" t="str">
        <f t="shared" si="64"/>
        <v/>
      </c>
      <c r="F599" s="22" t="str">
        <f>IF(OR(E599="",E599="!!!"),"",IF(NOT(ISNA(VLOOKUP(E599,E$1:E598,1,FALSE()))),"OLD",IF(AND(E599&lt;&gt;"",E599&lt;&gt;"!!!"),"NEW","")))</f>
        <v/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/>
      </c>
      <c r="H599" s="24" t="str">
        <f t="shared" ca="1" si="65"/>
        <v/>
      </c>
      <c r="I599" s="25" t="str">
        <f>IF(OR(E599="",E599="!!!",F599="NEW"),"",INDEX(B$2:B598,-1+SUMPRODUCT(MAX(ROW(E$2:E598)*(E599=E$2:E598)))))</f>
        <v/>
      </c>
      <c r="J599" s="25" t="str">
        <f ca="1">IF(OR(E599="",E599="!!!",F599="NEW"),"",COUNTBLANK(OFFSET(A$1,,,SUMPRODUCT(MAX(ROW(E$2:E599)*(E599=E$2:E599)))))-COUNTBLANK(OFFSET(A$1,,,SUMPRODUCT(MAX(ROW(E$1:E598)*(E2=E$1:E598))))))</f>
        <v/>
      </c>
      <c r="K599" s="25" t="str">
        <f>IF(OR(E599="",E599="!!!",F599="NEW"),"",INDEX(J$1:J598,SUMPRODUCT(MAX(ROW(E$1:E598)*(E599=E$1:E598)))))</f>
        <v/>
      </c>
      <c r="L599" s="26"/>
    </row>
    <row r="600" spans="1:12" x14ac:dyDescent="0.3">
      <c r="A600" t="s">
        <v>207</v>
      </c>
      <c r="E600" s="21" t="str">
        <f t="shared" si="64"/>
        <v/>
      </c>
      <c r="F600" s="22" t="str">
        <f>IF(OR(E600="",E600="!!!"),"",IF(NOT(ISNA(VLOOKUP(E600,E$1:E599,1,FALSE()))),"OLD",IF(AND(E600&lt;&gt;"",E600&lt;&gt;"!!!"),"NEW","")))</f>
        <v/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/>
      </c>
      <c r="H600" s="24" t="str">
        <f t="shared" ca="1" si="65"/>
        <v/>
      </c>
      <c r="I600" s="25" t="str">
        <f>IF(OR(E600="",E600="!!!",F600="NEW"),"",INDEX(B$2:B599,-1+SUMPRODUCT(MAX(ROW(E$2:E599)*(E600=E$2:E599)))))</f>
        <v/>
      </c>
      <c r="J600" s="25" t="str">
        <f ca="1">IF(OR(E600="",E600="!!!",F600="NEW"),"",COUNTBLANK(OFFSET(A$1,,,SUMPRODUCT(MAX(ROW(E$2:E600)*(E600=E$2:E600)))))-COUNTBLANK(OFFSET(A$1,,,SUMPRODUCT(MAX(ROW(E$1:E599)*(E2=E$1:E599))))))</f>
        <v/>
      </c>
      <c r="K600" s="25" t="str">
        <f>IF(OR(E600="",E600="!!!",F600="NEW"),"",INDEX(J$1:J599,SUMPRODUCT(MAX(ROW(E$1:E599)*(E600=E$1:E599)))))</f>
        <v/>
      </c>
      <c r="L600" s="26"/>
    </row>
    <row r="601" spans="1:12" x14ac:dyDescent="0.3">
      <c r="A601" t="s">
        <v>359</v>
      </c>
      <c r="E601" s="21" t="str">
        <f t="shared" si="64"/>
        <v/>
      </c>
      <c r="F601" s="22" t="str">
        <f>IF(OR(E601="",E601="!!!"),"",IF(NOT(ISNA(VLOOKUP(E601,E$1:E600,1,FALSE()))),"OLD",IF(AND(E601&lt;&gt;"",E601&lt;&gt;"!!!"),"NEW","")))</f>
        <v/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/>
      </c>
      <c r="H601" s="24" t="str">
        <f t="shared" ca="1" si="65"/>
        <v/>
      </c>
      <c r="I601" s="25" t="str">
        <f>IF(OR(E601="",E601="!!!",F601="NEW"),"",INDEX(B$2:B600,-1+SUMPRODUCT(MAX(ROW(E$2:E600)*(E601=E$2:E600)))))</f>
        <v/>
      </c>
      <c r="J601" s="25" t="str">
        <f ca="1">IF(OR(E601="",E601="!!!",F601="NEW"),"",COUNTBLANK(OFFSET(A$1,,,SUMPRODUCT(MAX(ROW(E$2:E601)*(E601=E$2:E601)))))-COUNTBLANK(OFFSET(A$1,,,SUMPRODUCT(MAX(ROW(E$1:E600)*(E2=E$1:E600))))))</f>
        <v/>
      </c>
      <c r="K601" s="25" t="str">
        <f>IF(OR(E601="",E601="!!!",F601="NEW"),"",INDEX(J$1:J600,SUMPRODUCT(MAX(ROW(E$1:E600)*(E601=E$1:E600)))))</f>
        <v/>
      </c>
      <c r="L601" s="26"/>
    </row>
    <row r="602" spans="1:12" x14ac:dyDescent="0.3">
      <c r="A602" t="s">
        <v>462</v>
      </c>
      <c r="E602" s="21" t="str">
        <f t="shared" si="64"/>
        <v/>
      </c>
      <c r="F602" s="22" t="str">
        <f>IF(OR(E602="",E602="!!!"),"",IF(NOT(ISNA(VLOOKUP(E602,E$1:E601,1,FALSE()))),"OLD",IF(AND(E602&lt;&gt;"",E602&lt;&gt;"!!!"),"NEW","")))</f>
        <v/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/>
      </c>
      <c r="H602" s="24" t="str">
        <f t="shared" ca="1" si="65"/>
        <v/>
      </c>
      <c r="I602" s="25" t="str">
        <f>IF(OR(E602="",E602="!!!",F602="NEW"),"",INDEX(B$2:B601,-1+SUMPRODUCT(MAX(ROW(E$2:E601)*(E602=E$2:E601)))))</f>
        <v/>
      </c>
      <c r="J602" s="25" t="str">
        <f ca="1">IF(OR(E602="",E602="!!!",F602="NEW"),"",COUNTBLANK(OFFSET(A$1,,,SUMPRODUCT(MAX(ROW(E$2:E602)*(E602=E$2:E602)))))-COUNTBLANK(OFFSET(A$1,,,SUMPRODUCT(MAX(ROW(E$1:E601)*(E2=E$1:E601))))))</f>
        <v/>
      </c>
      <c r="K602" s="25" t="str">
        <f>IF(OR(E602="",E602="!!!",F602="NEW"),"",INDEX(J$1:J601,SUMPRODUCT(MAX(ROW(E$1:E601)*(E602=E$1:E601)))))</f>
        <v/>
      </c>
      <c r="L602" s="26"/>
    </row>
    <row r="603" spans="1:12" x14ac:dyDescent="0.3">
      <c r="A603" t="s">
        <v>308</v>
      </c>
      <c r="E603" s="21" t="str">
        <f t="shared" si="64"/>
        <v/>
      </c>
      <c r="F603" s="22" t="str">
        <f>IF(OR(E603="",E603="!!!"),"",IF(NOT(ISNA(VLOOKUP(E603,E$1:E602,1,FALSE()))),"OLD",IF(AND(E603&lt;&gt;"",E603&lt;&gt;"!!!"),"NEW","")))</f>
        <v/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/>
      </c>
      <c r="H603" s="24" t="str">
        <f t="shared" ca="1" si="65"/>
        <v/>
      </c>
      <c r="I603" s="25" t="str">
        <f>IF(OR(E603="",E603="!!!",F603="NEW"),"",INDEX(B$2:B602,-1+SUMPRODUCT(MAX(ROW(E$2:E602)*(E603=E$2:E602)))))</f>
        <v/>
      </c>
      <c r="J603" s="25" t="str">
        <f ca="1">IF(OR(E603="",E603="!!!",F603="NEW"),"",COUNTBLANK(OFFSET(A$1,,,SUMPRODUCT(MAX(ROW(E$2:E603)*(E603=E$2:E603)))))-COUNTBLANK(OFFSET(A$1,,,SUMPRODUCT(MAX(ROW(E$1:E602)*(E2=E$1:E602))))))</f>
        <v/>
      </c>
      <c r="K603" s="25" t="str">
        <f>IF(OR(E603="",E603="!!!",F603="NEW"),"",INDEX(J$1:J602,SUMPRODUCT(MAX(ROW(E$1:E602)*(E603=E$1:E602)))))</f>
        <v/>
      </c>
      <c r="L603" s="26"/>
    </row>
    <row r="604" spans="1:12" x14ac:dyDescent="0.3">
      <c r="A604" t="s">
        <v>225</v>
      </c>
      <c r="E604" s="21" t="str">
        <f t="shared" si="64"/>
        <v/>
      </c>
      <c r="F604" s="22" t="str">
        <f>IF(OR(E604="",E604="!!!"),"",IF(NOT(ISNA(VLOOKUP(E604,E$1:E603,1,FALSE()))),"OLD",IF(AND(E604&lt;&gt;"",E604&lt;&gt;"!!!"),"NEW","")))</f>
        <v/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/>
      </c>
      <c r="H604" s="24" t="str">
        <f t="shared" ca="1" si="65"/>
        <v/>
      </c>
      <c r="I604" s="25" t="str">
        <f>IF(OR(E604="",E604="!!!",F604="NEW"),"",INDEX(B$2:B603,-1+SUMPRODUCT(MAX(ROW(E$2:E603)*(E604=E$2:E603)))))</f>
        <v/>
      </c>
      <c r="J604" s="25" t="str">
        <f ca="1">IF(OR(E604="",E604="!!!",F604="NEW"),"",COUNTBLANK(OFFSET(A$1,,,SUMPRODUCT(MAX(ROW(E$2:E604)*(E604=E$2:E604)))))-COUNTBLANK(OFFSET(A$1,,,SUMPRODUCT(MAX(ROW(E$1:E603)*(E2=E$1:E603))))))</f>
        <v/>
      </c>
      <c r="K604" s="25" t="str">
        <f>IF(OR(E604="",E604="!!!",F604="NEW"),"",INDEX(J$1:J603,SUMPRODUCT(MAX(ROW(E$1:E603)*(E604=E$1:E603)))))</f>
        <v/>
      </c>
      <c r="L604" s="26"/>
    </row>
    <row r="605" spans="1:12" x14ac:dyDescent="0.3">
      <c r="A605" t="s">
        <v>463</v>
      </c>
      <c r="B605" s="20" t="s">
        <v>209</v>
      </c>
      <c r="C605" s="20" t="s">
        <v>229</v>
      </c>
      <c r="E605" s="21" t="s">
        <v>507</v>
      </c>
      <c r="F605" s="22" t="str">
        <f>IF(OR(E605="",E605="!!!"),"",IF(NOT(ISNA(VLOOKUP(E605,E$1:E604,1,FALSE()))),"OLD",IF(AND(E605&lt;&gt;"",E605&lt;&gt;"!!!"),"NEW","")))</f>
        <v>OLD</v>
      </c>
      <c r="G605" s="23" t="s">
        <v>509</v>
      </c>
      <c r="H605" s="24" t="str">
        <f t="shared" ca="1" si="65"/>
        <v/>
      </c>
      <c r="I605" s="25" t="str">
        <f>IF(OR(E605="",E605="!!!",F605="NEW"),"",INDEX(B$2:B604,-1+SUMPRODUCT(MAX(ROW(E$2:E604)*(E605=E$2:E604)))))</f>
        <v>OBJ</v>
      </c>
      <c r="J605" s="25">
        <f ca="1">IF(OR(E605="",E605="!!!",F605="NEW"),"",COUNTBLANK(OFFSET(A$1,,,SUMPRODUCT(MAX(ROW(E$2:E605)*(E605=E$2:E605)))))-COUNTBLANK(OFFSET(A$1,,,SUMPRODUCT(MAX(ROW(E$1:E604)*(E2=E$1:E604))))))</f>
        <v>0</v>
      </c>
      <c r="K605" s="25">
        <f ca="1">IF(OR(E605="",E605="!!!",F605="NEW"),"",INDEX(J$1:J604,SUMPRODUCT(MAX(ROW(E$1:E604)*(E605=E$1:E604)))))</f>
        <v>0</v>
      </c>
      <c r="L605" s="26"/>
    </row>
    <row r="606" spans="1:12" x14ac:dyDescent="0.3">
      <c r="A606" t="s">
        <v>464</v>
      </c>
      <c r="E606" s="21" t="str">
        <f t="shared" si="64"/>
        <v/>
      </c>
      <c r="F606" s="22" t="str">
        <f>IF(OR(E606="",E606="!!!"),"",IF(NOT(ISNA(VLOOKUP(E606,E$1:E605,1,FALSE()))),"OLD",IF(AND(E606&lt;&gt;"",E606&lt;&gt;"!!!"),"NEW","")))</f>
        <v/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/>
      </c>
      <c r="H606" s="24" t="str">
        <f t="shared" ca="1" si="65"/>
        <v/>
      </c>
      <c r="I606" s="25" t="str">
        <f>IF(OR(E606="",E606="!!!",F606="NEW"),"",INDEX(B$2:B605,-1+SUMPRODUCT(MAX(ROW(E$2:E605)*(E606=E$2:E605)))))</f>
        <v/>
      </c>
      <c r="J606" s="25" t="str">
        <f ca="1">IF(OR(E606="",E606="!!!",F606="NEW"),"",COUNTBLANK(OFFSET(A$1,,,SUMPRODUCT(MAX(ROW(E$2:E606)*(E606=E$2:E606)))))-COUNTBLANK(OFFSET(A$1,,,SUMPRODUCT(MAX(ROW(E$1:E605)*(E2=E$1:E605))))))</f>
        <v/>
      </c>
      <c r="K606" s="25" t="str">
        <f>IF(OR(E606="",E606="!!!",F606="NEW"),"",INDEX(J$1:J605,SUMPRODUCT(MAX(ROW(E$1:E605)*(E606=E$1:E605)))))</f>
        <v/>
      </c>
      <c r="L606" s="26"/>
    </row>
    <row r="607" spans="1:12" x14ac:dyDescent="0.3">
      <c r="A607" t="s">
        <v>98</v>
      </c>
      <c r="E607" s="21" t="str">
        <f t="shared" si="64"/>
        <v/>
      </c>
      <c r="F607" s="22" t="str">
        <f>IF(OR(E607="",E607="!!!"),"",IF(NOT(ISNA(VLOOKUP(E607,E$1:E606,1,FALSE()))),"OLD",IF(AND(E607&lt;&gt;"",E607&lt;&gt;"!!!"),"NEW","")))</f>
        <v/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/>
      </c>
      <c r="H607" s="24" t="str">
        <f t="shared" ca="1" si="65"/>
        <v/>
      </c>
      <c r="I607" s="25" t="str">
        <f>IF(OR(E607="",E607="!!!",F607="NEW"),"",INDEX(B$2:B606,-1+SUMPRODUCT(MAX(ROW(E$2:E606)*(E607=E$2:E606)))))</f>
        <v/>
      </c>
      <c r="J607" s="25" t="str">
        <f ca="1">IF(OR(E607="",E607="!!!",F607="NEW"),"",COUNTBLANK(OFFSET(A$1,,,SUMPRODUCT(MAX(ROW(E$2:E607)*(E607=E$2:E607)))))-COUNTBLANK(OFFSET(A$1,,,SUMPRODUCT(MAX(ROW(E$1:E606)*(E2=E$1:E606))))))</f>
        <v/>
      </c>
      <c r="K607" s="25" t="str">
        <f>IF(OR(E607="",E607="!!!",F607="NEW"),"",INDEX(J$1:J606,SUMPRODUCT(MAX(ROW(E$1:E606)*(E607=E$1:E606)))))</f>
        <v/>
      </c>
      <c r="L607" s="26"/>
    </row>
    <row r="608" spans="1:12" x14ac:dyDescent="0.3">
      <c r="A608" t="s">
        <v>465</v>
      </c>
      <c r="E608" s="21" t="str">
        <f t="shared" si="64"/>
        <v/>
      </c>
      <c r="F608" s="22" t="str">
        <f>IF(OR(E608="",E608="!!!"),"",IF(NOT(ISNA(VLOOKUP(E608,E$1:E607,1,FALSE()))),"OLD",IF(AND(E608&lt;&gt;"",E608&lt;&gt;"!!!"),"NEW","")))</f>
        <v/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/>
      </c>
      <c r="H608" s="24" t="str">
        <f t="shared" ca="1" si="65"/>
        <v/>
      </c>
      <c r="I608" s="25" t="str">
        <f>IF(OR(E608="",E608="!!!",F608="NEW"),"",INDEX(B$2:B607,-1+SUMPRODUCT(MAX(ROW(E$2:E607)*(E608=E$2:E607)))))</f>
        <v/>
      </c>
      <c r="J608" s="25" t="str">
        <f ca="1">IF(OR(E608="",E608="!!!",F608="NEW"),"",COUNTBLANK(OFFSET(A$1,,,SUMPRODUCT(MAX(ROW(E$2:E608)*(E608=E$2:E608)))))-COUNTBLANK(OFFSET(A$1,,,SUMPRODUCT(MAX(ROW(E$1:E607)*(E2=E$1:E607))))))</f>
        <v/>
      </c>
      <c r="K608" s="25" t="str">
        <f>IF(OR(E608="",E608="!!!",F608="NEW"),"",INDEX(J$1:J607,SUMPRODUCT(MAX(ROW(E$1:E607)*(E608=E$1:E607)))))</f>
        <v/>
      </c>
      <c r="L608" s="26"/>
    </row>
    <row r="609" spans="1:12" x14ac:dyDescent="0.3">
      <c r="A609" t="s">
        <v>197</v>
      </c>
      <c r="E609" s="21" t="str">
        <f t="shared" si="64"/>
        <v/>
      </c>
      <c r="F609" s="22" t="str">
        <f>IF(OR(E609="",E609="!!!"),"",IF(NOT(ISNA(VLOOKUP(E609,E$1:E608,1,FALSE()))),"OLD",IF(AND(E609&lt;&gt;"",E609&lt;&gt;"!!!"),"NEW","")))</f>
        <v/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/>
      </c>
      <c r="H609" s="24" t="str">
        <f t="shared" ca="1" si="65"/>
        <v/>
      </c>
      <c r="I609" s="25" t="str">
        <f>IF(OR(E609="",E609="!!!",F609="NEW"),"",INDEX(B$2:B608,-1+SUMPRODUCT(MAX(ROW(E$2:E608)*(E609=E$2:E608)))))</f>
        <v/>
      </c>
      <c r="J609" s="25" t="str">
        <f ca="1">IF(OR(E609="",E609="!!!",F609="NEW"),"",COUNTBLANK(OFFSET(A$1,,,SUMPRODUCT(MAX(ROW(E$2:E609)*(E609=E$2:E609)))))-COUNTBLANK(OFFSET(A$1,,,SUMPRODUCT(MAX(ROW(E$1:E608)*(E2=E$1:E608))))))</f>
        <v/>
      </c>
      <c r="K609" s="25" t="str">
        <f>IF(OR(E609="",E609="!!!",F609="NEW"),"",INDEX(J$1:J608,SUMPRODUCT(MAX(ROW(E$1:E608)*(E609=E$1:E608)))))</f>
        <v/>
      </c>
      <c r="L609" s="26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Tabea Gröger</cp:lastModifiedBy>
  <dcterms:created xsi:type="dcterms:W3CDTF">2024-12-05T17:54:39Z</dcterms:created>
  <dcterms:modified xsi:type="dcterms:W3CDTF">2025-08-30T12:35:21Z</dcterms:modified>
</cp:coreProperties>
</file>