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52E10DC7-7CAF-4CCA-8C20-B894FD3778ED}" xr6:coauthVersionLast="47" xr6:coauthVersionMax="47" xr10:uidLastSave="{00000000-0000-0000-0000-000000000000}"/>
  <bookViews>
    <workbookView xWindow="-96" yWindow="0" windowWidth="16488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884" i="2" l="1"/>
  <c r="G884" i="2" s="1"/>
  <c r="E883" i="2"/>
  <c r="F883" i="2" s="1"/>
  <c r="K883" i="2" s="1"/>
  <c r="E882" i="2"/>
  <c r="E881" i="2"/>
  <c r="G881" i="2" s="1"/>
  <c r="E880" i="2"/>
  <c r="G880" i="2" s="1"/>
  <c r="G879" i="2"/>
  <c r="E879" i="2"/>
  <c r="F879" i="2" s="1"/>
  <c r="E878" i="2"/>
  <c r="G878" i="2" s="1"/>
  <c r="E877" i="2"/>
  <c r="E874" i="2"/>
  <c r="G874" i="2" s="1"/>
  <c r="F873" i="2"/>
  <c r="E872" i="2"/>
  <c r="E871" i="2"/>
  <c r="G871" i="2" s="1"/>
  <c r="E870" i="2"/>
  <c r="G870" i="2" s="1"/>
  <c r="E869" i="2"/>
  <c r="F869" i="2" s="1"/>
  <c r="G868" i="2"/>
  <c r="F868" i="2"/>
  <c r="E868" i="2"/>
  <c r="E867" i="2"/>
  <c r="E865" i="2"/>
  <c r="F865" i="2" s="1"/>
  <c r="K865" i="2" s="1"/>
  <c r="E864" i="2"/>
  <c r="E863" i="2"/>
  <c r="G863" i="2" s="1"/>
  <c r="G860" i="2"/>
  <c r="E860" i="2"/>
  <c r="F860" i="2" s="1"/>
  <c r="E859" i="2"/>
  <c r="G858" i="2"/>
  <c r="E858" i="2"/>
  <c r="E857" i="2"/>
  <c r="F857" i="2" s="1"/>
  <c r="K857" i="2" s="1"/>
  <c r="E856" i="2"/>
  <c r="E855" i="2"/>
  <c r="G855" i="2" s="1"/>
  <c r="E854" i="2"/>
  <c r="G854" i="2" s="1"/>
  <c r="G852" i="2"/>
  <c r="E852" i="2"/>
  <c r="F852" i="2" s="1"/>
  <c r="J852" i="2" s="1"/>
  <c r="H852" i="2" s="1"/>
  <c r="G850" i="2"/>
  <c r="E850" i="2"/>
  <c r="F850" i="2" s="1"/>
  <c r="E849" i="2"/>
  <c r="F847" i="2"/>
  <c r="K847" i="2" s="1"/>
  <c r="E847" i="2"/>
  <c r="E845" i="2"/>
  <c r="G845" i="2" s="1"/>
  <c r="E844" i="2"/>
  <c r="G844" i="2" s="1"/>
  <c r="G843" i="2"/>
  <c r="J843" i="2"/>
  <c r="H843" i="2" s="1"/>
  <c r="F842" i="2"/>
  <c r="E842" i="2"/>
  <c r="G842" i="2" s="1"/>
  <c r="E841" i="2"/>
  <c r="E840" i="2"/>
  <c r="G840" i="2" s="1"/>
  <c r="K839" i="2"/>
  <c r="E838" i="2"/>
  <c r="E837" i="2"/>
  <c r="G837" i="2" s="1"/>
  <c r="E836" i="2"/>
  <c r="G836" i="2" s="1"/>
  <c r="G835" i="2"/>
  <c r="E835" i="2"/>
  <c r="F835" i="2" s="1"/>
  <c r="I835" i="2" s="1"/>
  <c r="F834" i="2"/>
  <c r="E834" i="2"/>
  <c r="G834" i="2" s="1"/>
  <c r="E833" i="2"/>
  <c r="F831" i="2"/>
  <c r="K831" i="2" s="1"/>
  <c r="F829" i="2"/>
  <c r="K829" i="2" s="1"/>
  <c r="E829" i="2"/>
  <c r="G829" i="2" s="1"/>
  <c r="E828" i="2"/>
  <c r="G828" i="2" s="1"/>
  <c r="G827" i="2"/>
  <c r="E827" i="2"/>
  <c r="F827" i="2" s="1"/>
  <c r="J827" i="2" s="1"/>
  <c r="H827" i="2" s="1"/>
  <c r="G824" i="2"/>
  <c r="F824" i="2"/>
  <c r="E824" i="2"/>
  <c r="G822" i="2"/>
  <c r="E822" i="2"/>
  <c r="F821" i="2"/>
  <c r="K821" i="2" s="1"/>
  <c r="E821" i="2"/>
  <c r="E820" i="2"/>
  <c r="F819" i="2"/>
  <c r="K819" i="2" s="1"/>
  <c r="E819" i="2"/>
  <c r="G819" i="2" s="1"/>
  <c r="E818" i="2"/>
  <c r="G818" i="2" s="1"/>
  <c r="G817" i="2"/>
  <c r="E817" i="2"/>
  <c r="F817" i="2" s="1"/>
  <c r="J817" i="2" s="1"/>
  <c r="H817" i="2" s="1"/>
  <c r="G816" i="2"/>
  <c r="F816" i="2"/>
  <c r="E816" i="2"/>
  <c r="E814" i="2"/>
  <c r="G814" i="2" s="1"/>
  <c r="E813" i="2"/>
  <c r="F813" i="2" s="1"/>
  <c r="K813" i="2" s="1"/>
  <c r="E812" i="2"/>
  <c r="F811" i="2"/>
  <c r="K811" i="2" s="1"/>
  <c r="E811" i="2"/>
  <c r="G811" i="2" s="1"/>
  <c r="E809" i="2"/>
  <c r="F809" i="2" s="1"/>
  <c r="J809" i="2" s="1"/>
  <c r="H809" i="2" s="1"/>
  <c r="E808" i="2"/>
  <c r="G808" i="2" s="1"/>
  <c r="F807" i="2"/>
  <c r="E807" i="2"/>
  <c r="E804" i="2"/>
  <c r="E803" i="2"/>
  <c r="F803" i="2" s="1"/>
  <c r="K803" i="2" s="1"/>
  <c r="E802" i="2"/>
  <c r="E800" i="2"/>
  <c r="G800" i="2" s="1"/>
  <c r="E799" i="2"/>
  <c r="F799" i="2" s="1"/>
  <c r="F798" i="2"/>
  <c r="I798" i="2" s="1"/>
  <c r="E798" i="2"/>
  <c r="G798" i="2" s="1"/>
  <c r="E797" i="2"/>
  <c r="G796" i="2"/>
  <c r="E796" i="2"/>
  <c r="E795" i="2"/>
  <c r="F795" i="2" s="1"/>
  <c r="K795" i="2" s="1"/>
  <c r="F793" i="2"/>
  <c r="K793" i="2" s="1"/>
  <c r="E793" i="2"/>
  <c r="G793" i="2" s="1"/>
  <c r="E792" i="2"/>
  <c r="G792" i="2" s="1"/>
  <c r="G791" i="2"/>
  <c r="E791" i="2"/>
  <c r="F791" i="2" s="1"/>
  <c r="J791" i="2" s="1"/>
  <c r="H791" i="2" s="1"/>
  <c r="G790" i="2"/>
  <c r="F790" i="2"/>
  <c r="E790" i="2"/>
  <c r="F789" i="2"/>
  <c r="J789" i="2" s="1"/>
  <c r="E788" i="2"/>
  <c r="F787" i="2"/>
  <c r="E786" i="2"/>
  <c r="F785" i="2"/>
  <c r="K785" i="2" s="1"/>
  <c r="E785" i="2"/>
  <c r="G785" i="2" s="1"/>
  <c r="E783" i="2"/>
  <c r="F783" i="2" s="1"/>
  <c r="K783" i="2" s="1"/>
  <c r="G782" i="2"/>
  <c r="F782" i="2"/>
  <c r="J782" i="2" s="1"/>
  <c r="H782" i="2" s="1"/>
  <c r="E782" i="2"/>
  <c r="E781" i="2"/>
  <c r="G781" i="2" s="1"/>
  <c r="E779" i="2"/>
  <c r="E777" i="2"/>
  <c r="F777" i="2" s="1"/>
  <c r="E776" i="2"/>
  <c r="E775" i="2"/>
  <c r="G775" i="2" s="1"/>
  <c r="E774" i="2"/>
  <c r="G773" i="2"/>
  <c r="E773" i="2"/>
  <c r="F773" i="2" s="1"/>
  <c r="K773" i="2" s="1"/>
  <c r="F772" i="2"/>
  <c r="J772" i="2" s="1"/>
  <c r="H772" i="2" s="1"/>
  <c r="E771" i="2"/>
  <c r="G769" i="2"/>
  <c r="E769" i="2"/>
  <c r="F769" i="2" s="1"/>
  <c r="F768" i="2"/>
  <c r="K768" i="2" s="1"/>
  <c r="E768" i="2"/>
  <c r="E767" i="2"/>
  <c r="G767" i="2" s="1"/>
  <c r="E766" i="2"/>
  <c r="G765" i="2"/>
  <c r="E765" i="2"/>
  <c r="F765" i="2" s="1"/>
  <c r="I765" i="2" s="1"/>
  <c r="J764" i="2"/>
  <c r="H764" i="2" s="1"/>
  <c r="G764" i="2"/>
  <c r="F763" i="2"/>
  <c r="J763" i="2" s="1"/>
  <c r="H763" i="2" s="1"/>
  <c r="E763" i="2"/>
  <c r="G763" i="2" s="1"/>
  <c r="E762" i="2"/>
  <c r="E761" i="2"/>
  <c r="E760" i="2"/>
  <c r="G760" i="2" s="1"/>
  <c r="E759" i="2"/>
  <c r="G759" i="2" s="1"/>
  <c r="F758" i="2"/>
  <c r="K758" i="2" s="1"/>
  <c r="E758" i="2"/>
  <c r="G758" i="2" s="1"/>
  <c r="G757" i="2"/>
  <c r="F757" i="2"/>
  <c r="K757" i="2" s="1"/>
  <c r="E757" i="2"/>
  <c r="F755" i="2"/>
  <c r="E755" i="2"/>
  <c r="G755" i="2" s="1"/>
  <c r="E754" i="2"/>
  <c r="E753" i="2"/>
  <c r="E752" i="2"/>
  <c r="G752" i="2" s="1"/>
  <c r="F750" i="2"/>
  <c r="K750" i="2" s="1"/>
  <c r="E750" i="2"/>
  <c r="G750" i="2" s="1"/>
  <c r="G749" i="2"/>
  <c r="F749" i="2"/>
  <c r="K749" i="2" s="1"/>
  <c r="E749" i="2"/>
  <c r="G747" i="2"/>
  <c r="E747" i="2"/>
  <c r="G745" i="2"/>
  <c r="F745" i="2"/>
  <c r="E745" i="2"/>
  <c r="E744" i="2"/>
  <c r="E743" i="2"/>
  <c r="E742" i="2"/>
  <c r="G742" i="2" s="1"/>
  <c r="G740" i="2"/>
  <c r="F740" i="2"/>
  <c r="I740" i="2" s="1"/>
  <c r="E740" i="2"/>
  <c r="G739" i="2"/>
  <c r="F739" i="2"/>
  <c r="E739" i="2"/>
  <c r="G737" i="2"/>
  <c r="E737" i="2"/>
  <c r="F737" i="2" s="1"/>
  <c r="E736" i="2"/>
  <c r="E735" i="2"/>
  <c r="F734" i="2"/>
  <c r="K734" i="2" s="1"/>
  <c r="E733" i="2"/>
  <c r="G733" i="2" s="1"/>
  <c r="G732" i="2"/>
  <c r="E732" i="2"/>
  <c r="F732" i="2" s="1"/>
  <c r="K732" i="2" s="1"/>
  <c r="F731" i="2"/>
  <c r="E731" i="2"/>
  <c r="G731" i="2" s="1"/>
  <c r="G729" i="2"/>
  <c r="F729" i="2"/>
  <c r="E729" i="2"/>
  <c r="F728" i="2"/>
  <c r="K728" i="2" s="1"/>
  <c r="E728" i="2"/>
  <c r="E727" i="2"/>
  <c r="K726" i="2"/>
  <c r="G726" i="2"/>
  <c r="E725" i="2"/>
  <c r="G725" i="2" s="1"/>
  <c r="G724" i="2"/>
  <c r="E724" i="2"/>
  <c r="F724" i="2" s="1"/>
  <c r="K724" i="2" s="1"/>
  <c r="F723" i="2"/>
  <c r="E723" i="2"/>
  <c r="G723" i="2" s="1"/>
  <c r="G721" i="2"/>
  <c r="F721" i="2"/>
  <c r="E721" i="2"/>
  <c r="F720" i="2"/>
  <c r="K720" i="2" s="1"/>
  <c r="E720" i="2"/>
  <c r="E718" i="2"/>
  <c r="F716" i="2"/>
  <c r="I716" i="2" s="1"/>
  <c r="E716" i="2"/>
  <c r="G716" i="2" s="1"/>
  <c r="G714" i="2"/>
  <c r="E714" i="2"/>
  <c r="F714" i="2" s="1"/>
  <c r="K714" i="2" s="1"/>
  <c r="E713" i="2"/>
  <c r="G713" i="2" s="1"/>
  <c r="E712" i="2"/>
  <c r="G712" i="2" s="1"/>
  <c r="F711" i="2"/>
  <c r="E711" i="2"/>
  <c r="F710" i="2"/>
  <c r="E710" i="2"/>
  <c r="E709" i="2"/>
  <c r="F708" i="2"/>
  <c r="I708" i="2" s="1"/>
  <c r="E708" i="2"/>
  <c r="G708" i="2" s="1"/>
  <c r="G706" i="2"/>
  <c r="E706" i="2"/>
  <c r="F706" i="2" s="1"/>
  <c r="K706" i="2" s="1"/>
  <c r="G705" i="2"/>
  <c r="E704" i="2"/>
  <c r="G704" i="2" s="1"/>
  <c r="F703" i="2"/>
  <c r="E702" i="2"/>
  <c r="F702" i="2" s="1"/>
  <c r="K702" i="2" s="1"/>
  <c r="E699" i="2"/>
  <c r="E696" i="2"/>
  <c r="F696" i="2" s="1"/>
  <c r="K696" i="2" s="1"/>
  <c r="F695" i="2"/>
  <c r="E694" i="2"/>
  <c r="E693" i="2"/>
  <c r="F692" i="2"/>
  <c r="K692" i="2" s="1"/>
  <c r="E692" i="2"/>
  <c r="G691" i="2"/>
  <c r="E691" i="2"/>
  <c r="F690" i="2"/>
  <c r="K690" i="2" s="1"/>
  <c r="E690" i="2"/>
  <c r="G690" i="2" s="1"/>
  <c r="E689" i="2"/>
  <c r="K688" i="2"/>
  <c r="G687" i="2"/>
  <c r="F687" i="2"/>
  <c r="J687" i="2" s="1"/>
  <c r="H687" i="2" s="1"/>
  <c r="E687" i="2"/>
  <c r="F686" i="2"/>
  <c r="J686" i="2" s="1"/>
  <c r="H686" i="2" s="1"/>
  <c r="E686" i="2"/>
  <c r="E685" i="2"/>
  <c r="F684" i="2"/>
  <c r="E684" i="2"/>
  <c r="E683" i="2"/>
  <c r="F682" i="2"/>
  <c r="K682" i="2" s="1"/>
  <c r="E682" i="2"/>
  <c r="G682" i="2" s="1"/>
  <c r="E681" i="2"/>
  <c r="G680" i="2"/>
  <c r="E680" i="2"/>
  <c r="F680" i="2" s="1"/>
  <c r="K680" i="2" s="1"/>
  <c r="G679" i="2"/>
  <c r="F679" i="2"/>
  <c r="J679" i="2" s="1"/>
  <c r="H679" i="2" s="1"/>
  <c r="E679" i="2"/>
  <c r="E678" i="2"/>
  <c r="G678" i="2" s="1"/>
  <c r="F676" i="2"/>
  <c r="K676" i="2" s="1"/>
  <c r="E676" i="2"/>
  <c r="F673" i="2"/>
  <c r="K673" i="2" s="1"/>
  <c r="E673" i="2"/>
  <c r="F672" i="2"/>
  <c r="J672" i="2" s="1"/>
  <c r="H672" i="2" s="1"/>
  <c r="E671" i="2"/>
  <c r="G670" i="2"/>
  <c r="E670" i="2"/>
  <c r="F670" i="2" s="1"/>
  <c r="I670" i="2" s="1"/>
  <c r="G669" i="2"/>
  <c r="F669" i="2"/>
  <c r="K669" i="2" s="1"/>
  <c r="E669" i="2"/>
  <c r="G668" i="2"/>
  <c r="F668" i="2"/>
  <c r="J668" i="2" s="1"/>
  <c r="H668" i="2" s="1"/>
  <c r="E668" i="2"/>
  <c r="E667" i="2"/>
  <c r="E666" i="2"/>
  <c r="F665" i="2"/>
  <c r="F664" i="2"/>
  <c r="K664" i="2" s="1"/>
  <c r="E664" i="2"/>
  <c r="G664" i="2" s="1"/>
  <c r="E663" i="2"/>
  <c r="G662" i="2"/>
  <c r="E662" i="2"/>
  <c r="F662" i="2" s="1"/>
  <c r="J662" i="2" s="1"/>
  <c r="H662" i="2" s="1"/>
  <c r="G661" i="2"/>
  <c r="F661" i="2"/>
  <c r="I661" i="2" s="1"/>
  <c r="E661" i="2"/>
  <c r="G660" i="2"/>
  <c r="F660" i="2"/>
  <c r="J660" i="2" s="1"/>
  <c r="H660" i="2" s="1"/>
  <c r="E660" i="2"/>
  <c r="F659" i="2"/>
  <c r="I659" i="2" s="1"/>
  <c r="F658" i="2"/>
  <c r="K658" i="2" s="1"/>
  <c r="E658" i="2"/>
  <c r="F657" i="2"/>
  <c r="K657" i="2" s="1"/>
  <c r="E657" i="2"/>
  <c r="E656" i="2"/>
  <c r="G656" i="2" s="1"/>
  <c r="E654" i="2"/>
  <c r="F654" i="2" s="1"/>
  <c r="I654" i="2" s="1"/>
  <c r="F653" i="2"/>
  <c r="K653" i="2" s="1"/>
  <c r="E653" i="2"/>
  <c r="G653" i="2" s="1"/>
  <c r="F650" i="2"/>
  <c r="J650" i="2" s="1"/>
  <c r="H650" i="2" s="1"/>
  <c r="E650" i="2"/>
  <c r="G650" i="2" s="1"/>
  <c r="E649" i="2"/>
  <c r="F647" i="2"/>
  <c r="E647" i="2"/>
  <c r="G647" i="2" s="1"/>
  <c r="E646" i="2"/>
  <c r="G646" i="2" s="1"/>
  <c r="E645" i="2"/>
  <c r="E644" i="2"/>
  <c r="F644" i="2" s="1"/>
  <c r="J644" i="2" s="1"/>
  <c r="H644" i="2" s="1"/>
  <c r="F643" i="2"/>
  <c r="E643" i="2"/>
  <c r="G643" i="2" s="1"/>
  <c r="E642" i="2"/>
  <c r="G641" i="2"/>
  <c r="F641" i="2"/>
  <c r="K641" i="2" s="1"/>
  <c r="E641" i="2"/>
  <c r="F640" i="2"/>
  <c r="E640" i="2"/>
  <c r="G640" i="2" s="1"/>
  <c r="E639" i="2"/>
  <c r="E638" i="2"/>
  <c r="G638" i="2" s="1"/>
  <c r="F636" i="2"/>
  <c r="J636" i="2" s="1"/>
  <c r="H636" i="2" s="1"/>
  <c r="E636" i="2"/>
  <c r="G636" i="2" s="1"/>
  <c r="E635" i="2"/>
  <c r="F635" i="2" s="1"/>
  <c r="I635" i="2" s="1"/>
  <c r="E632" i="2"/>
  <c r="G631" i="2"/>
  <c r="J631" i="2"/>
  <c r="H631" i="2" s="1"/>
  <c r="F630" i="2"/>
  <c r="E630" i="2"/>
  <c r="G630" i="2" s="1"/>
  <c r="E629" i="2"/>
  <c r="G628" i="2"/>
  <c r="F628" i="2"/>
  <c r="K628" i="2" s="1"/>
  <c r="E628" i="2"/>
  <c r="E627" i="2"/>
  <c r="G627" i="2" s="1"/>
  <c r="E626" i="2"/>
  <c r="G626" i="2" s="1"/>
  <c r="F625" i="2"/>
  <c r="I625" i="2" s="1"/>
  <c r="F623" i="2"/>
  <c r="K623" i="2" s="1"/>
  <c r="E623" i="2"/>
  <c r="G623" i="2" s="1"/>
  <c r="E621" i="2"/>
  <c r="G620" i="2"/>
  <c r="F620" i="2"/>
  <c r="J620" i="2" s="1"/>
  <c r="H620" i="2" s="1"/>
  <c r="E620" i="2"/>
  <c r="G619" i="2"/>
  <c r="F619" i="2"/>
  <c r="J619" i="2" s="1"/>
  <c r="H619" i="2" s="1"/>
  <c r="E619" i="2"/>
  <c r="G618" i="2"/>
  <c r="F618" i="2"/>
  <c r="J618" i="2" s="1"/>
  <c r="H618" i="2" s="1"/>
  <c r="E618" i="2"/>
  <c r="F617" i="2"/>
  <c r="I617" i="2" s="1"/>
  <c r="E617" i="2"/>
  <c r="E616" i="2"/>
  <c r="F614" i="2"/>
  <c r="E614" i="2"/>
  <c r="G614" i="2" s="1"/>
  <c r="E613" i="2"/>
  <c r="E611" i="2"/>
  <c r="G611" i="2" s="1"/>
  <c r="E610" i="2"/>
  <c r="G610" i="2" s="1"/>
  <c r="E607" i="2"/>
  <c r="F607" i="2" s="1"/>
  <c r="I607" i="2" s="1"/>
  <c r="E606" i="2"/>
  <c r="F604" i="2"/>
  <c r="K604" i="2" s="1"/>
  <c r="E604" i="2"/>
  <c r="G604" i="2" s="1"/>
  <c r="F602" i="2"/>
  <c r="K602" i="2" s="1"/>
  <c r="E602" i="2"/>
  <c r="G602" i="2" s="1"/>
  <c r="F601" i="2"/>
  <c r="J601" i="2" s="1"/>
  <c r="H601" i="2" s="1"/>
  <c r="E601" i="2"/>
  <c r="G601" i="2" s="1"/>
  <c r="F599" i="2"/>
  <c r="I599" i="2" s="1"/>
  <c r="E599" i="2"/>
  <c r="G599" i="2" s="1"/>
  <c r="E598" i="2"/>
  <c r="G597" i="2"/>
  <c r="E597" i="2"/>
  <c r="E595" i="2"/>
  <c r="G592" i="2"/>
  <c r="F592" i="2"/>
  <c r="J592" i="2" s="1"/>
  <c r="H592" i="2" s="1"/>
  <c r="E592" i="2"/>
  <c r="F591" i="2"/>
  <c r="J591" i="2" s="1"/>
  <c r="H591" i="2" s="1"/>
  <c r="G590" i="2"/>
  <c r="E590" i="2"/>
  <c r="G589" i="2"/>
  <c r="F589" i="2"/>
  <c r="I589" i="2" s="1"/>
  <c r="E589" i="2"/>
  <c r="G587" i="2"/>
  <c r="E587" i="2"/>
  <c r="F586" i="2"/>
  <c r="E586" i="2"/>
  <c r="G586" i="2" s="1"/>
  <c r="E585" i="2"/>
  <c r="E584" i="2"/>
  <c r="G584" i="2" s="1"/>
  <c r="G583" i="2"/>
  <c r="E582" i="2"/>
  <c r="G582" i="2" s="1"/>
  <c r="E581" i="2"/>
  <c r="G581" i="2" s="1"/>
  <c r="E580" i="2"/>
  <c r="E579" i="2"/>
  <c r="F578" i="2"/>
  <c r="K578" i="2" s="1"/>
  <c r="E578" i="2"/>
  <c r="G578" i="2" s="1"/>
  <c r="E577" i="2"/>
  <c r="E576" i="2"/>
  <c r="G576" i="2" s="1"/>
  <c r="E575" i="2"/>
  <c r="G575" i="2" s="1"/>
  <c r="E573" i="2"/>
  <c r="G573" i="2" s="1"/>
  <c r="F570" i="2"/>
  <c r="E570" i="2"/>
  <c r="E569" i="2"/>
  <c r="E568" i="2"/>
  <c r="G568" i="2" s="1"/>
  <c r="E567" i="2"/>
  <c r="F566" i="2"/>
  <c r="K566" i="2" s="1"/>
  <c r="E566" i="2"/>
  <c r="G566" i="2" s="1"/>
  <c r="G564" i="2"/>
  <c r="E564" i="2"/>
  <c r="G563" i="2"/>
  <c r="F563" i="2"/>
  <c r="I563" i="2" s="1"/>
  <c r="E563" i="2"/>
  <c r="E562" i="2"/>
  <c r="E561" i="2"/>
  <c r="E560" i="2"/>
  <c r="G560" i="2" s="1"/>
  <c r="G558" i="2"/>
  <c r="F558" i="2"/>
  <c r="K558" i="2" s="1"/>
  <c r="E558" i="2"/>
  <c r="E557" i="2"/>
  <c r="G556" i="2"/>
  <c r="E556" i="2"/>
  <c r="E555" i="2"/>
  <c r="G555" i="2" s="1"/>
  <c r="E554" i="2"/>
  <c r="E553" i="2"/>
  <c r="F552" i="2"/>
  <c r="J552" i="2" s="1"/>
  <c r="H552" i="2" s="1"/>
  <c r="E552" i="2"/>
  <c r="G552" i="2" s="1"/>
  <c r="F550" i="2"/>
  <c r="E550" i="2"/>
  <c r="G550" i="2" s="1"/>
  <c r="E549" i="2"/>
  <c r="E547" i="2"/>
  <c r="E545" i="2"/>
  <c r="G545" i="2" s="1"/>
  <c r="E544" i="2"/>
  <c r="F544" i="2" s="1"/>
  <c r="J544" i="2" s="1"/>
  <c r="H544" i="2" s="1"/>
  <c r="E541" i="2"/>
  <c r="G540" i="2"/>
  <c r="F540" i="2"/>
  <c r="K540" i="2" s="1"/>
  <c r="E540" i="2"/>
  <c r="G539" i="2"/>
  <c r="E539" i="2"/>
  <c r="E538" i="2"/>
  <c r="G538" i="2" s="1"/>
  <c r="E537" i="2"/>
  <c r="E536" i="2"/>
  <c r="F536" i="2" s="1"/>
  <c r="J536" i="2" s="1"/>
  <c r="H536" i="2" s="1"/>
  <c r="F535" i="2"/>
  <c r="I535" i="2" s="1"/>
  <c r="F534" i="2"/>
  <c r="J534" i="2" s="1"/>
  <c r="H534" i="2" s="1"/>
  <c r="G534" i="2"/>
  <c r="E531" i="2"/>
  <c r="F531" i="2" s="1"/>
  <c r="I531" i="2" s="1"/>
  <c r="E530" i="2"/>
  <c r="G530" i="2" s="1"/>
  <c r="F529" i="2"/>
  <c r="I529" i="2" s="1"/>
  <c r="E529" i="2"/>
  <c r="G529" i="2" s="1"/>
  <c r="E528" i="2"/>
  <c r="F527" i="2"/>
  <c r="K527" i="2" s="1"/>
  <c r="E527" i="2"/>
  <c r="G527" i="2" s="1"/>
  <c r="E526" i="2"/>
  <c r="E525" i="2"/>
  <c r="F525" i="2" s="1"/>
  <c r="J525" i="2" s="1"/>
  <c r="H525" i="2" s="1"/>
  <c r="G523" i="2"/>
  <c r="E523" i="2"/>
  <c r="F523" i="2" s="1"/>
  <c r="J523" i="2" s="1"/>
  <c r="H523" i="2" s="1"/>
  <c r="G522" i="2"/>
  <c r="F522" i="2"/>
  <c r="K522" i="2" s="1"/>
  <c r="E522" i="2"/>
  <c r="G521" i="2"/>
  <c r="E521" i="2"/>
  <c r="G519" i="2"/>
  <c r="E519" i="2"/>
  <c r="E517" i="2"/>
  <c r="F516" i="2"/>
  <c r="J516" i="2" s="1"/>
  <c r="H516" i="2" s="1"/>
  <c r="E515" i="2"/>
  <c r="F515" i="2" s="1"/>
  <c r="K515" i="2" s="1"/>
  <c r="E514" i="2"/>
  <c r="G514" i="2" s="1"/>
  <c r="E513" i="2"/>
  <c r="F513" i="2" s="1"/>
  <c r="K513" i="2" s="1"/>
  <c r="F512" i="2"/>
  <c r="K512" i="2" s="1"/>
  <c r="E512" i="2"/>
  <c r="G512" i="2" s="1"/>
  <c r="G511" i="2"/>
  <c r="F511" i="2"/>
  <c r="I511" i="2" s="1"/>
  <c r="E511" i="2"/>
  <c r="E510" i="2"/>
  <c r="F509" i="2"/>
  <c r="F508" i="2"/>
  <c r="E508" i="2"/>
  <c r="E507" i="2"/>
  <c r="F507" i="2" s="1"/>
  <c r="I507" i="2" s="1"/>
  <c r="F506" i="2"/>
  <c r="I506" i="2" s="1"/>
  <c r="E506" i="2"/>
  <c r="G506" i="2" s="1"/>
  <c r="F505" i="2"/>
  <c r="J505" i="2" s="1"/>
  <c r="H505" i="2" s="1"/>
  <c r="F504" i="2"/>
  <c r="K504" i="2" s="1"/>
  <c r="E504" i="2"/>
  <c r="G504" i="2" s="1"/>
  <c r="E503" i="2"/>
  <c r="G503" i="2" s="1"/>
  <c r="E502" i="2"/>
  <c r="G502" i="2" s="1"/>
  <c r="E501" i="2"/>
  <c r="F500" i="2"/>
  <c r="J500" i="2" s="1"/>
  <c r="H500" i="2" s="1"/>
  <c r="G499" i="2"/>
  <c r="E499" i="2"/>
  <c r="E498" i="2"/>
  <c r="E497" i="2"/>
  <c r="F497" i="2" s="1"/>
  <c r="G496" i="2"/>
  <c r="F496" i="2"/>
  <c r="J496" i="2" s="1"/>
  <c r="H496" i="2" s="1"/>
  <c r="E496" i="2"/>
  <c r="G495" i="2"/>
  <c r="F495" i="2"/>
  <c r="K495" i="2" s="1"/>
  <c r="E495" i="2"/>
  <c r="G494" i="2"/>
  <c r="E494" i="2"/>
  <c r="E493" i="2"/>
  <c r="E492" i="2"/>
  <c r="F491" i="2"/>
  <c r="I491" i="2" s="1"/>
  <c r="E488" i="2"/>
  <c r="G488" i="2" s="1"/>
  <c r="F486" i="2"/>
  <c r="E486" i="2"/>
  <c r="G486" i="2" s="1"/>
  <c r="E485" i="2"/>
  <c r="G484" i="2"/>
  <c r="F484" i="2"/>
  <c r="I484" i="2" s="1"/>
  <c r="E484" i="2"/>
  <c r="G483" i="2"/>
  <c r="E483" i="2"/>
  <c r="G482" i="2"/>
  <c r="F482" i="2"/>
  <c r="E482" i="2"/>
  <c r="E481" i="2"/>
  <c r="F480" i="2"/>
  <c r="I480" i="2" s="1"/>
  <c r="E480" i="2"/>
  <c r="G480" i="2" s="1"/>
  <c r="E479" i="2"/>
  <c r="F479" i="2" s="1"/>
  <c r="J479" i="2" s="1"/>
  <c r="H479" i="2" s="1"/>
  <c r="F478" i="2"/>
  <c r="F477" i="2"/>
  <c r="E477" i="2"/>
  <c r="G477" i="2" s="1"/>
  <c r="E476" i="2"/>
  <c r="G474" i="2"/>
  <c r="E474" i="2"/>
  <c r="G471" i="2"/>
  <c r="F471" i="2"/>
  <c r="E471" i="2"/>
  <c r="E469" i="2"/>
  <c r="F469" i="2" s="1"/>
  <c r="I469" i="2" s="1"/>
  <c r="E468" i="2"/>
  <c r="G468" i="2" s="1"/>
  <c r="E467" i="2"/>
  <c r="E466" i="2"/>
  <c r="G466" i="2" s="1"/>
  <c r="E465" i="2"/>
  <c r="F464" i="2"/>
  <c r="G463" i="2"/>
  <c r="E463" i="2"/>
  <c r="E461" i="2"/>
  <c r="F460" i="2"/>
  <c r="K460" i="2" s="1"/>
  <c r="E460" i="2"/>
  <c r="G460" i="2" s="1"/>
  <c r="F459" i="2"/>
  <c r="K459" i="2" s="1"/>
  <c r="E459" i="2"/>
  <c r="G459" i="2" s="1"/>
  <c r="E457" i="2"/>
  <c r="E456" i="2"/>
  <c r="E455" i="2"/>
  <c r="G455" i="2" s="1"/>
  <c r="E454" i="2"/>
  <c r="E451" i="2"/>
  <c r="F450" i="2"/>
  <c r="I450" i="2" s="1"/>
  <c r="E450" i="2"/>
  <c r="F448" i="2"/>
  <c r="G447" i="2"/>
  <c r="F447" i="2"/>
  <c r="J447" i="2" s="1"/>
  <c r="H447" i="2" s="1"/>
  <c r="E447" i="2"/>
  <c r="E446" i="2"/>
  <c r="E445" i="2"/>
  <c r="G445" i="2" s="1"/>
  <c r="E443" i="2"/>
  <c r="E442" i="2"/>
  <c r="E441" i="2"/>
  <c r="F440" i="2"/>
  <c r="E439" i="2"/>
  <c r="F438" i="2"/>
  <c r="E438" i="2"/>
  <c r="G438" i="2" s="1"/>
  <c r="G435" i="2"/>
  <c r="E435" i="2"/>
  <c r="F434" i="2"/>
  <c r="I434" i="2" s="1"/>
  <c r="G433" i="2"/>
  <c r="E433" i="2"/>
  <c r="E432" i="2"/>
  <c r="E431" i="2"/>
  <c r="E430" i="2"/>
  <c r="G430" i="2" s="1"/>
  <c r="E428" i="2"/>
  <c r="G428" i="2" s="1"/>
  <c r="E427" i="2"/>
  <c r="E426" i="2"/>
  <c r="G426" i="2" s="1"/>
  <c r="E425" i="2"/>
  <c r="F424" i="2"/>
  <c r="J424" i="2" s="1"/>
  <c r="H424" i="2" s="1"/>
  <c r="E424" i="2"/>
  <c r="G424" i="2" s="1"/>
  <c r="E423" i="2"/>
  <c r="E422" i="2"/>
  <c r="G421" i="2"/>
  <c r="F421" i="2"/>
  <c r="K421" i="2" s="1"/>
  <c r="E421" i="2"/>
  <c r="F420" i="2"/>
  <c r="E420" i="2"/>
  <c r="G420" i="2" s="1"/>
  <c r="G419" i="2"/>
  <c r="F419" i="2"/>
  <c r="E419" i="2"/>
  <c r="E417" i="2"/>
  <c r="E416" i="2"/>
  <c r="F415" i="2"/>
  <c r="G415" i="2"/>
  <c r="E414" i="2"/>
  <c r="F414" i="2" s="1"/>
  <c r="K414" i="2" s="1"/>
  <c r="F413" i="2"/>
  <c r="J413" i="2" s="1"/>
  <c r="H413" i="2" s="1"/>
  <c r="E413" i="2"/>
  <c r="G413" i="2" s="1"/>
  <c r="E411" i="2"/>
  <c r="G411" i="2" s="1"/>
  <c r="F409" i="2"/>
  <c r="E409" i="2"/>
  <c r="G409" i="2" s="1"/>
  <c r="G408" i="2"/>
  <c r="F408" i="2"/>
  <c r="E408" i="2"/>
  <c r="E406" i="2"/>
  <c r="G406" i="2" s="1"/>
  <c r="G404" i="2"/>
  <c r="E404" i="2"/>
  <c r="F404" i="2" s="1"/>
  <c r="K404" i="2" s="1"/>
  <c r="E403" i="2"/>
  <c r="G403" i="2" s="1"/>
  <c r="E400" i="2"/>
  <c r="E399" i="2"/>
  <c r="F398" i="2"/>
  <c r="G397" i="2"/>
  <c r="F397" i="2"/>
  <c r="E397" i="2"/>
  <c r="E393" i="2"/>
  <c r="G393" i="2" s="1"/>
  <c r="E392" i="2"/>
  <c r="E391" i="2"/>
  <c r="G391" i="2" s="1"/>
  <c r="F390" i="2"/>
  <c r="E390" i="2"/>
  <c r="G390" i="2" s="1"/>
  <c r="E389" i="2"/>
  <c r="E388" i="2"/>
  <c r="F387" i="2"/>
  <c r="K387" i="2" s="1"/>
  <c r="E387" i="2"/>
  <c r="G387" i="2" s="1"/>
  <c r="E386" i="2"/>
  <c r="G386" i="2" s="1"/>
  <c r="E385" i="2"/>
  <c r="F385" i="2" s="1"/>
  <c r="F384" i="2"/>
  <c r="E384" i="2"/>
  <c r="G384" i="2" s="1"/>
  <c r="G382" i="2"/>
  <c r="E381" i="2"/>
  <c r="F379" i="2"/>
  <c r="E378" i="2"/>
  <c r="G378" i="2" s="1"/>
  <c r="F377" i="2"/>
  <c r="F376" i="2"/>
  <c r="E375" i="2"/>
  <c r="E372" i="2"/>
  <c r="E371" i="2"/>
  <c r="E370" i="2"/>
  <c r="F369" i="2"/>
  <c r="K369" i="2" s="1"/>
  <c r="E369" i="2"/>
  <c r="G369" i="2" s="1"/>
  <c r="E368" i="2"/>
  <c r="G368" i="2" s="1"/>
  <c r="G367" i="2"/>
  <c r="F367" i="2"/>
  <c r="I367" i="2" s="1"/>
  <c r="F366" i="2"/>
  <c r="E365" i="2"/>
  <c r="E364" i="2"/>
  <c r="G364" i="2" s="1"/>
  <c r="E363" i="2"/>
  <c r="E362" i="2"/>
  <c r="F361" i="2"/>
  <c r="K361" i="2" s="1"/>
  <c r="E361" i="2"/>
  <c r="G361" i="2" s="1"/>
  <c r="E360" i="2"/>
  <c r="G360" i="2" s="1"/>
  <c r="F359" i="2"/>
  <c r="J359" i="2" s="1"/>
  <c r="H359" i="2" s="1"/>
  <c r="F358" i="2"/>
  <c r="E358" i="2"/>
  <c r="E357" i="2"/>
  <c r="F356" i="2"/>
  <c r="E355" i="2"/>
  <c r="E354" i="2"/>
  <c r="F353" i="2"/>
  <c r="K353" i="2" s="1"/>
  <c r="E353" i="2"/>
  <c r="G353" i="2" s="1"/>
  <c r="E352" i="2"/>
  <c r="G352" i="2" s="1"/>
  <c r="G351" i="2"/>
  <c r="E351" i="2"/>
  <c r="F351" i="2" s="1"/>
  <c r="J351" i="2" s="1"/>
  <c r="H351" i="2" s="1"/>
  <c r="F350" i="2"/>
  <c r="E349" i="2"/>
  <c r="G347" i="2"/>
  <c r="F347" i="2"/>
  <c r="E347" i="2"/>
  <c r="E345" i="2"/>
  <c r="E343" i="2"/>
  <c r="G343" i="2" s="1"/>
  <c r="E342" i="2"/>
  <c r="G342" i="2" s="1"/>
  <c r="G341" i="2"/>
  <c r="F341" i="2"/>
  <c r="J341" i="2" s="1"/>
  <c r="H341" i="2" s="1"/>
  <c r="E341" i="2"/>
  <c r="F340" i="2"/>
  <c r="E340" i="2"/>
  <c r="E338" i="2"/>
  <c r="G338" i="2" s="1"/>
  <c r="E337" i="2"/>
  <c r="E336" i="2"/>
  <c r="F335" i="2"/>
  <c r="I335" i="2" s="1"/>
  <c r="F332" i="2"/>
  <c r="E332" i="2"/>
  <c r="E331" i="2"/>
  <c r="G330" i="2"/>
  <c r="E330" i="2"/>
  <c r="F330" i="2" s="1"/>
  <c r="E328" i="2"/>
  <c r="F327" i="2"/>
  <c r="I327" i="2" s="1"/>
  <c r="E327" i="2"/>
  <c r="G327" i="2" s="1"/>
  <c r="E326" i="2"/>
  <c r="G326" i="2" s="1"/>
  <c r="F325" i="2"/>
  <c r="I325" i="2" s="1"/>
  <c r="E324" i="2"/>
  <c r="F324" i="2" s="1"/>
  <c r="K324" i="2" s="1"/>
  <c r="E323" i="2"/>
  <c r="F322" i="2"/>
  <c r="E322" i="2"/>
  <c r="G322" i="2" s="1"/>
  <c r="E321" i="2"/>
  <c r="E320" i="2"/>
  <c r="E318" i="2"/>
  <c r="G318" i="2" s="1"/>
  <c r="F317" i="2"/>
  <c r="I317" i="2" s="1"/>
  <c r="E317" i="2"/>
  <c r="G317" i="2" s="1"/>
  <c r="E316" i="2"/>
  <c r="F316" i="2" s="1"/>
  <c r="E315" i="2"/>
  <c r="G314" i="2"/>
  <c r="F314" i="2"/>
  <c r="E314" i="2"/>
  <c r="E312" i="2"/>
  <c r="E310" i="2"/>
  <c r="G310" i="2" s="1"/>
  <c r="E308" i="2"/>
  <c r="G308" i="2" s="1"/>
  <c r="F307" i="2"/>
  <c r="J307" i="2" s="1"/>
  <c r="H307" i="2" s="1"/>
  <c r="F306" i="2"/>
  <c r="K306" i="2" s="1"/>
  <c r="E306" i="2"/>
  <c r="E305" i="2"/>
  <c r="E304" i="2"/>
  <c r="G304" i="2" s="1"/>
  <c r="E303" i="2"/>
  <c r="F301" i="2"/>
  <c r="I301" i="2" s="1"/>
  <c r="E300" i="2"/>
  <c r="E299" i="2"/>
  <c r="G299" i="2" s="1"/>
  <c r="F296" i="2"/>
  <c r="E296" i="2"/>
  <c r="G296" i="2" s="1"/>
  <c r="E295" i="2"/>
  <c r="G294" i="2"/>
  <c r="E294" i="2"/>
  <c r="F293" i="2"/>
  <c r="I293" i="2" s="1"/>
  <c r="E293" i="2"/>
  <c r="G293" i="2" s="1"/>
  <c r="E292" i="2"/>
  <c r="G291" i="2"/>
  <c r="F291" i="2"/>
  <c r="I291" i="2" s="1"/>
  <c r="E291" i="2"/>
  <c r="F290" i="2"/>
  <c r="K290" i="2" s="1"/>
  <c r="E290" i="2"/>
  <c r="F287" i="2"/>
  <c r="K287" i="2" s="1"/>
  <c r="E287" i="2"/>
  <c r="E286" i="2"/>
  <c r="F285" i="2"/>
  <c r="K285" i="2" s="1"/>
  <c r="E285" i="2"/>
  <c r="G285" i="2" s="1"/>
  <c r="E284" i="2"/>
  <c r="E283" i="2"/>
  <c r="F282" i="2"/>
  <c r="K282" i="2" s="1"/>
  <c r="E282" i="2"/>
  <c r="E281" i="2"/>
  <c r="F280" i="2"/>
  <c r="K280" i="2" s="1"/>
  <c r="E280" i="2"/>
  <c r="G280" i="2" s="1"/>
  <c r="E278" i="2"/>
  <c r="G276" i="2"/>
  <c r="E276" i="2"/>
  <c r="I275" i="2"/>
  <c r="G275" i="2"/>
  <c r="E274" i="2"/>
  <c r="G273" i="2"/>
  <c r="F273" i="2"/>
  <c r="J273" i="2" s="1"/>
  <c r="H273" i="2" s="1"/>
  <c r="E273" i="2"/>
  <c r="F272" i="2"/>
  <c r="I272" i="2" s="1"/>
  <c r="E272" i="2"/>
  <c r="E271" i="2"/>
  <c r="G271" i="2" s="1"/>
  <c r="F270" i="2"/>
  <c r="K270" i="2" s="1"/>
  <c r="E270" i="2"/>
  <c r="G270" i="2" s="1"/>
  <c r="E268" i="2"/>
  <c r="F265" i="2"/>
  <c r="E265" i="2"/>
  <c r="G265" i="2" s="1"/>
  <c r="E264" i="2"/>
  <c r="F263" i="2"/>
  <c r="E263" i="2"/>
  <c r="G263" i="2" s="1"/>
  <c r="E262" i="2"/>
  <c r="E261" i="2"/>
  <c r="E260" i="2"/>
  <c r="G260" i="2" s="1"/>
  <c r="E258" i="2"/>
  <c r="F257" i="2"/>
  <c r="J257" i="2" s="1"/>
  <c r="H257" i="2" s="1"/>
  <c r="E257" i="2"/>
  <c r="G257" i="2" s="1"/>
  <c r="G253" i="2"/>
  <c r="F253" i="2"/>
  <c r="E253" i="2"/>
  <c r="E252" i="2"/>
  <c r="E251" i="2"/>
  <c r="G250" i="2"/>
  <c r="F250" i="2"/>
  <c r="K250" i="2" s="1"/>
  <c r="E250" i="2"/>
  <c r="E249" i="2"/>
  <c r="E248" i="2"/>
  <c r="E247" i="2"/>
  <c r="G247" i="2" s="1"/>
  <c r="E246" i="2"/>
  <c r="F246" i="2" s="1"/>
  <c r="J246" i="2" s="1"/>
  <c r="H246" i="2" s="1"/>
  <c r="E244" i="2"/>
  <c r="E243" i="2"/>
  <c r="F243" i="2" s="1"/>
  <c r="J243" i="2" s="1"/>
  <c r="H243" i="2" s="1"/>
  <c r="G242" i="2"/>
  <c r="E242" i="2"/>
  <c r="F242" i="2" s="1"/>
  <c r="K242" i="2" s="1"/>
  <c r="E239" i="2"/>
  <c r="G239" i="2" s="1"/>
  <c r="E238" i="2"/>
  <c r="E237" i="2"/>
  <c r="F237" i="2" s="1"/>
  <c r="F235" i="2"/>
  <c r="K235" i="2" s="1"/>
  <c r="E235" i="2"/>
  <c r="E234" i="2"/>
  <c r="G234" i="2" s="1"/>
  <c r="E231" i="2"/>
  <c r="G231" i="2" s="1"/>
  <c r="G230" i="2"/>
  <c r="E230" i="2"/>
  <c r="F230" i="2" s="1"/>
  <c r="K230" i="2" s="1"/>
  <c r="G228" i="2"/>
  <c r="E228" i="2"/>
  <c r="F227" i="2"/>
  <c r="E227" i="2"/>
  <c r="E226" i="2"/>
  <c r="F225" i="2"/>
  <c r="J225" i="2" s="1"/>
  <c r="H225" i="2" s="1"/>
  <c r="E225" i="2"/>
  <c r="F223" i="2"/>
  <c r="K223" i="2" s="1"/>
  <c r="E223" i="2"/>
  <c r="G223" i="2" s="1"/>
  <c r="E222" i="2"/>
  <c r="F222" i="2" s="1"/>
  <c r="K222" i="2" s="1"/>
  <c r="G220" i="2"/>
  <c r="E220" i="2"/>
  <c r="E218" i="2"/>
  <c r="E216" i="2"/>
  <c r="G216" i="2" s="1"/>
  <c r="E215" i="2"/>
  <c r="G215" i="2" s="1"/>
  <c r="E212" i="2"/>
  <c r="E210" i="2"/>
  <c r="G210" i="2" s="1"/>
  <c r="F209" i="2"/>
  <c r="E207" i="2"/>
  <c r="F205" i="2"/>
  <c r="J205" i="2" s="1"/>
  <c r="H205" i="2" s="1"/>
  <c r="E205" i="2"/>
  <c r="G205" i="2" s="1"/>
  <c r="G204" i="2"/>
  <c r="E204" i="2"/>
  <c r="F204" i="2" s="1"/>
  <c r="I204" i="2" s="1"/>
  <c r="G202" i="2"/>
  <c r="E202" i="2"/>
  <c r="F201" i="2"/>
  <c r="E201" i="2"/>
  <c r="E200" i="2"/>
  <c r="E198" i="2"/>
  <c r="G198" i="2" s="1"/>
  <c r="G196" i="2"/>
  <c r="E196" i="2"/>
  <c r="F196" i="2" s="1"/>
  <c r="J196" i="2" s="1"/>
  <c r="H196" i="2" s="1"/>
  <c r="G195" i="2"/>
  <c r="F195" i="2"/>
  <c r="E195" i="2"/>
  <c r="G194" i="2"/>
  <c r="E194" i="2"/>
  <c r="E193" i="2"/>
  <c r="F193" i="2" s="1"/>
  <c r="E189" i="2"/>
  <c r="G188" i="2"/>
  <c r="E188" i="2"/>
  <c r="F188" i="2" s="1"/>
  <c r="J188" i="2" s="1"/>
  <c r="H188" i="2" s="1"/>
  <c r="E187" i="2"/>
  <c r="F186" i="2"/>
  <c r="J186" i="2" s="1"/>
  <c r="H186" i="2" s="1"/>
  <c r="E185" i="2"/>
  <c r="G184" i="2"/>
  <c r="E184" i="2"/>
  <c r="E182" i="2"/>
  <c r="E181" i="2"/>
  <c r="G178" i="2"/>
  <c r="E178" i="2"/>
  <c r="F178" i="2" s="1"/>
  <c r="J178" i="2" s="1"/>
  <c r="H178" i="2" s="1"/>
  <c r="F177" i="2"/>
  <c r="K177" i="2" s="1"/>
  <c r="E176" i="2"/>
  <c r="G175" i="2"/>
  <c r="E175" i="2"/>
  <c r="F175" i="2" s="1"/>
  <c r="E172" i="2"/>
  <c r="E171" i="2"/>
  <c r="G170" i="2"/>
  <c r="E170" i="2"/>
  <c r="F170" i="2" s="1"/>
  <c r="J170" i="2" s="1"/>
  <c r="H170" i="2" s="1"/>
  <c r="F169" i="2"/>
  <c r="K169" i="2" s="1"/>
  <c r="E169" i="2"/>
  <c r="G169" i="2" s="1"/>
  <c r="G168" i="2"/>
  <c r="E168" i="2"/>
  <c r="F168" i="2" s="1"/>
  <c r="F167" i="2"/>
  <c r="E167" i="2"/>
  <c r="G167" i="2" s="1"/>
  <c r="E166" i="2"/>
  <c r="E165" i="2"/>
  <c r="E163" i="2"/>
  <c r="G162" i="2"/>
  <c r="E162" i="2"/>
  <c r="F162" i="2" s="1"/>
  <c r="I162" i="2" s="1"/>
  <c r="E161" i="2"/>
  <c r="G161" i="2" s="1"/>
  <c r="E160" i="2"/>
  <c r="E159" i="2"/>
  <c r="G158" i="2"/>
  <c r="E158" i="2"/>
  <c r="F158" i="2" s="1"/>
  <c r="E157" i="2"/>
  <c r="G157" i="2" s="1"/>
  <c r="E155" i="2"/>
  <c r="G154" i="2"/>
  <c r="E153" i="2"/>
  <c r="G152" i="2"/>
  <c r="E152" i="2"/>
  <c r="F152" i="2" s="1"/>
  <c r="J152" i="2" s="1"/>
  <c r="H152" i="2" s="1"/>
  <c r="E151" i="2"/>
  <c r="F147" i="2"/>
  <c r="E147" i="2"/>
  <c r="G147" i="2" s="1"/>
  <c r="E146" i="2"/>
  <c r="F146" i="2" s="1"/>
  <c r="K146" i="2" s="1"/>
  <c r="E145" i="2"/>
  <c r="F143" i="2"/>
  <c r="K143" i="2" s="1"/>
  <c r="E143" i="2"/>
  <c r="G143" i="2" s="1"/>
  <c r="E142" i="2"/>
  <c r="G141" i="2"/>
  <c r="E141" i="2"/>
  <c r="F141" i="2" s="1"/>
  <c r="F138" i="2"/>
  <c r="K138" i="2" s="1"/>
  <c r="E138" i="2"/>
  <c r="G138" i="2" s="1"/>
  <c r="F137" i="2"/>
  <c r="J137" i="2" s="1"/>
  <c r="H137" i="2" s="1"/>
  <c r="E137" i="2"/>
  <c r="G137" i="2" s="1"/>
  <c r="E136" i="2"/>
  <c r="F136" i="2" s="1"/>
  <c r="K136" i="2" s="1"/>
  <c r="E134" i="2"/>
  <c r="F131" i="2"/>
  <c r="J131" i="2" s="1"/>
  <c r="H131" i="2" s="1"/>
  <c r="E131" i="2"/>
  <c r="G131" i="2" s="1"/>
  <c r="G129" i="2"/>
  <c r="F129" i="2"/>
  <c r="J129" i="2" s="1"/>
  <c r="H129" i="2" s="1"/>
  <c r="E129" i="2"/>
  <c r="E128" i="2"/>
  <c r="G128" i="2" s="1"/>
  <c r="E127" i="2"/>
  <c r="F127" i="2" s="1"/>
  <c r="E126" i="2"/>
  <c r="E125" i="2"/>
  <c r="F121" i="2"/>
  <c r="K121" i="2" s="1"/>
  <c r="E121" i="2"/>
  <c r="G121" i="2" s="1"/>
  <c r="G120" i="2"/>
  <c r="E120" i="2"/>
  <c r="G119" i="2"/>
  <c r="F119" i="2"/>
  <c r="I119" i="2" s="1"/>
  <c r="E119" i="2"/>
  <c r="G117" i="2"/>
  <c r="E117" i="2"/>
  <c r="F117" i="2" s="1"/>
  <c r="J117" i="2" s="1"/>
  <c r="H117" i="2" s="1"/>
  <c r="E116" i="2"/>
  <c r="F116" i="2" s="1"/>
  <c r="I116" i="2" s="1"/>
  <c r="E115" i="2"/>
  <c r="F113" i="2"/>
  <c r="E113" i="2"/>
  <c r="G113" i="2" s="1"/>
  <c r="E110" i="2"/>
  <c r="G110" i="2" s="1"/>
  <c r="I109" i="2"/>
  <c r="E108" i="2"/>
  <c r="F108" i="2" s="1"/>
  <c r="E107" i="2"/>
  <c r="E106" i="2"/>
  <c r="G106" i="2" s="1"/>
  <c r="G101" i="2"/>
  <c r="F101" i="2"/>
  <c r="K101" i="2" s="1"/>
  <c r="E101" i="2"/>
  <c r="F100" i="2"/>
  <c r="J100" i="2" s="1"/>
  <c r="H100" i="2" s="1"/>
  <c r="E99" i="2"/>
  <c r="E98" i="2"/>
  <c r="F98" i="2" s="1"/>
  <c r="E97" i="2"/>
  <c r="G96" i="2"/>
  <c r="F96" i="2"/>
  <c r="I96" i="2" s="1"/>
  <c r="E96" i="2"/>
  <c r="F95" i="2"/>
  <c r="I95" i="2" s="1"/>
  <c r="E95" i="2"/>
  <c r="G95" i="2" s="1"/>
  <c r="E94" i="2"/>
  <c r="F94" i="2" s="1"/>
  <c r="J94" i="2" s="1"/>
  <c r="H94" i="2" s="1"/>
  <c r="E93" i="2"/>
  <c r="G89" i="2"/>
  <c r="F89" i="2"/>
  <c r="J89" i="2" s="1"/>
  <c r="H89" i="2" s="1"/>
  <c r="E89" i="2"/>
  <c r="F88" i="2"/>
  <c r="E88" i="2"/>
  <c r="E86" i="2"/>
  <c r="G86" i="2" s="1"/>
  <c r="E85" i="2"/>
  <c r="G85" i="2" s="1"/>
  <c r="F84" i="2"/>
  <c r="J84" i="2" s="1"/>
  <c r="H84" i="2" s="1"/>
  <c r="F81" i="2"/>
  <c r="J81" i="2" s="1"/>
  <c r="H81" i="2" s="1"/>
  <c r="E81" i="2"/>
  <c r="G81" i="2" s="1"/>
  <c r="E77" i="2"/>
  <c r="F76" i="2"/>
  <c r="I76" i="2" s="1"/>
  <c r="E76" i="2"/>
  <c r="G76" i="2" s="1"/>
  <c r="E75" i="2"/>
  <c r="E74" i="2"/>
  <c r="F74" i="2" s="1"/>
  <c r="J74" i="2" s="1"/>
  <c r="H74" i="2" s="1"/>
  <c r="G73" i="2"/>
  <c r="F73" i="2"/>
  <c r="K73" i="2" s="1"/>
  <c r="E73" i="2"/>
  <c r="G72" i="2"/>
  <c r="F72" i="2"/>
  <c r="J72" i="2" s="1"/>
  <c r="H72" i="2" s="1"/>
  <c r="E72" i="2"/>
  <c r="G71" i="2"/>
  <c r="F71" i="2"/>
  <c r="J71" i="2" s="1"/>
  <c r="H71" i="2" s="1"/>
  <c r="E71" i="2"/>
  <c r="F70" i="2"/>
  <c r="E70" i="2"/>
  <c r="E69" i="2"/>
  <c r="E68" i="2"/>
  <c r="F67" i="2"/>
  <c r="I67" i="2" s="1"/>
  <c r="E67" i="2"/>
  <c r="G67" i="2" s="1"/>
  <c r="E66" i="2"/>
  <c r="F66" i="2" s="1"/>
  <c r="J66" i="2" s="1"/>
  <c r="H66" i="2" s="1"/>
  <c r="G62" i="2"/>
  <c r="F62" i="2"/>
  <c r="J62" i="2" s="1"/>
  <c r="H62" i="2" s="1"/>
  <c r="E62" i="2"/>
  <c r="E60" i="2"/>
  <c r="E59" i="2"/>
  <c r="I58" i="2"/>
  <c r="F57" i="2"/>
  <c r="I57" i="2" s="1"/>
  <c r="E57" i="2"/>
  <c r="G57" i="2" s="1"/>
  <c r="E56" i="2"/>
  <c r="F56" i="2" s="1"/>
  <c r="J56" i="2" s="1"/>
  <c r="H56" i="2" s="1"/>
  <c r="E55" i="2"/>
  <c r="F55" i="2" s="1"/>
  <c r="K55" i="2" s="1"/>
  <c r="F52" i="2"/>
  <c r="J52" i="2" s="1"/>
  <c r="H52" i="2" s="1"/>
  <c r="E52" i="2"/>
  <c r="G52" i="2" s="1"/>
  <c r="F51" i="2"/>
  <c r="J51" i="2" s="1"/>
  <c r="H51" i="2" s="1"/>
  <c r="E51" i="2"/>
  <c r="G51" i="2" s="1"/>
  <c r="E50" i="2"/>
  <c r="F50" i="2" s="1"/>
  <c r="G48" i="2"/>
  <c r="F48" i="2"/>
  <c r="I48" i="2" s="1"/>
  <c r="E48" i="2"/>
  <c r="E45" i="2"/>
  <c r="G45" i="2" s="1"/>
  <c r="E44" i="2"/>
  <c r="G43" i="2"/>
  <c r="E43" i="2"/>
  <c r="F43" i="2" s="1"/>
  <c r="K43" i="2" s="1"/>
  <c r="E41" i="2"/>
  <c r="G41" i="2" s="1"/>
  <c r="E40" i="2"/>
  <c r="E39" i="2"/>
  <c r="E37" i="2"/>
  <c r="G37" i="2" s="1"/>
  <c r="E35" i="2"/>
  <c r="G35" i="2" s="1"/>
  <c r="G32" i="2"/>
  <c r="F32" i="2"/>
  <c r="J32" i="2" s="1"/>
  <c r="H32" i="2" s="1"/>
  <c r="E32" i="2"/>
  <c r="I31" i="2"/>
  <c r="F30" i="2"/>
  <c r="E30" i="2"/>
  <c r="E29" i="2"/>
  <c r="G28" i="2"/>
  <c r="F28" i="2"/>
  <c r="I28" i="2" s="1"/>
  <c r="E28" i="2"/>
  <c r="E27" i="2"/>
  <c r="G27" i="2" s="1"/>
  <c r="E26" i="2"/>
  <c r="F25" i="2"/>
  <c r="I25" i="2" s="1"/>
  <c r="E25" i="2"/>
  <c r="G25" i="2" s="1"/>
  <c r="G24" i="2"/>
  <c r="F24" i="2"/>
  <c r="J24" i="2" s="1"/>
  <c r="H24" i="2" s="1"/>
  <c r="E24" i="2"/>
  <c r="E23" i="2"/>
  <c r="E22" i="2"/>
  <c r="E20" i="2"/>
  <c r="G20" i="2" s="1"/>
  <c r="E19" i="2"/>
  <c r="E17" i="2"/>
  <c r="G17" i="2" s="1"/>
  <c r="F14" i="2"/>
  <c r="K14" i="2" s="1"/>
  <c r="E14" i="2"/>
  <c r="G14" i="2" s="1"/>
  <c r="E12" i="2"/>
  <c r="E11" i="2"/>
  <c r="G11" i="2" s="1"/>
  <c r="J10" i="2"/>
  <c r="H10" i="2" s="1"/>
  <c r="F10" i="2"/>
  <c r="I10" i="2" s="1"/>
  <c r="E10" i="2"/>
  <c r="G10" i="2" s="1"/>
  <c r="E9" i="2"/>
  <c r="G9" i="2" s="1"/>
  <c r="E7" i="2"/>
  <c r="G7" i="2" s="1"/>
  <c r="E5" i="2"/>
  <c r="E4" i="2"/>
  <c r="F61" i="2" s="1"/>
  <c r="J61" i="2" s="1"/>
  <c r="H61" i="2" s="1"/>
  <c r="E3" i="2"/>
  <c r="K873" i="2" l="1"/>
  <c r="G151" i="2"/>
  <c r="F151" i="2"/>
  <c r="J151" i="2" s="1"/>
  <c r="H151" i="2" s="1"/>
  <c r="F7" i="2"/>
  <c r="I7" i="2" s="1"/>
  <c r="F45" i="2"/>
  <c r="I45" i="2" s="1"/>
  <c r="G75" i="2"/>
  <c r="F75" i="2"/>
  <c r="I75" i="2" s="1"/>
  <c r="F92" i="2"/>
  <c r="J92" i="2" s="1"/>
  <c r="G159" i="2"/>
  <c r="F159" i="2"/>
  <c r="J159" i="2" s="1"/>
  <c r="H159" i="2" s="1"/>
  <c r="G429" i="2"/>
  <c r="F429" i="2"/>
  <c r="J429" i="2" s="1"/>
  <c r="H429" i="2" s="1"/>
  <c r="G93" i="2"/>
  <c r="F93" i="2"/>
  <c r="I93" i="2" s="1"/>
  <c r="F160" i="2"/>
  <c r="J160" i="2" s="1"/>
  <c r="H160" i="2" s="1"/>
  <c r="G160" i="2"/>
  <c r="G185" i="2"/>
  <c r="F185" i="2"/>
  <c r="F212" i="2"/>
  <c r="I212" i="2" s="1"/>
  <c r="G212" i="2"/>
  <c r="F229" i="2"/>
  <c r="J229" i="2" s="1"/>
  <c r="G68" i="2"/>
  <c r="F68" i="2"/>
  <c r="I68" i="2" s="1"/>
  <c r="F86" i="2"/>
  <c r="I86" i="2" s="1"/>
  <c r="G99" i="2"/>
  <c r="F99" i="2"/>
  <c r="J99" i="2" s="1"/>
  <c r="H99" i="2" s="1"/>
  <c r="F144" i="2"/>
  <c r="I144" i="2" s="1"/>
  <c r="G153" i="2"/>
  <c r="F153" i="2"/>
  <c r="I153" i="2" s="1"/>
  <c r="G372" i="2"/>
  <c r="F372" i="2"/>
  <c r="K372" i="2" s="1"/>
  <c r="F392" i="2"/>
  <c r="K392" i="2" s="1"/>
  <c r="G392" i="2"/>
  <c r="F444" i="2"/>
  <c r="F134" i="2"/>
  <c r="J134" i="2" s="1"/>
  <c r="H134" i="2" s="1"/>
  <c r="G134" i="2"/>
  <c r="F405" i="2"/>
  <c r="I405" i="2" s="1"/>
  <c r="F41" i="2"/>
  <c r="I41" i="2" s="1"/>
  <c r="F17" i="2"/>
  <c r="K17" i="2" s="1"/>
  <c r="F42" i="2"/>
  <c r="J42" i="2" s="1"/>
  <c r="H42" i="2" s="1"/>
  <c r="G55" i="2"/>
  <c r="G283" i="2"/>
  <c r="F283" i="2"/>
  <c r="I283" i="2" s="1"/>
  <c r="F203" i="2"/>
  <c r="J203" i="2" s="1"/>
  <c r="G19" i="2"/>
  <c r="F19" i="2"/>
  <c r="J19" i="2" s="1"/>
  <c r="H19" i="2" s="1"/>
  <c r="F35" i="2"/>
  <c r="K35" i="2" s="1"/>
  <c r="G187" i="2"/>
  <c r="F187" i="2"/>
  <c r="K187" i="2" s="1"/>
  <c r="G425" i="2"/>
  <c r="F425" i="2"/>
  <c r="J425" i="2" s="1"/>
  <c r="H425" i="2" s="1"/>
  <c r="F4" i="2"/>
  <c r="F245" i="2"/>
  <c r="J245" i="2" s="1"/>
  <c r="F82" i="2"/>
  <c r="J82" i="2" s="1"/>
  <c r="H82" i="2" s="1"/>
  <c r="F124" i="2"/>
  <c r="I124" i="2" s="1"/>
  <c r="G416" i="2"/>
  <c r="F416" i="2"/>
  <c r="I416" i="2" s="1"/>
  <c r="G439" i="2"/>
  <c r="F439" i="2"/>
  <c r="K439" i="2" s="1"/>
  <c r="F176" i="2"/>
  <c r="J176" i="2" s="1"/>
  <c r="H176" i="2" s="1"/>
  <c r="G176" i="2"/>
  <c r="F118" i="2"/>
  <c r="J118" i="2" s="1"/>
  <c r="F5" i="2"/>
  <c r="I5" i="2" s="1"/>
  <c r="F20" i="2"/>
  <c r="I20" i="2" s="1"/>
  <c r="F37" i="2"/>
  <c r="J37" i="2" s="1"/>
  <c r="H37" i="2" s="1"/>
  <c r="F83" i="2"/>
  <c r="K83" i="2" s="1"/>
  <c r="G165" i="2"/>
  <c r="F165" i="2"/>
  <c r="K165" i="2" s="1"/>
  <c r="F183" i="2"/>
  <c r="F114" i="2"/>
  <c r="J114" i="2" s="1"/>
  <c r="F219" i="2"/>
  <c r="J219" i="2" s="1"/>
  <c r="H219" i="2" s="1"/>
  <c r="F269" i="2"/>
  <c r="K269" i="2" s="1"/>
  <c r="F288" i="2"/>
  <c r="F455" i="2"/>
  <c r="I455" i="2" s="1"/>
  <c r="F468" i="2"/>
  <c r="K468" i="2" s="1"/>
  <c r="F542" i="2"/>
  <c r="J542" i="2" s="1"/>
  <c r="F573" i="2"/>
  <c r="I573" i="2" s="1"/>
  <c r="F576" i="2"/>
  <c r="J576" i="2" s="1"/>
  <c r="H576" i="2" s="1"/>
  <c r="F581" i="2"/>
  <c r="I581" i="2" s="1"/>
  <c r="F584" i="2"/>
  <c r="J584" i="2" s="1"/>
  <c r="H584" i="2" s="1"/>
  <c r="F611" i="2"/>
  <c r="J611" i="2" s="1"/>
  <c r="H611" i="2" s="1"/>
  <c r="F622" i="2"/>
  <c r="I622" i="2" s="1"/>
  <c r="F626" i="2"/>
  <c r="J626" i="2" s="1"/>
  <c r="H626" i="2" s="1"/>
  <c r="F638" i="2"/>
  <c r="K638" i="2" s="1"/>
  <c r="F646" i="2"/>
  <c r="K646" i="2" s="1"/>
  <c r="F656" i="2"/>
  <c r="K656" i="2" s="1"/>
  <c r="F677" i="2"/>
  <c r="I677" i="2" s="1"/>
  <c r="F698" i="2"/>
  <c r="F704" i="2"/>
  <c r="K704" i="2" s="1"/>
  <c r="F712" i="2"/>
  <c r="I712" i="2" s="1"/>
  <c r="F742" i="2"/>
  <c r="K742" i="2" s="1"/>
  <c r="F752" i="2"/>
  <c r="I752" i="2" s="1"/>
  <c r="F760" i="2"/>
  <c r="K760" i="2" s="1"/>
  <c r="F801" i="2"/>
  <c r="J801" i="2" s="1"/>
  <c r="F808" i="2"/>
  <c r="J808" i="2" s="1"/>
  <c r="H808" i="2" s="1"/>
  <c r="F150" i="2"/>
  <c r="J150" i="2" s="1"/>
  <c r="K307" i="2" s="1"/>
  <c r="F164" i="2"/>
  <c r="F211" i="2"/>
  <c r="J211" i="2" s="1"/>
  <c r="F298" i="2"/>
  <c r="J298" i="2" s="1"/>
  <c r="H298" i="2" s="1"/>
  <c r="G783" i="2"/>
  <c r="G869" i="2"/>
  <c r="F38" i="2"/>
  <c r="I38" i="2" s="1"/>
  <c r="F65" i="2"/>
  <c r="K65" i="2" s="1"/>
  <c r="F104" i="2"/>
  <c r="I104" i="2" s="1"/>
  <c r="F221" i="2"/>
  <c r="F231" i="2"/>
  <c r="K231" i="2" s="1"/>
  <c r="F239" i="2"/>
  <c r="K239" i="2" s="1"/>
  <c r="F299" i="2"/>
  <c r="J299" i="2" s="1"/>
  <c r="H299" i="2" s="1"/>
  <c r="F304" i="2"/>
  <c r="K304" i="2" s="1"/>
  <c r="F319" i="2"/>
  <c r="F333" i="2"/>
  <c r="J333" i="2" s="1"/>
  <c r="K335" i="2" s="1"/>
  <c r="F338" i="2"/>
  <c r="J338" i="2" s="1"/>
  <c r="H338" i="2" s="1"/>
  <c r="F364" i="2"/>
  <c r="I364" i="2" s="1"/>
  <c r="G385" i="2"/>
  <c r="F403" i="2"/>
  <c r="J403" i="2" s="1"/>
  <c r="H403" i="2" s="1"/>
  <c r="F426" i="2"/>
  <c r="K426" i="2" s="1"/>
  <c r="G469" i="2"/>
  <c r="F475" i="2"/>
  <c r="F514" i="2"/>
  <c r="J514" i="2" s="1"/>
  <c r="H514" i="2" s="1"/>
  <c r="F524" i="2"/>
  <c r="K524" i="2" s="1"/>
  <c r="F555" i="2"/>
  <c r="K555" i="2" s="1"/>
  <c r="F568" i="2"/>
  <c r="K568" i="2" s="1"/>
  <c r="F612" i="2"/>
  <c r="K612" i="2" s="1"/>
  <c r="F627" i="2"/>
  <c r="J627" i="2" s="1"/>
  <c r="H627" i="2" s="1"/>
  <c r="F678" i="2"/>
  <c r="J678" i="2" s="1"/>
  <c r="H678" i="2" s="1"/>
  <c r="K705" i="2"/>
  <c r="F713" i="2"/>
  <c r="K713" i="2" s="1"/>
  <c r="F781" i="2"/>
  <c r="K781" i="2" s="1"/>
  <c r="G809" i="2"/>
  <c r="F878" i="2"/>
  <c r="I878" i="2" s="1"/>
  <c r="G861" i="2"/>
  <c r="F13" i="2"/>
  <c r="J13" i="2" s="1"/>
  <c r="H13" i="2" s="1"/>
  <c r="F80" i="2"/>
  <c r="F85" i="2"/>
  <c r="I85" i="2" s="1"/>
  <c r="F106" i="2"/>
  <c r="K106" i="2" s="1"/>
  <c r="F161" i="2"/>
  <c r="K161" i="2" s="1"/>
  <c r="F197" i="2"/>
  <c r="J197" i="2" s="1"/>
  <c r="H197" i="2" s="1"/>
  <c r="F215" i="2"/>
  <c r="I215" i="2" s="1"/>
  <c r="G222" i="2"/>
  <c r="F247" i="2"/>
  <c r="I247" i="2" s="1"/>
  <c r="F260" i="2"/>
  <c r="I260" i="2" s="1"/>
  <c r="F310" i="2"/>
  <c r="K310" i="2" s="1"/>
  <c r="F343" i="2"/>
  <c r="K343" i="2" s="1"/>
  <c r="F382" i="2"/>
  <c r="I382" i="2" s="1"/>
  <c r="F391" i="2"/>
  <c r="K391" i="2" s="1"/>
  <c r="F466" i="2"/>
  <c r="I466" i="2" s="1"/>
  <c r="G515" i="2"/>
  <c r="F530" i="2"/>
  <c r="K530" i="2" s="1"/>
  <c r="F545" i="2"/>
  <c r="K545" i="2" s="1"/>
  <c r="F560" i="2"/>
  <c r="I560" i="2" s="1"/>
  <c r="F575" i="2"/>
  <c r="J575" i="2" s="1"/>
  <c r="H575" i="2" s="1"/>
  <c r="J583" i="2"/>
  <c r="H583" i="2" s="1"/>
  <c r="F596" i="2"/>
  <c r="F610" i="2"/>
  <c r="J610" i="2" s="1"/>
  <c r="H610" i="2" s="1"/>
  <c r="F637" i="2"/>
  <c r="J637" i="2" s="1"/>
  <c r="G644" i="2"/>
  <c r="G654" i="2"/>
  <c r="G696" i="2"/>
  <c r="F767" i="2"/>
  <c r="K767" i="2" s="1"/>
  <c r="F775" i="2"/>
  <c r="K775" i="2" s="1"/>
  <c r="G799" i="2"/>
  <c r="J7" i="2"/>
  <c r="H7" i="2" s="1"/>
  <c r="K10" i="2"/>
  <c r="J14" i="2"/>
  <c r="H14" i="2" s="1"/>
  <c r="K7" i="2"/>
  <c r="K25" i="2"/>
  <c r="J25" i="2"/>
  <c r="H25" i="2" s="1"/>
  <c r="I24" i="2"/>
  <c r="J708" i="2"/>
  <c r="H708" i="2" s="1"/>
  <c r="K708" i="2"/>
  <c r="I696" i="2"/>
  <c r="K24" i="2"/>
  <c r="K32" i="2"/>
  <c r="J58" i="2"/>
  <c r="H58" i="2" s="1"/>
  <c r="K116" i="2"/>
  <c r="K625" i="2"/>
  <c r="J325" i="2"/>
  <c r="I523" i="2"/>
  <c r="I669" i="2"/>
  <c r="K272" i="2"/>
  <c r="J507" i="2"/>
  <c r="H507" i="2" s="1"/>
  <c r="J566" i="2"/>
  <c r="H566" i="2" s="1"/>
  <c r="K563" i="2"/>
  <c r="J688" i="2"/>
  <c r="J696" i="2"/>
  <c r="H696" i="2" s="1"/>
  <c r="J484" i="2"/>
  <c r="H484" i="2" s="1"/>
  <c r="K591" i="2"/>
  <c r="J803" i="2"/>
  <c r="H803" i="2" s="1"/>
  <c r="K131" i="2"/>
  <c r="K225" i="2"/>
  <c r="J235" i="2"/>
  <c r="H235" i="2" s="1"/>
  <c r="I682" i="2"/>
  <c r="I151" i="2"/>
  <c r="J460" i="2"/>
  <c r="H460" i="2" s="1"/>
  <c r="K89" i="2"/>
  <c r="K327" i="2"/>
  <c r="I726" i="2"/>
  <c r="I136" i="2"/>
  <c r="I152" i="2"/>
  <c r="K205" i="2"/>
  <c r="I235" i="2"/>
  <c r="I413" i="2"/>
  <c r="K469" i="2"/>
  <c r="I495" i="2"/>
  <c r="I515" i="2"/>
  <c r="I641" i="2"/>
  <c r="K764" i="2"/>
  <c r="I280" i="2"/>
  <c r="J491" i="2"/>
  <c r="I341" i="2"/>
  <c r="K413" i="2"/>
  <c r="J515" i="2"/>
  <c r="H515" i="2" s="1"/>
  <c r="J535" i="2"/>
  <c r="H535" i="2" s="1"/>
  <c r="K592" i="2"/>
  <c r="K635" i="2"/>
  <c r="I650" i="2"/>
  <c r="J831" i="2"/>
  <c r="H831" i="2" s="1"/>
  <c r="J857" i="2"/>
  <c r="H857" i="2" s="1"/>
  <c r="K535" i="2"/>
  <c r="K58" i="2"/>
  <c r="I121" i="2"/>
  <c r="K662" i="2"/>
  <c r="K740" i="2"/>
  <c r="J783" i="2"/>
  <c r="H783" i="2" s="1"/>
  <c r="J847" i="2"/>
  <c r="H847" i="2" s="1"/>
  <c r="J469" i="2"/>
  <c r="H469" i="2" s="1"/>
  <c r="I242" i="2"/>
  <c r="J440" i="2"/>
  <c r="H440" i="2" s="1"/>
  <c r="I566" i="2"/>
  <c r="I591" i="2"/>
  <c r="J45" i="2"/>
  <c r="H45" i="2" s="1"/>
  <c r="I84" i="2"/>
  <c r="I246" i="2"/>
  <c r="I509" i="2"/>
  <c r="I73" i="2"/>
  <c r="J76" i="2"/>
  <c r="H76" i="2" s="1"/>
  <c r="K95" i="2"/>
  <c r="I257" i="2"/>
  <c r="J291" i="2"/>
  <c r="H291" i="2" s="1"/>
  <c r="I421" i="2"/>
  <c r="J495" i="2"/>
  <c r="H495" i="2" s="1"/>
  <c r="K506" i="2"/>
  <c r="I513" i="2"/>
  <c r="K531" i="2"/>
  <c r="K552" i="2"/>
  <c r="K636" i="2"/>
  <c r="J716" i="2"/>
  <c r="H716" i="2" s="1"/>
  <c r="J506" i="2"/>
  <c r="H506" i="2" s="1"/>
  <c r="I811" i="2"/>
  <c r="J819" i="2"/>
  <c r="H819" i="2" s="1"/>
  <c r="J31" i="2"/>
  <c r="H31" i="2" s="1"/>
  <c r="I52" i="2"/>
  <c r="I56" i="2"/>
  <c r="K76" i="2"/>
  <c r="K193" i="2"/>
  <c r="J317" i="2"/>
  <c r="H317" i="2" s="1"/>
  <c r="J421" i="2"/>
  <c r="H421" i="2" s="1"/>
  <c r="I460" i="2"/>
  <c r="J480" i="2"/>
  <c r="H480" i="2" s="1"/>
  <c r="I631" i="2"/>
  <c r="J641" i="2"/>
  <c r="H641" i="2" s="1"/>
  <c r="K716" i="2"/>
  <c r="J740" i="2"/>
  <c r="H740" i="2" s="1"/>
  <c r="J765" i="2"/>
  <c r="H765" i="2" s="1"/>
  <c r="J883" i="2"/>
  <c r="H883" i="2" s="1"/>
  <c r="I387" i="2"/>
  <c r="K447" i="2"/>
  <c r="K544" i="2"/>
  <c r="I628" i="2"/>
  <c r="J654" i="2"/>
  <c r="H654" i="2" s="1"/>
  <c r="I734" i="2"/>
  <c r="I750" i="2"/>
  <c r="I782" i="2"/>
  <c r="I785" i="2"/>
  <c r="J873" i="2"/>
  <c r="H873" i="2" s="1"/>
  <c r="J95" i="2"/>
  <c r="H95" i="2" s="1"/>
  <c r="I222" i="2"/>
  <c r="I270" i="2"/>
  <c r="K496" i="2"/>
  <c r="I558" i="2"/>
  <c r="I592" i="2"/>
  <c r="J628" i="2"/>
  <c r="H628" i="2" s="1"/>
  <c r="K631" i="2"/>
  <c r="K654" i="2"/>
  <c r="I672" i="2"/>
  <c r="I687" i="2"/>
  <c r="J734" i="2"/>
  <c r="J750" i="2"/>
  <c r="H750" i="2" s="1"/>
  <c r="I764" i="2"/>
  <c r="K782" i="2"/>
  <c r="J785" i="2"/>
  <c r="H785" i="2" s="1"/>
  <c r="J55" i="2"/>
  <c r="H55" i="2" s="1"/>
  <c r="J73" i="2"/>
  <c r="H73" i="2" s="1"/>
  <c r="K81" i="2"/>
  <c r="J121" i="2"/>
  <c r="H121" i="2" s="1"/>
  <c r="I177" i="2"/>
  <c r="K197" i="2"/>
  <c r="I205" i="2"/>
  <c r="I324" i="2"/>
  <c r="I379" i="2"/>
  <c r="J558" i="2"/>
  <c r="H558" i="2" s="1"/>
  <c r="K721" i="2"/>
  <c r="I793" i="2"/>
  <c r="K37" i="2"/>
  <c r="K45" i="2"/>
  <c r="K52" i="2"/>
  <c r="I72" i="2"/>
  <c r="I94" i="2"/>
  <c r="I100" i="2"/>
  <c r="I101" i="2"/>
  <c r="I170" i="2"/>
  <c r="J177" i="2"/>
  <c r="K209" i="2"/>
  <c r="I223" i="2"/>
  <c r="I273" i="2"/>
  <c r="K291" i="2"/>
  <c r="K293" i="2"/>
  <c r="K317" i="2"/>
  <c r="I353" i="2"/>
  <c r="J358" i="2"/>
  <c r="H358" i="2" s="1"/>
  <c r="I361" i="2"/>
  <c r="I369" i="2"/>
  <c r="J434" i="2"/>
  <c r="I459" i="2"/>
  <c r="J464" i="2"/>
  <c r="K480" i="2"/>
  <c r="I527" i="2"/>
  <c r="K536" i="2"/>
  <c r="K644" i="2"/>
  <c r="J669" i="2"/>
  <c r="H669" i="2" s="1"/>
  <c r="J726" i="2"/>
  <c r="H726" i="2" s="1"/>
  <c r="I732" i="2"/>
  <c r="K745" i="2"/>
  <c r="K765" i="2"/>
  <c r="J811" i="2"/>
  <c r="H811" i="2" s="1"/>
  <c r="K62" i="2"/>
  <c r="I83" i="2"/>
  <c r="J96" i="2"/>
  <c r="H96" i="2" s="1"/>
  <c r="I129" i="2"/>
  <c r="K170" i="2"/>
  <c r="J223" i="2"/>
  <c r="H223" i="2" s="1"/>
  <c r="I230" i="2"/>
  <c r="I250" i="2"/>
  <c r="J280" i="2"/>
  <c r="H280" i="2" s="1"/>
  <c r="I282" i="2"/>
  <c r="I307" i="2"/>
  <c r="K341" i="2"/>
  <c r="J350" i="2"/>
  <c r="H350" i="2" s="1"/>
  <c r="I404" i="2"/>
  <c r="J459" i="2"/>
  <c r="H459" i="2" s="1"/>
  <c r="I505" i="2"/>
  <c r="I512" i="2"/>
  <c r="I602" i="2"/>
  <c r="I619" i="2"/>
  <c r="I620" i="2"/>
  <c r="J623" i="2"/>
  <c r="H623" i="2" s="1"/>
  <c r="I653" i="2"/>
  <c r="I668" i="2"/>
  <c r="K679" i="2"/>
  <c r="I706" i="2"/>
  <c r="I724" i="2"/>
  <c r="J732" i="2"/>
  <c r="H732" i="2" s="1"/>
  <c r="I758" i="2"/>
  <c r="I819" i="2"/>
  <c r="J835" i="2"/>
  <c r="H835" i="2" s="1"/>
  <c r="I43" i="2"/>
  <c r="J57" i="2"/>
  <c r="H57" i="2" s="1"/>
  <c r="I74" i="2"/>
  <c r="K96" i="2"/>
  <c r="J404" i="2"/>
  <c r="H404" i="2" s="1"/>
  <c r="J512" i="2"/>
  <c r="H512" i="2" s="1"/>
  <c r="J602" i="2"/>
  <c r="H602" i="2" s="1"/>
  <c r="K620" i="2"/>
  <c r="J653" i="2"/>
  <c r="H653" i="2" s="1"/>
  <c r="J724" i="2"/>
  <c r="H724" i="2" s="1"/>
  <c r="J758" i="2"/>
  <c r="H758" i="2" s="1"/>
  <c r="I32" i="2"/>
  <c r="K57" i="2"/>
  <c r="J67" i="2"/>
  <c r="H67" i="2" s="1"/>
  <c r="K72" i="2"/>
  <c r="I143" i="2"/>
  <c r="I169" i="2"/>
  <c r="I187" i="2"/>
  <c r="I196" i="2"/>
  <c r="I225" i="2"/>
  <c r="K283" i="2"/>
  <c r="I285" i="2"/>
  <c r="I288" i="2"/>
  <c r="J332" i="2"/>
  <c r="H332" i="2" s="1"/>
  <c r="I447" i="2"/>
  <c r="I479" i="2"/>
  <c r="I525" i="2"/>
  <c r="I664" i="2"/>
  <c r="I690" i="2"/>
  <c r="J793" i="2"/>
  <c r="H793" i="2" s="1"/>
  <c r="J813" i="2"/>
  <c r="H813" i="2" s="1"/>
  <c r="I829" i="2"/>
  <c r="J28" i="2"/>
  <c r="H28" i="2" s="1"/>
  <c r="J48" i="2"/>
  <c r="H48" i="2" s="1"/>
  <c r="I55" i="2"/>
  <c r="K67" i="2"/>
  <c r="J143" i="2"/>
  <c r="H143" i="2" s="1"/>
  <c r="K162" i="2"/>
  <c r="J169" i="2"/>
  <c r="H169" i="2" s="1"/>
  <c r="I176" i="2"/>
  <c r="K178" i="2"/>
  <c r="J187" i="2"/>
  <c r="H187" i="2" s="1"/>
  <c r="I496" i="2"/>
  <c r="I601" i="2"/>
  <c r="J670" i="2"/>
  <c r="H670" i="2" s="1"/>
  <c r="I680" i="2"/>
  <c r="J690" i="2"/>
  <c r="H690" i="2" s="1"/>
  <c r="I773" i="2"/>
  <c r="J829" i="2"/>
  <c r="H829" i="2" s="1"/>
  <c r="K48" i="2"/>
  <c r="K99" i="2"/>
  <c r="J101" i="2"/>
  <c r="H101" i="2" s="1"/>
  <c r="K129" i="2"/>
  <c r="K201" i="2"/>
  <c r="K273" i="2"/>
  <c r="K275" i="2"/>
  <c r="I306" i="2"/>
  <c r="K601" i="2"/>
  <c r="K618" i="2"/>
  <c r="K619" i="2"/>
  <c r="K670" i="2"/>
  <c r="J680" i="2"/>
  <c r="H680" i="2" s="1"/>
  <c r="I714" i="2"/>
  <c r="J773" i="2"/>
  <c r="H773" i="2" s="1"/>
  <c r="J795" i="2"/>
  <c r="H795" i="2" s="1"/>
  <c r="J821" i="2"/>
  <c r="H821" i="2" s="1"/>
  <c r="J839" i="2"/>
  <c r="H839" i="2" s="1"/>
  <c r="J43" i="2"/>
  <c r="H43" i="2" s="1"/>
  <c r="I62" i="2"/>
  <c r="J83" i="2"/>
  <c r="K84" i="2" s="1"/>
  <c r="J282" i="2"/>
  <c r="H282" i="2" s="1"/>
  <c r="J340" i="2"/>
  <c r="H340" i="2" s="1"/>
  <c r="I623" i="2"/>
  <c r="K755" i="2"/>
  <c r="J865" i="2"/>
  <c r="H865" i="2" s="1"/>
  <c r="G163" i="2"/>
  <c r="F163" i="2"/>
  <c r="K163" i="2" s="1"/>
  <c r="G172" i="2"/>
  <c r="F172" i="2"/>
  <c r="J172" i="2" s="1"/>
  <c r="H172" i="2" s="1"/>
  <c r="K195" i="2"/>
  <c r="J195" i="2"/>
  <c r="H195" i="2" s="1"/>
  <c r="I195" i="2"/>
  <c r="I211" i="2"/>
  <c r="K316" i="2"/>
  <c r="I316" i="2"/>
  <c r="F323" i="2"/>
  <c r="K323" i="2" s="1"/>
  <c r="G323" i="2"/>
  <c r="K420" i="2"/>
  <c r="J420" i="2"/>
  <c r="H420" i="2" s="1"/>
  <c r="I420" i="2"/>
  <c r="G423" i="2"/>
  <c r="F423" i="2"/>
  <c r="J423" i="2" s="1"/>
  <c r="H423" i="2" s="1"/>
  <c r="G5" i="2"/>
  <c r="F11" i="2"/>
  <c r="I11" i="2" s="1"/>
  <c r="F23" i="2"/>
  <c r="J23" i="2" s="1"/>
  <c r="H23" i="2" s="1"/>
  <c r="F26" i="2"/>
  <c r="I26" i="2" s="1"/>
  <c r="G26" i="2"/>
  <c r="G31" i="2"/>
  <c r="F40" i="2"/>
  <c r="I40" i="2" s="1"/>
  <c r="K51" i="2"/>
  <c r="J70" i="2"/>
  <c r="H70" i="2" s="1"/>
  <c r="I70" i="2"/>
  <c r="G70" i="2"/>
  <c r="K70" i="2"/>
  <c r="J108" i="2"/>
  <c r="H108" i="2" s="1"/>
  <c r="I108" i="2"/>
  <c r="K108" i="2"/>
  <c r="G108" i="2"/>
  <c r="F120" i="2"/>
  <c r="I120" i="2" s="1"/>
  <c r="G125" i="2"/>
  <c r="F125" i="2"/>
  <c r="K125" i="2" s="1"/>
  <c r="F248" i="2"/>
  <c r="K248" i="2" s="1"/>
  <c r="G248" i="2"/>
  <c r="G23" i="2"/>
  <c r="F238" i="2"/>
  <c r="I238" i="2" s="1"/>
  <c r="J30" i="2"/>
  <c r="H30" i="2" s="1"/>
  <c r="G30" i="2"/>
  <c r="K30" i="2"/>
  <c r="G59" i="2"/>
  <c r="F59" i="2"/>
  <c r="J59" i="2" s="1"/>
  <c r="H59" i="2" s="1"/>
  <c r="K71" i="2"/>
  <c r="J88" i="2"/>
  <c r="H88" i="2" s="1"/>
  <c r="I88" i="2"/>
  <c r="G88" i="2"/>
  <c r="K88" i="2"/>
  <c r="K113" i="2"/>
  <c r="J113" i="2"/>
  <c r="H113" i="2" s="1"/>
  <c r="I113" i="2"/>
  <c r="G238" i="2"/>
  <c r="F305" i="2"/>
  <c r="K305" i="2" s="1"/>
  <c r="G305" i="2"/>
  <c r="G40" i="2"/>
  <c r="J98" i="2"/>
  <c r="H98" i="2" s="1"/>
  <c r="I98" i="2"/>
  <c r="G98" i="2"/>
  <c r="K98" i="2"/>
  <c r="J263" i="2"/>
  <c r="H263" i="2" s="1"/>
  <c r="I263" i="2"/>
  <c r="K11" i="2"/>
  <c r="I13" i="2"/>
  <c r="G22" i="2"/>
  <c r="G60" i="2"/>
  <c r="K127" i="2"/>
  <c r="I127" i="2"/>
  <c r="J127" i="2"/>
  <c r="H127" i="2" s="1"/>
  <c r="G127" i="2"/>
  <c r="K134" i="2"/>
  <c r="J141" i="2"/>
  <c r="H141" i="2" s="1"/>
  <c r="I141" i="2"/>
  <c r="J168" i="2"/>
  <c r="H168" i="2" s="1"/>
  <c r="I168" i="2"/>
  <c r="J185" i="2"/>
  <c r="H185" i="2" s="1"/>
  <c r="I185" i="2"/>
  <c r="J221" i="2"/>
  <c r="I221" i="2"/>
  <c r="F286" i="2"/>
  <c r="J286" i="2" s="1"/>
  <c r="H286" i="2" s="1"/>
  <c r="G286" i="2"/>
  <c r="J4" i="2"/>
  <c r="H4" i="2" s="1"/>
  <c r="G4" i="2"/>
  <c r="G12" i="2"/>
  <c r="F22" i="2"/>
  <c r="I22" i="2" s="1"/>
  <c r="I37" i="2"/>
  <c r="G39" i="2"/>
  <c r="F39" i="2"/>
  <c r="K39" i="2" s="1"/>
  <c r="F60" i="2"/>
  <c r="J60" i="2" s="1"/>
  <c r="H60" i="2" s="1"/>
  <c r="I66" i="2"/>
  <c r="G77" i="2"/>
  <c r="F77" i="2"/>
  <c r="K77" i="2" s="1"/>
  <c r="F281" i="2"/>
  <c r="K281" i="2" s="1"/>
  <c r="G281" i="2"/>
  <c r="F8" i="2"/>
  <c r="J8" i="2" s="1"/>
  <c r="H8" i="2" s="1"/>
  <c r="F21" i="2"/>
  <c r="F18" i="2"/>
  <c r="I18" i="2" s="1"/>
  <c r="F44" i="2"/>
  <c r="J44" i="2" s="1"/>
  <c r="H44" i="2" s="1"/>
  <c r="G44" i="2"/>
  <c r="G87" i="2"/>
  <c r="K87" i="2"/>
  <c r="F313" i="2"/>
  <c r="J313" i="2" s="1"/>
  <c r="H313" i="2" s="1"/>
  <c r="F3" i="2"/>
  <c r="I3" i="2" s="1"/>
  <c r="I4" i="2"/>
  <c r="F6" i="2"/>
  <c r="G3" i="2"/>
  <c r="K4" i="2"/>
  <c r="F9" i="2"/>
  <c r="F12" i="2"/>
  <c r="I12" i="2" s="1"/>
  <c r="I14" i="2"/>
  <c r="F27" i="2"/>
  <c r="K28" i="2"/>
  <c r="I30" i="2"/>
  <c r="F49" i="2"/>
  <c r="K49" i="2" s="1"/>
  <c r="K61" i="2"/>
  <c r="J80" i="2"/>
  <c r="I80" i="2"/>
  <c r="K80" i="2"/>
  <c r="F156" i="2"/>
  <c r="K156" i="2" s="1"/>
  <c r="G182" i="2"/>
  <c r="F182" i="2"/>
  <c r="K182" i="2" s="1"/>
  <c r="G441" i="2"/>
  <c r="F441" i="2"/>
  <c r="J441" i="2" s="1"/>
  <c r="H441" i="2" s="1"/>
  <c r="G69" i="2"/>
  <c r="F69" i="2"/>
  <c r="K69" i="2" s="1"/>
  <c r="K154" i="2"/>
  <c r="J154" i="2"/>
  <c r="H154" i="2" s="1"/>
  <c r="I154" i="2"/>
  <c r="K5" i="2"/>
  <c r="F29" i="2"/>
  <c r="K29" i="2" s="1"/>
  <c r="K31" i="2"/>
  <c r="F36" i="2"/>
  <c r="J36" i="2" s="1"/>
  <c r="J50" i="2"/>
  <c r="H50" i="2" s="1"/>
  <c r="I50" i="2"/>
  <c r="G50" i="2"/>
  <c r="K50" i="2"/>
  <c r="G97" i="2"/>
  <c r="F97" i="2"/>
  <c r="J97" i="2" s="1"/>
  <c r="H97" i="2" s="1"/>
  <c r="G166" i="2"/>
  <c r="F166" i="2"/>
  <c r="K166" i="2" s="1"/>
  <c r="F251" i="2"/>
  <c r="I251" i="2" s="1"/>
  <c r="G251" i="2"/>
  <c r="G329" i="2"/>
  <c r="K329" i="2"/>
  <c r="G56" i="2"/>
  <c r="G66" i="2"/>
  <c r="G74" i="2"/>
  <c r="G94" i="2"/>
  <c r="G107" i="2"/>
  <c r="J116" i="2"/>
  <c r="H116" i="2" s="1"/>
  <c r="G116" i="2"/>
  <c r="F130" i="2"/>
  <c r="I130" i="2" s="1"/>
  <c r="I131" i="2"/>
  <c r="I135" i="2"/>
  <c r="K137" i="2"/>
  <c r="I137" i="2"/>
  <c r="G155" i="2"/>
  <c r="F155" i="2"/>
  <c r="I155" i="2" s="1"/>
  <c r="J162" i="2"/>
  <c r="H162" i="2" s="1"/>
  <c r="J167" i="2"/>
  <c r="H167" i="2" s="1"/>
  <c r="I167" i="2"/>
  <c r="K175" i="2"/>
  <c r="I188" i="2"/>
  <c r="F194" i="2"/>
  <c r="K194" i="2" s="1"/>
  <c r="F202" i="2"/>
  <c r="I202" i="2" s="1"/>
  <c r="F210" i="2"/>
  <c r="K210" i="2" s="1"/>
  <c r="F220" i="2"/>
  <c r="I220" i="2" s="1"/>
  <c r="K237" i="2"/>
  <c r="J253" i="2"/>
  <c r="H253" i="2" s="1"/>
  <c r="I253" i="2"/>
  <c r="F258" i="2"/>
  <c r="I258" i="2" s="1"/>
  <c r="G258" i="2"/>
  <c r="F457" i="2"/>
  <c r="K457" i="2" s="1"/>
  <c r="G457" i="2"/>
  <c r="G481" i="2"/>
  <c r="F481" i="2"/>
  <c r="I481" i="2" s="1"/>
  <c r="K141" i="2"/>
  <c r="J146" i="2"/>
  <c r="H146" i="2" s="1"/>
  <c r="I146" i="2"/>
  <c r="G146" i="2"/>
  <c r="K158" i="2"/>
  <c r="J158" i="2"/>
  <c r="H158" i="2" s="1"/>
  <c r="I158" i="2"/>
  <c r="I159" i="2"/>
  <c r="J175" i="2"/>
  <c r="H175" i="2" s="1"/>
  <c r="I175" i="2"/>
  <c r="K185" i="2"/>
  <c r="K188" i="2"/>
  <c r="F228" i="2"/>
  <c r="K228" i="2" s="1"/>
  <c r="G262" i="2"/>
  <c r="F262" i="2"/>
  <c r="I262" i="2" s="1"/>
  <c r="K265" i="2"/>
  <c r="I265" i="2"/>
  <c r="G300" i="2"/>
  <c r="F300" i="2"/>
  <c r="J300" i="2" s="1"/>
  <c r="H300" i="2" s="1"/>
  <c r="K322" i="2"/>
  <c r="J322" i="2"/>
  <c r="H322" i="2" s="1"/>
  <c r="I322" i="2"/>
  <c r="K390" i="2"/>
  <c r="J390" i="2"/>
  <c r="H390" i="2" s="1"/>
  <c r="I390" i="2"/>
  <c r="K56" i="2"/>
  <c r="K66" i="2"/>
  <c r="K74" i="2"/>
  <c r="K94" i="2"/>
  <c r="F105" i="2"/>
  <c r="F110" i="2"/>
  <c r="K110" i="2" s="1"/>
  <c r="G115" i="2"/>
  <c r="F115" i="2"/>
  <c r="K117" i="2"/>
  <c r="I117" i="2"/>
  <c r="J136" i="2"/>
  <c r="H136" i="2" s="1"/>
  <c r="G136" i="2"/>
  <c r="J138" i="2"/>
  <c r="H138" i="2" s="1"/>
  <c r="I138" i="2"/>
  <c r="K147" i="2"/>
  <c r="J147" i="2"/>
  <c r="H147" i="2" s="1"/>
  <c r="I147" i="2"/>
  <c r="K173" i="2"/>
  <c r="F192" i="2"/>
  <c r="G200" i="2"/>
  <c r="F200" i="2"/>
  <c r="K200" i="2" s="1"/>
  <c r="F208" i="2"/>
  <c r="G218" i="2"/>
  <c r="F218" i="2"/>
  <c r="K218" i="2" s="1"/>
  <c r="K229" i="2"/>
  <c r="J356" i="2"/>
  <c r="I356" i="2"/>
  <c r="K364" i="2"/>
  <c r="J364" i="2"/>
  <c r="H364" i="2" s="1"/>
  <c r="K438" i="2"/>
  <c r="J438" i="2"/>
  <c r="H438" i="2" s="1"/>
  <c r="I438" i="2"/>
  <c r="G446" i="2"/>
  <c r="F446" i="2"/>
  <c r="K446" i="2" s="1"/>
  <c r="I51" i="2"/>
  <c r="I61" i="2"/>
  <c r="I71" i="2"/>
  <c r="I81" i="2"/>
  <c r="I89" i="2"/>
  <c r="I99" i="2"/>
  <c r="K119" i="2"/>
  <c r="K159" i="2"/>
  <c r="J164" i="2"/>
  <c r="H164" i="2" s="1"/>
  <c r="I164" i="2"/>
  <c r="G226" i="2"/>
  <c r="F226" i="2"/>
  <c r="J226" i="2" s="1"/>
  <c r="H226" i="2" s="1"/>
  <c r="J239" i="2"/>
  <c r="H239" i="2" s="1"/>
  <c r="I239" i="2"/>
  <c r="G278" i="2"/>
  <c r="F278" i="2"/>
  <c r="J278" i="2" s="1"/>
  <c r="H278" i="2" s="1"/>
  <c r="G284" i="2"/>
  <c r="F284" i="2"/>
  <c r="K284" i="2" s="1"/>
  <c r="G501" i="2"/>
  <c r="F501" i="2"/>
  <c r="J501" i="2" s="1"/>
  <c r="H501" i="2" s="1"/>
  <c r="G126" i="2"/>
  <c r="F142" i="2"/>
  <c r="J142" i="2" s="1"/>
  <c r="H142" i="2" s="1"/>
  <c r="G145" i="2"/>
  <c r="F145" i="2"/>
  <c r="I145" i="2" s="1"/>
  <c r="I174" i="2"/>
  <c r="K204" i="2"/>
  <c r="J204" i="2"/>
  <c r="H204" i="2" s="1"/>
  <c r="K212" i="2"/>
  <c r="F236" i="2"/>
  <c r="I236" i="2" s="1"/>
  <c r="F302" i="2"/>
  <c r="J302" i="2" s="1"/>
  <c r="H302" i="2" s="1"/>
  <c r="G320" i="2"/>
  <c r="F320" i="2"/>
  <c r="I320" i="2" s="1"/>
  <c r="F365" i="2"/>
  <c r="I365" i="2" s="1"/>
  <c r="G365" i="2"/>
  <c r="J439" i="2"/>
  <c r="H439" i="2" s="1"/>
  <c r="J543" i="2"/>
  <c r="H543" i="2" s="1"/>
  <c r="G543" i="2"/>
  <c r="F107" i="2"/>
  <c r="K107" i="2" s="1"/>
  <c r="K109" i="2"/>
  <c r="F126" i="2"/>
  <c r="I126" i="2" s="1"/>
  <c r="F128" i="2"/>
  <c r="K128" i="2" s="1"/>
  <c r="G142" i="2"/>
  <c r="F157" i="2"/>
  <c r="J157" i="2" s="1"/>
  <c r="H157" i="2" s="1"/>
  <c r="K164" i="2"/>
  <c r="K167" i="2"/>
  <c r="I178" i="2"/>
  <c r="F184" i="2"/>
  <c r="K184" i="2" s="1"/>
  <c r="I186" i="2"/>
  <c r="K227" i="2"/>
  <c r="G244" i="2"/>
  <c r="F244" i="2"/>
  <c r="J244" i="2" s="1"/>
  <c r="H244" i="2" s="1"/>
  <c r="I290" i="2"/>
  <c r="F375" i="2"/>
  <c r="I375" i="2" s="1"/>
  <c r="G375" i="2"/>
  <c r="F470" i="2"/>
  <c r="I470" i="2" s="1"/>
  <c r="G498" i="2"/>
  <c r="F498" i="2"/>
  <c r="K498" i="2" s="1"/>
  <c r="K253" i="2"/>
  <c r="F271" i="2"/>
  <c r="K271" i="2" s="1"/>
  <c r="G292" i="2"/>
  <c r="F292" i="2"/>
  <c r="J292" i="2" s="1"/>
  <c r="H292" i="2" s="1"/>
  <c r="F294" i="2"/>
  <c r="K294" i="2" s="1"/>
  <c r="K296" i="2"/>
  <c r="J296" i="2"/>
  <c r="H296" i="2" s="1"/>
  <c r="J316" i="2"/>
  <c r="H316" i="2" s="1"/>
  <c r="K332" i="2"/>
  <c r="I332" i="2"/>
  <c r="G337" i="2"/>
  <c r="F337" i="2"/>
  <c r="K337" i="2" s="1"/>
  <c r="K340" i="2"/>
  <c r="I340" i="2"/>
  <c r="G345" i="2"/>
  <c r="F345" i="2"/>
  <c r="K345" i="2" s="1"/>
  <c r="I350" i="2"/>
  <c r="G381" i="2"/>
  <c r="F381" i="2"/>
  <c r="K381" i="2" s="1"/>
  <c r="K384" i="2"/>
  <c r="J384" i="2"/>
  <c r="H384" i="2" s="1"/>
  <c r="I384" i="2"/>
  <c r="I398" i="2"/>
  <c r="F462" i="2"/>
  <c r="I462" i="2" s="1"/>
  <c r="F487" i="2"/>
  <c r="K487" i="2" s="1"/>
  <c r="F603" i="2"/>
  <c r="I603" i="2" s="1"/>
  <c r="G173" i="2"/>
  <c r="G193" i="2"/>
  <c r="G201" i="2"/>
  <c r="J222" i="2"/>
  <c r="H222" i="2" s="1"/>
  <c r="G227" i="2"/>
  <c r="J230" i="2"/>
  <c r="H230" i="2" s="1"/>
  <c r="G237" i="2"/>
  <c r="J242" i="2"/>
  <c r="H242" i="2" s="1"/>
  <c r="K246" i="2"/>
  <c r="J250" i="2"/>
  <c r="H250" i="2" s="1"/>
  <c r="J287" i="2"/>
  <c r="H287" i="2" s="1"/>
  <c r="I287" i="2"/>
  <c r="G287" i="2"/>
  <c r="F289" i="2"/>
  <c r="J289" i="2" s="1"/>
  <c r="I296" i="2"/>
  <c r="I359" i="2"/>
  <c r="G371" i="2"/>
  <c r="F371" i="2"/>
  <c r="K371" i="2" s="1"/>
  <c r="J376" i="2"/>
  <c r="K379" i="2" s="1"/>
  <c r="I376" i="2"/>
  <c r="K385" i="2"/>
  <c r="J385" i="2"/>
  <c r="H385" i="2" s="1"/>
  <c r="K408" i="2"/>
  <c r="I408" i="2"/>
  <c r="K415" i="2"/>
  <c r="J415" i="2"/>
  <c r="H415" i="2" s="1"/>
  <c r="I415" i="2"/>
  <c r="G443" i="2"/>
  <c r="F443" i="2"/>
  <c r="I443" i="2" s="1"/>
  <c r="F449" i="2"/>
  <c r="I449" i="2" s="1"/>
  <c r="G557" i="2"/>
  <c r="F557" i="2"/>
  <c r="K557" i="2" s="1"/>
  <c r="J109" i="2"/>
  <c r="J119" i="2"/>
  <c r="H119" i="2" s="1"/>
  <c r="K152" i="2"/>
  <c r="K168" i="2"/>
  <c r="F171" i="2"/>
  <c r="J171" i="2" s="1"/>
  <c r="H171" i="2" s="1"/>
  <c r="F181" i="2"/>
  <c r="J181" i="2" s="1"/>
  <c r="H181" i="2" s="1"/>
  <c r="K186" i="2"/>
  <c r="F189" i="2"/>
  <c r="J189" i="2" s="1"/>
  <c r="H189" i="2" s="1"/>
  <c r="K196" i="2"/>
  <c r="F199" i="2"/>
  <c r="J199" i="2" s="1"/>
  <c r="H199" i="2" s="1"/>
  <c r="F207" i="2"/>
  <c r="J207" i="2" s="1"/>
  <c r="H207" i="2" s="1"/>
  <c r="J217" i="2"/>
  <c r="H217" i="2" s="1"/>
  <c r="G252" i="2"/>
  <c r="G259" i="2"/>
  <c r="F264" i="2"/>
  <c r="K264" i="2" s="1"/>
  <c r="G295" i="2"/>
  <c r="F297" i="2"/>
  <c r="I297" i="2" s="1"/>
  <c r="G303" i="2"/>
  <c r="K314" i="2"/>
  <c r="J314" i="2"/>
  <c r="H314" i="2" s="1"/>
  <c r="I314" i="2"/>
  <c r="G321" i="2"/>
  <c r="K330" i="2"/>
  <c r="J330" i="2"/>
  <c r="H330" i="2" s="1"/>
  <c r="I330" i="2"/>
  <c r="K347" i="2"/>
  <c r="J347" i="2"/>
  <c r="H347" i="2" s="1"/>
  <c r="I347" i="2"/>
  <c r="F357" i="2"/>
  <c r="J357" i="2" s="1"/>
  <c r="H357" i="2" s="1"/>
  <c r="G476" i="2"/>
  <c r="F476" i="2"/>
  <c r="K476" i="2" s="1"/>
  <c r="G537" i="2"/>
  <c r="F537" i="2"/>
  <c r="I537" i="2" s="1"/>
  <c r="G171" i="2"/>
  <c r="I173" i="2"/>
  <c r="G181" i="2"/>
  <c r="I183" i="2"/>
  <c r="G189" i="2"/>
  <c r="I193" i="2"/>
  <c r="F198" i="2"/>
  <c r="I201" i="2"/>
  <c r="F206" i="2"/>
  <c r="G207" i="2"/>
  <c r="I209" i="2"/>
  <c r="F216" i="2"/>
  <c r="F224" i="2"/>
  <c r="G225" i="2"/>
  <c r="I227" i="2"/>
  <c r="F234" i="2"/>
  <c r="G235" i="2"/>
  <c r="I237" i="2"/>
  <c r="K243" i="2"/>
  <c r="I243" i="2"/>
  <c r="F252" i="2"/>
  <c r="K252" i="2" s="1"/>
  <c r="F259" i="2"/>
  <c r="K259" i="2" s="1"/>
  <c r="G264" i="2"/>
  <c r="J270" i="2"/>
  <c r="H270" i="2" s="1"/>
  <c r="J272" i="2"/>
  <c r="H272" i="2" s="1"/>
  <c r="F295" i="2"/>
  <c r="I295" i="2" s="1"/>
  <c r="F303" i="2"/>
  <c r="K303" i="2" s="1"/>
  <c r="J306" i="2"/>
  <c r="H306" i="2" s="1"/>
  <c r="F321" i="2"/>
  <c r="K321" i="2" s="1"/>
  <c r="J324" i="2"/>
  <c r="H324" i="2" s="1"/>
  <c r="I351" i="2"/>
  <c r="G357" i="2"/>
  <c r="G363" i="2"/>
  <c r="F363" i="2"/>
  <c r="K363" i="2" s="1"/>
  <c r="K366" i="2"/>
  <c r="J366" i="2"/>
  <c r="K376" i="2" s="1"/>
  <c r="I366" i="2"/>
  <c r="K377" i="2"/>
  <c r="J377" i="2"/>
  <c r="I385" i="2"/>
  <c r="K416" i="2"/>
  <c r="J416" i="2"/>
  <c r="H416" i="2" s="1"/>
  <c r="J419" i="2"/>
  <c r="H419" i="2" s="1"/>
  <c r="I419" i="2"/>
  <c r="I424" i="2"/>
  <c r="F427" i="2"/>
  <c r="I427" i="2" s="1"/>
  <c r="G427" i="2"/>
  <c r="F433" i="2"/>
  <c r="I433" i="2" s="1"/>
  <c r="F467" i="2"/>
  <c r="K467" i="2" s="1"/>
  <c r="G467" i="2"/>
  <c r="J173" i="2"/>
  <c r="H173" i="2" s="1"/>
  <c r="J183" i="2"/>
  <c r="H183" i="2" s="1"/>
  <c r="J193" i="2"/>
  <c r="H193" i="2" s="1"/>
  <c r="J201" i="2"/>
  <c r="H201" i="2" s="1"/>
  <c r="J209" i="2"/>
  <c r="H209" i="2" s="1"/>
  <c r="J227" i="2"/>
  <c r="H227" i="2" s="1"/>
  <c r="J237" i="2"/>
  <c r="H237" i="2" s="1"/>
  <c r="G249" i="2"/>
  <c r="I256" i="2"/>
  <c r="F261" i="2"/>
  <c r="J261" i="2" s="1"/>
  <c r="H261" i="2" s="1"/>
  <c r="F268" i="2"/>
  <c r="J268" i="2" s="1"/>
  <c r="H268" i="2" s="1"/>
  <c r="G312" i="2"/>
  <c r="F312" i="2"/>
  <c r="K312" i="2" s="1"/>
  <c r="F315" i="2"/>
  <c r="K315" i="2" s="1"/>
  <c r="G328" i="2"/>
  <c r="F328" i="2"/>
  <c r="I328" i="2" s="1"/>
  <c r="F331" i="2"/>
  <c r="K331" i="2" s="1"/>
  <c r="F339" i="2"/>
  <c r="I339" i="2" s="1"/>
  <c r="F349" i="2"/>
  <c r="K349" i="2" s="1"/>
  <c r="F383" i="2"/>
  <c r="J383" i="2" s="1"/>
  <c r="H383" i="2" s="1"/>
  <c r="K397" i="2"/>
  <c r="J397" i="2"/>
  <c r="H397" i="2" s="1"/>
  <c r="J409" i="2"/>
  <c r="H409" i="2" s="1"/>
  <c r="I409" i="2"/>
  <c r="G243" i="2"/>
  <c r="G246" i="2"/>
  <c r="F249" i="2"/>
  <c r="K257" i="2"/>
  <c r="G261" i="2"/>
  <c r="K263" i="2"/>
  <c r="G268" i="2"/>
  <c r="G274" i="2"/>
  <c r="F274" i="2"/>
  <c r="I274" i="2" s="1"/>
  <c r="F276" i="2"/>
  <c r="J276" i="2" s="1"/>
  <c r="H276" i="2" s="1"/>
  <c r="J288" i="2"/>
  <c r="J290" i="2"/>
  <c r="H290" i="2" s="1"/>
  <c r="G315" i="2"/>
  <c r="G331" i="2"/>
  <c r="G349" i="2"/>
  <c r="G355" i="2"/>
  <c r="F355" i="2"/>
  <c r="K355" i="2" s="1"/>
  <c r="K358" i="2"/>
  <c r="I358" i="2"/>
  <c r="K367" i="2"/>
  <c r="J367" i="2"/>
  <c r="H367" i="2" s="1"/>
  <c r="I377" i="2"/>
  <c r="G389" i="2"/>
  <c r="F389" i="2"/>
  <c r="K389" i="2" s="1"/>
  <c r="F451" i="2"/>
  <c r="J451" i="2" s="1"/>
  <c r="H451" i="2" s="1"/>
  <c r="G451" i="2"/>
  <c r="I486" i="2"/>
  <c r="K486" i="2"/>
  <c r="J486" i="2"/>
  <c r="H486" i="2" s="1"/>
  <c r="F579" i="2"/>
  <c r="K579" i="2" s="1"/>
  <c r="G579" i="2"/>
  <c r="J265" i="2"/>
  <c r="H265" i="2" s="1"/>
  <c r="G272" i="2"/>
  <c r="J275" i="2"/>
  <c r="H275" i="2" s="1"/>
  <c r="G282" i="2"/>
  <c r="J285" i="2"/>
  <c r="H285" i="2" s="1"/>
  <c r="G290" i="2"/>
  <c r="J293" i="2"/>
  <c r="H293" i="2" s="1"/>
  <c r="J301" i="2"/>
  <c r="G306" i="2"/>
  <c r="G316" i="2"/>
  <c r="G324" i="2"/>
  <c r="J327" i="2"/>
  <c r="H327" i="2" s="1"/>
  <c r="G332" i="2"/>
  <c r="J335" i="2"/>
  <c r="G340" i="2"/>
  <c r="J353" i="2"/>
  <c r="H353" i="2" s="1"/>
  <c r="G358" i="2"/>
  <c r="J361" i="2"/>
  <c r="H361" i="2" s="1"/>
  <c r="J369" i="2"/>
  <c r="H369" i="2" s="1"/>
  <c r="J379" i="2"/>
  <c r="K398" i="2" s="1"/>
  <c r="J387" i="2"/>
  <c r="H387" i="2" s="1"/>
  <c r="I397" i="2"/>
  <c r="J408" i="2"/>
  <c r="H408" i="2" s="1"/>
  <c r="K419" i="2"/>
  <c r="F430" i="2"/>
  <c r="J477" i="2"/>
  <c r="H477" i="2" s="1"/>
  <c r="I477" i="2"/>
  <c r="K477" i="2"/>
  <c r="I482" i="2"/>
  <c r="K482" i="2"/>
  <c r="J482" i="2"/>
  <c r="H482" i="2" s="1"/>
  <c r="G598" i="2"/>
  <c r="F598" i="2"/>
  <c r="J598" i="2" s="1"/>
  <c r="H598" i="2" s="1"/>
  <c r="G606" i="2"/>
  <c r="F606" i="2"/>
  <c r="J606" i="2" s="1"/>
  <c r="H606" i="2" s="1"/>
  <c r="G632" i="2"/>
  <c r="F632" i="2"/>
  <c r="K632" i="2" s="1"/>
  <c r="G526" i="2"/>
  <c r="J630" i="2"/>
  <c r="H630" i="2" s="1"/>
  <c r="I630" i="2"/>
  <c r="K630" i="2"/>
  <c r="K695" i="2"/>
  <c r="J695" i="2"/>
  <c r="I695" i="2"/>
  <c r="G833" i="2"/>
  <c r="F833" i="2"/>
  <c r="J833" i="2" s="1"/>
  <c r="H833" i="2" s="1"/>
  <c r="K842" i="2"/>
  <c r="J842" i="2"/>
  <c r="H842" i="2" s="1"/>
  <c r="I842" i="2"/>
  <c r="F336" i="2"/>
  <c r="J336" i="2" s="1"/>
  <c r="H336" i="2" s="1"/>
  <c r="F344" i="2"/>
  <c r="J344" i="2" s="1"/>
  <c r="K351" i="2"/>
  <c r="F354" i="2"/>
  <c r="J354" i="2" s="1"/>
  <c r="H354" i="2" s="1"/>
  <c r="F362" i="2"/>
  <c r="J362" i="2" s="1"/>
  <c r="H362" i="2" s="1"/>
  <c r="F370" i="2"/>
  <c r="J370" i="2" s="1"/>
  <c r="H370" i="2" s="1"/>
  <c r="F380" i="2"/>
  <c r="J380" i="2" s="1"/>
  <c r="H380" i="2" s="1"/>
  <c r="F388" i="2"/>
  <c r="J388" i="2" s="1"/>
  <c r="H388" i="2" s="1"/>
  <c r="F396" i="2"/>
  <c r="F400" i="2"/>
  <c r="J400" i="2" s="1"/>
  <c r="H400" i="2" s="1"/>
  <c r="F407" i="2"/>
  <c r="G414" i="2"/>
  <c r="K418" i="2"/>
  <c r="F432" i="2"/>
  <c r="I432" i="2" s="1"/>
  <c r="F435" i="2"/>
  <c r="J435" i="2" s="1"/>
  <c r="H435" i="2" s="1"/>
  <c r="F445" i="2"/>
  <c r="K445" i="2" s="1"/>
  <c r="G450" i="2"/>
  <c r="K450" i="2"/>
  <c r="G454" i="2"/>
  <c r="F454" i="2"/>
  <c r="I454" i="2" s="1"/>
  <c r="F458" i="2"/>
  <c r="F463" i="2"/>
  <c r="I463" i="2" s="1"/>
  <c r="K471" i="2"/>
  <c r="J471" i="2"/>
  <c r="H471" i="2" s="1"/>
  <c r="I471" i="2"/>
  <c r="G517" i="2"/>
  <c r="F517" i="2"/>
  <c r="I517" i="2" s="1"/>
  <c r="F526" i="2"/>
  <c r="J526" i="2" s="1"/>
  <c r="H526" i="2" s="1"/>
  <c r="G595" i="2"/>
  <c r="F595" i="2"/>
  <c r="I595" i="2" s="1"/>
  <c r="G336" i="2"/>
  <c r="G354" i="2"/>
  <c r="G362" i="2"/>
  <c r="G370" i="2"/>
  <c r="G388" i="2"/>
  <c r="G400" i="2"/>
  <c r="G418" i="2"/>
  <c r="F422" i="2"/>
  <c r="J422" i="2" s="1"/>
  <c r="H422" i="2" s="1"/>
  <c r="G432" i="2"/>
  <c r="G456" i="2"/>
  <c r="F456" i="2"/>
  <c r="J456" i="2" s="1"/>
  <c r="H456" i="2" s="1"/>
  <c r="F461" i="2"/>
  <c r="K461" i="2" s="1"/>
  <c r="G461" i="2"/>
  <c r="G465" i="2"/>
  <c r="F465" i="2"/>
  <c r="J465" i="2" s="1"/>
  <c r="H465" i="2" s="1"/>
  <c r="J478" i="2"/>
  <c r="I478" i="2"/>
  <c r="G485" i="2"/>
  <c r="F485" i="2"/>
  <c r="I485" i="2" s="1"/>
  <c r="F624" i="2"/>
  <c r="I624" i="2" s="1"/>
  <c r="F648" i="2"/>
  <c r="K648" i="2" s="1"/>
  <c r="F308" i="2"/>
  <c r="I308" i="2" s="1"/>
  <c r="F318" i="2"/>
  <c r="F326" i="2"/>
  <c r="I326" i="2" s="1"/>
  <c r="F334" i="2"/>
  <c r="I334" i="2" s="1"/>
  <c r="F342" i="2"/>
  <c r="I342" i="2" s="1"/>
  <c r="F352" i="2"/>
  <c r="I352" i="2" s="1"/>
  <c r="F360" i="2"/>
  <c r="I360" i="2" s="1"/>
  <c r="F368" i="2"/>
  <c r="I368" i="2" s="1"/>
  <c r="F378" i="2"/>
  <c r="F386" i="2"/>
  <c r="I386" i="2" s="1"/>
  <c r="F393" i="2"/>
  <c r="J393" i="2" s="1"/>
  <c r="H393" i="2" s="1"/>
  <c r="F399" i="2"/>
  <c r="J399" i="2" s="1"/>
  <c r="H399" i="2" s="1"/>
  <c r="I403" i="2"/>
  <c r="F406" i="2"/>
  <c r="F411" i="2"/>
  <c r="I411" i="2" s="1"/>
  <c r="I414" i="2"/>
  <c r="F417" i="2"/>
  <c r="K417" i="2" s="1"/>
  <c r="G422" i="2"/>
  <c r="F428" i="2"/>
  <c r="J428" i="2" s="1"/>
  <c r="H428" i="2" s="1"/>
  <c r="G431" i="2"/>
  <c r="G442" i="2"/>
  <c r="J448" i="2"/>
  <c r="G493" i="2"/>
  <c r="J614" i="2"/>
  <c r="H614" i="2" s="1"/>
  <c r="I614" i="2"/>
  <c r="J640" i="2"/>
  <c r="H640" i="2" s="1"/>
  <c r="I640" i="2"/>
  <c r="J398" i="2"/>
  <c r="G399" i="2"/>
  <c r="K409" i="2"/>
  <c r="J414" i="2"/>
  <c r="H414" i="2" s="1"/>
  <c r="G417" i="2"/>
  <c r="K424" i="2"/>
  <c r="F431" i="2"/>
  <c r="K431" i="2" s="1"/>
  <c r="F442" i="2"/>
  <c r="I442" i="2" s="1"/>
  <c r="J444" i="2"/>
  <c r="H444" i="2" s="1"/>
  <c r="J450" i="2"/>
  <c r="H450" i="2" s="1"/>
  <c r="F474" i="2"/>
  <c r="J474" i="2" s="1"/>
  <c r="H474" i="2" s="1"/>
  <c r="F493" i="2"/>
  <c r="K493" i="2" s="1"/>
  <c r="I508" i="2"/>
  <c r="G508" i="2"/>
  <c r="K508" i="2"/>
  <c r="J508" i="2"/>
  <c r="H508" i="2" s="1"/>
  <c r="K550" i="2"/>
  <c r="J550" i="2"/>
  <c r="H550" i="2" s="1"/>
  <c r="I550" i="2"/>
  <c r="F587" i="2"/>
  <c r="I587" i="2" s="1"/>
  <c r="K614" i="2"/>
  <c r="K640" i="2"/>
  <c r="J497" i="2"/>
  <c r="H497" i="2" s="1"/>
  <c r="J504" i="2"/>
  <c r="H504" i="2" s="1"/>
  <c r="J522" i="2"/>
  <c r="H522" i="2" s="1"/>
  <c r="K534" i="2"/>
  <c r="F541" i="2"/>
  <c r="I541" i="2" s="1"/>
  <c r="F547" i="2"/>
  <c r="J547" i="2" s="1"/>
  <c r="H547" i="2" s="1"/>
  <c r="F553" i="2"/>
  <c r="K553" i="2" s="1"/>
  <c r="G562" i="2"/>
  <c r="J586" i="2"/>
  <c r="H586" i="2" s="1"/>
  <c r="I586" i="2"/>
  <c r="F605" i="2"/>
  <c r="I605" i="2" s="1"/>
  <c r="K617" i="2"/>
  <c r="G629" i="2"/>
  <c r="F629" i="2"/>
  <c r="J629" i="2" s="1"/>
  <c r="H629" i="2" s="1"/>
  <c r="K661" i="2"/>
  <c r="J661" i="2"/>
  <c r="H661" i="2" s="1"/>
  <c r="G667" i="2"/>
  <c r="F667" i="2"/>
  <c r="J667" i="2" s="1"/>
  <c r="H667" i="2" s="1"/>
  <c r="G671" i="2"/>
  <c r="F671" i="2"/>
  <c r="J671" i="2" s="1"/>
  <c r="H671" i="2" s="1"/>
  <c r="I440" i="2"/>
  <c r="I448" i="2"/>
  <c r="G479" i="2"/>
  <c r="F483" i="2"/>
  <c r="I483" i="2" s="1"/>
  <c r="F488" i="2"/>
  <c r="F494" i="2"/>
  <c r="I494" i="2" s="1"/>
  <c r="K497" i="2"/>
  <c r="F499" i="2"/>
  <c r="K499" i="2" s="1"/>
  <c r="F502" i="2"/>
  <c r="J502" i="2" s="1"/>
  <c r="H502" i="2" s="1"/>
  <c r="K507" i="2"/>
  <c r="J511" i="2"/>
  <c r="H511" i="2" s="1"/>
  <c r="J513" i="2"/>
  <c r="H513" i="2" s="1"/>
  <c r="F519" i="2"/>
  <c r="J519" i="2" s="1"/>
  <c r="H519" i="2" s="1"/>
  <c r="K525" i="2"/>
  <c r="J529" i="2"/>
  <c r="H529" i="2" s="1"/>
  <c r="J531" i="2"/>
  <c r="H531" i="2" s="1"/>
  <c r="F538" i="2"/>
  <c r="J538" i="2" s="1"/>
  <c r="H538" i="2" s="1"/>
  <c r="G541" i="2"/>
  <c r="G547" i="2"/>
  <c r="G553" i="2"/>
  <c r="F562" i="2"/>
  <c r="J562" i="2" s="1"/>
  <c r="H562" i="2" s="1"/>
  <c r="J578" i="2"/>
  <c r="H578" i="2" s="1"/>
  <c r="I578" i="2"/>
  <c r="K586" i="2"/>
  <c r="F597" i="2"/>
  <c r="I597" i="2" s="1"/>
  <c r="G621" i="2"/>
  <c r="F621" i="2"/>
  <c r="J621" i="2" s="1"/>
  <c r="H621" i="2" s="1"/>
  <c r="G642" i="2"/>
  <c r="F642" i="2"/>
  <c r="K642" i="2" s="1"/>
  <c r="G549" i="2"/>
  <c r="G554" i="2"/>
  <c r="F559" i="2"/>
  <c r="I559" i="2" s="1"/>
  <c r="J563" i="2"/>
  <c r="H563" i="2" s="1"/>
  <c r="F569" i="2"/>
  <c r="J569" i="2" s="1"/>
  <c r="H569" i="2" s="1"/>
  <c r="G585" i="2"/>
  <c r="F585" i="2"/>
  <c r="I585" i="2" s="1"/>
  <c r="K607" i="2"/>
  <c r="J622" i="2"/>
  <c r="K643" i="2"/>
  <c r="J643" i="2"/>
  <c r="H643" i="2" s="1"/>
  <c r="G649" i="2"/>
  <c r="F649" i="2"/>
  <c r="J649" i="2" s="1"/>
  <c r="H649" i="2" s="1"/>
  <c r="F655" i="2"/>
  <c r="J655" i="2" s="1"/>
  <c r="H655" i="2" s="1"/>
  <c r="F738" i="2"/>
  <c r="I444" i="2"/>
  <c r="K479" i="2"/>
  <c r="F492" i="2"/>
  <c r="I492" i="2" s="1"/>
  <c r="G497" i="2"/>
  <c r="F510" i="2"/>
  <c r="K510" i="2" s="1"/>
  <c r="F528" i="2"/>
  <c r="I528" i="2" s="1"/>
  <c r="F549" i="2"/>
  <c r="J549" i="2" s="1"/>
  <c r="H549" i="2" s="1"/>
  <c r="F554" i="2"/>
  <c r="F561" i="2"/>
  <c r="I561" i="2" s="1"/>
  <c r="J565" i="2"/>
  <c r="H565" i="2" s="1"/>
  <c r="G569" i="2"/>
  <c r="G577" i="2"/>
  <c r="F577" i="2"/>
  <c r="K577" i="2" s="1"/>
  <c r="G580" i="2"/>
  <c r="F588" i="2"/>
  <c r="I464" i="2"/>
  <c r="K484" i="2"/>
  <c r="G492" i="2"/>
  <c r="I500" i="2"/>
  <c r="F503" i="2"/>
  <c r="K503" i="2" s="1"/>
  <c r="G507" i="2"/>
  <c r="G510" i="2"/>
  <c r="K511" i="2"/>
  <c r="G513" i="2"/>
  <c r="I516" i="2"/>
  <c r="F521" i="2"/>
  <c r="K521" i="2" s="1"/>
  <c r="K523" i="2"/>
  <c r="G525" i="2"/>
  <c r="G528" i="2"/>
  <c r="K529" i="2"/>
  <c r="G531" i="2"/>
  <c r="I534" i="2"/>
  <c r="I536" i="2"/>
  <c r="G536" i="2"/>
  <c r="F539" i="2"/>
  <c r="K539" i="2" s="1"/>
  <c r="I540" i="2"/>
  <c r="I544" i="2"/>
  <c r="G544" i="2"/>
  <c r="F551" i="2"/>
  <c r="I551" i="2" s="1"/>
  <c r="I552" i="2"/>
  <c r="F556" i="2"/>
  <c r="J556" i="2" s="1"/>
  <c r="H556" i="2" s="1"/>
  <c r="G561" i="2"/>
  <c r="G567" i="2"/>
  <c r="F567" i="2"/>
  <c r="I567" i="2" s="1"/>
  <c r="J570" i="2"/>
  <c r="H570" i="2" s="1"/>
  <c r="I570" i="2"/>
  <c r="G570" i="2"/>
  <c r="K570" i="2"/>
  <c r="F580" i="2"/>
  <c r="I580" i="2" s="1"/>
  <c r="K599" i="2"/>
  <c r="J604" i="2"/>
  <c r="H604" i="2" s="1"/>
  <c r="I604" i="2"/>
  <c r="G616" i="2"/>
  <c r="F616" i="2"/>
  <c r="J616" i="2" s="1"/>
  <c r="H616" i="2" s="1"/>
  <c r="I643" i="2"/>
  <c r="I497" i="2"/>
  <c r="I504" i="2"/>
  <c r="J509" i="2"/>
  <c r="H509" i="2" s="1"/>
  <c r="I522" i="2"/>
  <c r="J527" i="2"/>
  <c r="H527" i="2" s="1"/>
  <c r="J540" i="2"/>
  <c r="H540" i="2" s="1"/>
  <c r="K589" i="2"/>
  <c r="J596" i="2"/>
  <c r="I596" i="2"/>
  <c r="G613" i="2"/>
  <c r="F613" i="2"/>
  <c r="J613" i="2" s="1"/>
  <c r="H613" i="2" s="1"/>
  <c r="G639" i="2"/>
  <c r="F639" i="2"/>
  <c r="J639" i="2" s="1"/>
  <c r="H639" i="2" s="1"/>
  <c r="G666" i="2"/>
  <c r="F666" i="2"/>
  <c r="I666" i="2" s="1"/>
  <c r="G693" i="2"/>
  <c r="F693" i="2"/>
  <c r="J693" i="2" s="1"/>
  <c r="H693" i="2" s="1"/>
  <c r="I647" i="2"/>
  <c r="I665" i="2"/>
  <c r="J702" i="2"/>
  <c r="H702" i="2" s="1"/>
  <c r="I702" i="2"/>
  <c r="G702" i="2"/>
  <c r="K731" i="2"/>
  <c r="J731" i="2"/>
  <c r="H731" i="2" s="1"/>
  <c r="F823" i="2"/>
  <c r="F564" i="2"/>
  <c r="J564" i="2" s="1"/>
  <c r="H564" i="2" s="1"/>
  <c r="F574" i="2"/>
  <c r="J574" i="2" s="1"/>
  <c r="F582" i="2"/>
  <c r="J582" i="2" s="1"/>
  <c r="H582" i="2" s="1"/>
  <c r="F590" i="2"/>
  <c r="J590" i="2" s="1"/>
  <c r="H590" i="2" s="1"/>
  <c r="F600" i="2"/>
  <c r="J600" i="2" s="1"/>
  <c r="J658" i="2"/>
  <c r="H658" i="2" s="1"/>
  <c r="I658" i="2"/>
  <c r="J676" i="2"/>
  <c r="H676" i="2" s="1"/>
  <c r="I676" i="2"/>
  <c r="J684" i="2"/>
  <c r="H684" i="2" s="1"/>
  <c r="I684" i="2"/>
  <c r="G684" i="2"/>
  <c r="K686" i="2"/>
  <c r="I686" i="2"/>
  <c r="G689" i="2"/>
  <c r="F689" i="2"/>
  <c r="K689" i="2" s="1"/>
  <c r="J710" i="2"/>
  <c r="H710" i="2" s="1"/>
  <c r="I710" i="2"/>
  <c r="G710" i="2"/>
  <c r="K723" i="2"/>
  <c r="J723" i="2"/>
  <c r="H723" i="2" s="1"/>
  <c r="K729" i="2"/>
  <c r="G607" i="2"/>
  <c r="G617" i="2"/>
  <c r="G635" i="2"/>
  <c r="I644" i="2"/>
  <c r="J647" i="2"/>
  <c r="H647" i="2" s="1"/>
  <c r="G658" i="2"/>
  <c r="K660" i="2"/>
  <c r="I662" i="2"/>
  <c r="J665" i="2"/>
  <c r="K672" i="2"/>
  <c r="G676" i="2"/>
  <c r="G681" i="2"/>
  <c r="F681" i="2"/>
  <c r="J681" i="2" s="1"/>
  <c r="H681" i="2" s="1"/>
  <c r="J682" i="2"/>
  <c r="H682" i="2" s="1"/>
  <c r="G686" i="2"/>
  <c r="K687" i="2"/>
  <c r="F691" i="2"/>
  <c r="J691" i="2" s="1"/>
  <c r="H691" i="2" s="1"/>
  <c r="K703" i="2"/>
  <c r="J703" i="2"/>
  <c r="I703" i="2"/>
  <c r="J706" i="2"/>
  <c r="H706" i="2" s="1"/>
  <c r="K710" i="2"/>
  <c r="J714" i="2"/>
  <c r="H714" i="2" s="1"/>
  <c r="I731" i="2"/>
  <c r="F615" i="2"/>
  <c r="I618" i="2"/>
  <c r="I626" i="2"/>
  <c r="I636" i="2"/>
  <c r="K647" i="2"/>
  <c r="I657" i="2"/>
  <c r="K665" i="2"/>
  <c r="I673" i="2"/>
  <c r="I679" i="2"/>
  <c r="K684" i="2"/>
  <c r="K711" i="2"/>
  <c r="J711" i="2"/>
  <c r="H711" i="2" s="1"/>
  <c r="I711" i="2"/>
  <c r="I723" i="2"/>
  <c r="G727" i="2"/>
  <c r="F727" i="2"/>
  <c r="J727" i="2" s="1"/>
  <c r="H727" i="2" s="1"/>
  <c r="K730" i="2"/>
  <c r="F683" i="2"/>
  <c r="J683" i="2" s="1"/>
  <c r="H683" i="2" s="1"/>
  <c r="G699" i="2"/>
  <c r="F699" i="2"/>
  <c r="I699" i="2" s="1"/>
  <c r="G718" i="2"/>
  <c r="F718" i="2"/>
  <c r="K718" i="2" s="1"/>
  <c r="F722" i="2"/>
  <c r="K722" i="2" s="1"/>
  <c r="G730" i="2"/>
  <c r="G736" i="2"/>
  <c r="F736" i="2"/>
  <c r="K736" i="2" s="1"/>
  <c r="K739" i="2"/>
  <c r="J739" i="2"/>
  <c r="H739" i="2" s="1"/>
  <c r="I739" i="2"/>
  <c r="J589" i="2"/>
  <c r="H589" i="2" s="1"/>
  <c r="J599" i="2"/>
  <c r="H599" i="2" s="1"/>
  <c r="J607" i="2"/>
  <c r="H607" i="2" s="1"/>
  <c r="J617" i="2"/>
  <c r="H617" i="2" s="1"/>
  <c r="J625" i="2"/>
  <c r="H625" i="2" s="1"/>
  <c r="J635" i="2"/>
  <c r="H635" i="2" s="1"/>
  <c r="G645" i="2"/>
  <c r="F645" i="2"/>
  <c r="G657" i="2"/>
  <c r="J659" i="2"/>
  <c r="G663" i="2"/>
  <c r="F663" i="2"/>
  <c r="J664" i="2"/>
  <c r="H664" i="2" s="1"/>
  <c r="G673" i="2"/>
  <c r="G683" i="2"/>
  <c r="F685" i="2"/>
  <c r="I685" i="2" s="1"/>
  <c r="F694" i="2"/>
  <c r="K694" i="2" s="1"/>
  <c r="J704" i="2"/>
  <c r="H704" i="2" s="1"/>
  <c r="I704" i="2"/>
  <c r="G709" i="2"/>
  <c r="F709" i="2"/>
  <c r="G711" i="2"/>
  <c r="J728" i="2"/>
  <c r="H728" i="2" s="1"/>
  <c r="I728" i="2"/>
  <c r="G728" i="2"/>
  <c r="G766" i="2"/>
  <c r="F766" i="2"/>
  <c r="J766" i="2" s="1"/>
  <c r="H766" i="2" s="1"/>
  <c r="K799" i="2"/>
  <c r="I799" i="2"/>
  <c r="J799" i="2"/>
  <c r="H799" i="2" s="1"/>
  <c r="F815" i="2"/>
  <c r="J815" i="2" s="1"/>
  <c r="K650" i="2"/>
  <c r="J657" i="2"/>
  <c r="H657" i="2" s="1"/>
  <c r="I660" i="2"/>
  <c r="K668" i="2"/>
  <c r="J673" i="2"/>
  <c r="H673" i="2" s="1"/>
  <c r="G685" i="2"/>
  <c r="I688" i="2"/>
  <c r="J692" i="2"/>
  <c r="H692" i="2" s="1"/>
  <c r="I692" i="2"/>
  <c r="G692" i="2"/>
  <c r="G694" i="2"/>
  <c r="K712" i="2"/>
  <c r="J720" i="2"/>
  <c r="H720" i="2" s="1"/>
  <c r="I720" i="2"/>
  <c r="G720" i="2"/>
  <c r="K737" i="2"/>
  <c r="G744" i="2"/>
  <c r="F744" i="2"/>
  <c r="I744" i="2" s="1"/>
  <c r="G754" i="2"/>
  <c r="F754" i="2"/>
  <c r="K754" i="2" s="1"/>
  <c r="G762" i="2"/>
  <c r="F762" i="2"/>
  <c r="K762" i="2" s="1"/>
  <c r="K869" i="2"/>
  <c r="J869" i="2"/>
  <c r="H869" i="2" s="1"/>
  <c r="I869" i="2"/>
  <c r="K817" i="2"/>
  <c r="I817" i="2"/>
  <c r="K827" i="2"/>
  <c r="I827" i="2"/>
  <c r="G838" i="2"/>
  <c r="F838" i="2"/>
  <c r="I838" i="2" s="1"/>
  <c r="K868" i="2"/>
  <c r="J868" i="2"/>
  <c r="H868" i="2" s="1"/>
  <c r="I868" i="2"/>
  <c r="F747" i="2"/>
  <c r="K747" i="2" s="1"/>
  <c r="F756" i="2"/>
  <c r="J769" i="2"/>
  <c r="H769" i="2" s="1"/>
  <c r="I769" i="2"/>
  <c r="J777" i="2"/>
  <c r="H777" i="2" s="1"/>
  <c r="I777" i="2"/>
  <c r="G777" i="2"/>
  <c r="I784" i="2"/>
  <c r="F796" i="2"/>
  <c r="K796" i="2" s="1"/>
  <c r="J861" i="2"/>
  <c r="H861" i="2" s="1"/>
  <c r="I861" i="2"/>
  <c r="I749" i="2"/>
  <c r="I757" i="2"/>
  <c r="I763" i="2"/>
  <c r="G774" i="2"/>
  <c r="F774" i="2"/>
  <c r="K774" i="2" s="1"/>
  <c r="F786" i="2"/>
  <c r="J786" i="2" s="1"/>
  <c r="H786" i="2" s="1"/>
  <c r="G794" i="2"/>
  <c r="I794" i="2"/>
  <c r="G797" i="2"/>
  <c r="G812" i="2"/>
  <c r="F812" i="2"/>
  <c r="K812" i="2" s="1"/>
  <c r="G820" i="2"/>
  <c r="F820" i="2"/>
  <c r="I820" i="2" s="1"/>
  <c r="F830" i="2"/>
  <c r="J830" i="2" s="1"/>
  <c r="H830" i="2" s="1"/>
  <c r="K879" i="2"/>
  <c r="J879" i="2"/>
  <c r="H879" i="2" s="1"/>
  <c r="I879" i="2"/>
  <c r="F735" i="2"/>
  <c r="J735" i="2" s="1"/>
  <c r="H735" i="2" s="1"/>
  <c r="F743" i="2"/>
  <c r="J743" i="2" s="1"/>
  <c r="H743" i="2" s="1"/>
  <c r="J749" i="2"/>
  <c r="H749" i="2" s="1"/>
  <c r="F753" i="2"/>
  <c r="J753" i="2" s="1"/>
  <c r="H753" i="2" s="1"/>
  <c r="J757" i="2"/>
  <c r="H757" i="2" s="1"/>
  <c r="F761" i="2"/>
  <c r="J761" i="2" s="1"/>
  <c r="H761" i="2" s="1"/>
  <c r="I768" i="2"/>
  <c r="F771" i="2"/>
  <c r="K771" i="2" s="1"/>
  <c r="I772" i="2"/>
  <c r="K777" i="2"/>
  <c r="G786" i="2"/>
  <c r="F788" i="2"/>
  <c r="J788" i="2" s="1"/>
  <c r="H788" i="2" s="1"/>
  <c r="K790" i="2"/>
  <c r="J790" i="2"/>
  <c r="H790" i="2" s="1"/>
  <c r="F797" i="2"/>
  <c r="K797" i="2" s="1"/>
  <c r="G849" i="2"/>
  <c r="F849" i="2"/>
  <c r="K849" i="2" s="1"/>
  <c r="I721" i="2"/>
  <c r="I729" i="2"/>
  <c r="G735" i="2"/>
  <c r="I737" i="2"/>
  <c r="G743" i="2"/>
  <c r="I745" i="2"/>
  <c r="G753" i="2"/>
  <c r="I755" i="2"/>
  <c r="G761" i="2"/>
  <c r="K769" i="2"/>
  <c r="G771" i="2"/>
  <c r="F776" i="2"/>
  <c r="K776" i="2" s="1"/>
  <c r="G788" i="2"/>
  <c r="F804" i="2"/>
  <c r="K804" i="2" s="1"/>
  <c r="K816" i="2"/>
  <c r="J816" i="2"/>
  <c r="H816" i="2" s="1"/>
  <c r="K824" i="2"/>
  <c r="J824" i="2"/>
  <c r="H824" i="2" s="1"/>
  <c r="K834" i="2"/>
  <c r="J834" i="2"/>
  <c r="H834" i="2" s="1"/>
  <c r="G859" i="2"/>
  <c r="F859" i="2"/>
  <c r="K859" i="2" s="1"/>
  <c r="F697" i="2"/>
  <c r="F707" i="2"/>
  <c r="J721" i="2"/>
  <c r="H721" i="2" s="1"/>
  <c r="F725" i="2"/>
  <c r="J729" i="2"/>
  <c r="H729" i="2" s="1"/>
  <c r="F733" i="2"/>
  <c r="J737" i="2"/>
  <c r="H737" i="2" s="1"/>
  <c r="F741" i="2"/>
  <c r="J745" i="2"/>
  <c r="H745" i="2" s="1"/>
  <c r="F751" i="2"/>
  <c r="J755" i="2"/>
  <c r="H755" i="2" s="1"/>
  <c r="F759" i="2"/>
  <c r="G768" i="2"/>
  <c r="G776" i="2"/>
  <c r="F779" i="2"/>
  <c r="I779" i="2" s="1"/>
  <c r="I790" i="2"/>
  <c r="G804" i="2"/>
  <c r="K809" i="2"/>
  <c r="I809" i="2"/>
  <c r="K850" i="2"/>
  <c r="J850" i="2"/>
  <c r="H850" i="2" s="1"/>
  <c r="I850" i="2"/>
  <c r="G867" i="2"/>
  <c r="F867" i="2"/>
  <c r="I867" i="2" s="1"/>
  <c r="K763" i="2"/>
  <c r="J768" i="2"/>
  <c r="H768" i="2" s="1"/>
  <c r="F770" i="2"/>
  <c r="I770" i="2" s="1"/>
  <c r="G779" i="2"/>
  <c r="I783" i="2"/>
  <c r="J787" i="2"/>
  <c r="H787" i="2" s="1"/>
  <c r="I787" i="2"/>
  <c r="K789" i="2"/>
  <c r="I789" i="2"/>
  <c r="K791" i="2"/>
  <c r="I791" i="2"/>
  <c r="K798" i="2"/>
  <c r="J798" i="2"/>
  <c r="H798" i="2" s="1"/>
  <c r="G802" i="2"/>
  <c r="F802" i="2"/>
  <c r="K807" i="2"/>
  <c r="J807" i="2"/>
  <c r="H807" i="2" s="1"/>
  <c r="I807" i="2"/>
  <c r="G807" i="2"/>
  <c r="I816" i="2"/>
  <c r="I824" i="2"/>
  <c r="I834" i="2"/>
  <c r="G841" i="2"/>
  <c r="F841" i="2"/>
  <c r="K841" i="2" s="1"/>
  <c r="K860" i="2"/>
  <c r="J860" i="2"/>
  <c r="H860" i="2" s="1"/>
  <c r="I860" i="2"/>
  <c r="G877" i="2"/>
  <c r="F877" i="2"/>
  <c r="I877" i="2" s="1"/>
  <c r="F814" i="2"/>
  <c r="K814" i="2" s="1"/>
  <c r="F822" i="2"/>
  <c r="K822" i="2" s="1"/>
  <c r="F832" i="2"/>
  <c r="K832" i="2" s="1"/>
  <c r="F840" i="2"/>
  <c r="J840" i="2" s="1"/>
  <c r="H840" i="2" s="1"/>
  <c r="I843" i="2"/>
  <c r="F848" i="2"/>
  <c r="I852" i="2"/>
  <c r="F858" i="2"/>
  <c r="I858" i="2" s="1"/>
  <c r="F866" i="2"/>
  <c r="J866" i="2" s="1"/>
  <c r="F874" i="2"/>
  <c r="K874" i="2" s="1"/>
  <c r="F884" i="2"/>
  <c r="K884" i="2" s="1"/>
  <c r="G795" i="2"/>
  <c r="G803" i="2"/>
  <c r="G813" i="2"/>
  <c r="G821" i="2"/>
  <c r="G831" i="2"/>
  <c r="K835" i="2"/>
  <c r="G839" i="2"/>
  <c r="K843" i="2"/>
  <c r="F846" i="2"/>
  <c r="J846" i="2" s="1"/>
  <c r="H846" i="2" s="1"/>
  <c r="G847" i="2"/>
  <c r="K852" i="2"/>
  <c r="F856" i="2"/>
  <c r="J856" i="2" s="1"/>
  <c r="H856" i="2" s="1"/>
  <c r="G857" i="2"/>
  <c r="K861" i="2"/>
  <c r="F864" i="2"/>
  <c r="J864" i="2" s="1"/>
  <c r="H864" i="2" s="1"/>
  <c r="G865" i="2"/>
  <c r="F872" i="2"/>
  <c r="J872" i="2" s="1"/>
  <c r="H872" i="2" s="1"/>
  <c r="F882" i="2"/>
  <c r="J882" i="2" s="1"/>
  <c r="H882" i="2" s="1"/>
  <c r="G883" i="2"/>
  <c r="F837" i="2"/>
  <c r="F845" i="2"/>
  <c r="K845" i="2" s="1"/>
  <c r="F855" i="2"/>
  <c r="K855" i="2" s="1"/>
  <c r="G856" i="2"/>
  <c r="F863" i="2"/>
  <c r="G864" i="2"/>
  <c r="F871" i="2"/>
  <c r="G872" i="2"/>
  <c r="F881" i="2"/>
  <c r="G882" i="2"/>
  <c r="F792" i="2"/>
  <c r="I795" i="2"/>
  <c r="F800" i="2"/>
  <c r="I803" i="2"/>
  <c r="I813" i="2"/>
  <c r="F818" i="2"/>
  <c r="I821" i="2"/>
  <c r="F828" i="2"/>
  <c r="I831" i="2"/>
  <c r="F836" i="2"/>
  <c r="I839" i="2"/>
  <c r="F844" i="2"/>
  <c r="J844" i="2" s="1"/>
  <c r="H844" i="2" s="1"/>
  <c r="I847" i="2"/>
  <c r="F854" i="2"/>
  <c r="J854" i="2" s="1"/>
  <c r="H854" i="2" s="1"/>
  <c r="I857" i="2"/>
  <c r="F862" i="2"/>
  <c r="I865" i="2"/>
  <c r="F870" i="2"/>
  <c r="I873" i="2"/>
  <c r="F880" i="2"/>
  <c r="I883" i="2"/>
  <c r="K356" i="2" l="1"/>
  <c r="I165" i="2"/>
  <c r="K40" i="2"/>
  <c r="H688" i="2"/>
  <c r="G688" i="2"/>
  <c r="J712" i="2"/>
  <c r="H712" i="2" s="1"/>
  <c r="H289" i="2"/>
  <c r="I229" i="2"/>
  <c r="I245" i="2"/>
  <c r="K260" i="2"/>
  <c r="K41" i="2"/>
  <c r="J38" i="2"/>
  <c r="K464" i="2" s="1"/>
  <c r="J93" i="2"/>
  <c r="H93" i="2" s="1"/>
  <c r="K19" i="2"/>
  <c r="I114" i="2"/>
  <c r="I118" i="2"/>
  <c r="K100" i="2"/>
  <c r="J41" i="2"/>
  <c r="H41" i="2" s="1"/>
  <c r="I82" i="2"/>
  <c r="I197" i="2"/>
  <c r="K38" i="2"/>
  <c r="K93" i="2"/>
  <c r="K153" i="2"/>
  <c r="I19" i="2"/>
  <c r="J124" i="2"/>
  <c r="K13" i="2"/>
  <c r="I35" i="2"/>
  <c r="I17" i="2"/>
  <c r="K92" i="2"/>
  <c r="J35" i="2"/>
  <c r="H35" i="2" s="1"/>
  <c r="I42" i="2"/>
  <c r="J20" i="2"/>
  <c r="H20" i="2" s="1"/>
  <c r="J17" i="2"/>
  <c r="H17" i="2" s="1"/>
  <c r="K176" i="2"/>
  <c r="K20" i="2"/>
  <c r="H478" i="2"/>
  <c r="K429" i="2"/>
  <c r="K611" i="2"/>
  <c r="J260" i="2"/>
  <c r="H260" i="2" s="1"/>
  <c r="K215" i="2"/>
  <c r="K698" i="2"/>
  <c r="J455" i="2"/>
  <c r="H455" i="2" s="1"/>
  <c r="J215" i="2"/>
  <c r="H215" i="2" s="1"/>
  <c r="K455" i="2"/>
  <c r="I231" i="2"/>
  <c r="J231" i="2"/>
  <c r="H231" i="2" s="1"/>
  <c r="H177" i="2"/>
  <c r="J247" i="2"/>
  <c r="H247" i="2" s="1"/>
  <c r="H109" i="2"/>
  <c r="K221" i="2"/>
  <c r="I269" i="2"/>
  <c r="I203" i="2"/>
  <c r="I134" i="2"/>
  <c r="K151" i="2"/>
  <c r="J283" i="2"/>
  <c r="H283" i="2" s="1"/>
  <c r="K338" i="2"/>
  <c r="J212" i="2"/>
  <c r="H212" i="2" s="1"/>
  <c r="J144" i="2"/>
  <c r="K150" i="2" s="1"/>
  <c r="K403" i="2"/>
  <c r="J382" i="2"/>
  <c r="H382" i="2" s="1"/>
  <c r="J165" i="2"/>
  <c r="H165" i="2" s="1"/>
  <c r="K382" i="2"/>
  <c r="J269" i="2"/>
  <c r="H269" i="2" s="1"/>
  <c r="J161" i="2"/>
  <c r="H161" i="2" s="1"/>
  <c r="I150" i="2"/>
  <c r="I92" i="2"/>
  <c r="I338" i="2"/>
  <c r="J75" i="2"/>
  <c r="H75" i="2" s="1"/>
  <c r="K85" i="2"/>
  <c r="J86" i="2"/>
  <c r="H86" i="2" s="1"/>
  <c r="J310" i="2"/>
  <c r="H310" i="2" s="1"/>
  <c r="J104" i="2"/>
  <c r="K130" i="2" s="1"/>
  <c r="I161" i="2"/>
  <c r="I219" i="2"/>
  <c r="I65" i="2"/>
  <c r="K75" i="2"/>
  <c r="J343" i="2"/>
  <c r="H343" i="2" s="1"/>
  <c r="K124" i="2"/>
  <c r="I106" i="2"/>
  <c r="K68" i="2"/>
  <c r="J65" i="2"/>
  <c r="K183" i="2" s="1"/>
  <c r="K86" i="2"/>
  <c r="I343" i="2"/>
  <c r="J106" i="2"/>
  <c r="H106" i="2" s="1"/>
  <c r="J85" i="2"/>
  <c r="H85" i="2" s="1"/>
  <c r="J153" i="2"/>
  <c r="H153" i="2" s="1"/>
  <c r="I160" i="2"/>
  <c r="K160" i="2"/>
  <c r="J68" i="2"/>
  <c r="H68" i="2" s="1"/>
  <c r="K333" i="2"/>
  <c r="I333" i="2"/>
  <c r="H866" i="2"/>
  <c r="K848" i="2"/>
  <c r="H801" i="2"/>
  <c r="H734" i="2"/>
  <c r="H703" i="2"/>
  <c r="H695" i="2"/>
  <c r="H665" i="2"/>
  <c r="H659" i="2"/>
  <c r="H637" i="2"/>
  <c r="H622" i="2"/>
  <c r="H600" i="2"/>
  <c r="H596" i="2"/>
  <c r="K596" i="2"/>
  <c r="K505" i="2"/>
  <c r="K588" i="2"/>
  <c r="J781" i="2"/>
  <c r="H781" i="2" s="1"/>
  <c r="K583" i="2"/>
  <c r="I775" i="2"/>
  <c r="I781" i="2"/>
  <c r="I611" i="2"/>
  <c r="K509" i="2"/>
  <c r="H542" i="2"/>
  <c r="I713" i="2"/>
  <c r="J713" i="2"/>
  <c r="H713" i="2" s="1"/>
  <c r="J560" i="2"/>
  <c r="H560" i="2" s="1"/>
  <c r="K475" i="2"/>
  <c r="H464" i="2"/>
  <c r="I767" i="2"/>
  <c r="I524" i="2"/>
  <c r="I575" i="2"/>
  <c r="H448" i="2"/>
  <c r="J524" i="2"/>
  <c r="I584" i="2"/>
  <c r="K575" i="2"/>
  <c r="K448" i="2"/>
  <c r="I705" i="2"/>
  <c r="K444" i="2"/>
  <c r="J705" i="2"/>
  <c r="H705" i="2" s="1"/>
  <c r="I514" i="2"/>
  <c r="K560" i="2"/>
  <c r="K514" i="2"/>
  <c r="K434" i="2"/>
  <c r="H434" i="2"/>
  <c r="I808" i="2"/>
  <c r="J698" i="2"/>
  <c r="K677" i="2"/>
  <c r="J581" i="2"/>
  <c r="H581" i="2" s="1"/>
  <c r="K808" i="2"/>
  <c r="J677" i="2"/>
  <c r="J475" i="2"/>
  <c r="K581" i="2"/>
  <c r="J555" i="2"/>
  <c r="H555" i="2" s="1"/>
  <c r="K396" i="2"/>
  <c r="J468" i="2"/>
  <c r="H468" i="2" s="1"/>
  <c r="I439" i="2"/>
  <c r="H379" i="2"/>
  <c r="H377" i="2"/>
  <c r="J767" i="2"/>
  <c r="H767" i="2" s="1"/>
  <c r="K678" i="2"/>
  <c r="H366" i="2"/>
  <c r="K622" i="2"/>
  <c r="I429" i="2"/>
  <c r="J775" i="2"/>
  <c r="H775" i="2" s="1"/>
  <c r="I310" i="2"/>
  <c r="H356" i="2"/>
  <c r="I678" i="2"/>
  <c r="I545" i="2"/>
  <c r="I392" i="2"/>
  <c r="K627" i="2"/>
  <c r="I698" i="2"/>
  <c r="H335" i="2"/>
  <c r="J545" i="2"/>
  <c r="H545" i="2" s="1"/>
  <c r="I475" i="2"/>
  <c r="H333" i="2"/>
  <c r="K319" i="2"/>
  <c r="H325" i="2"/>
  <c r="I391" i="2"/>
  <c r="I583" i="2"/>
  <c r="J646" i="2"/>
  <c r="H646" i="2" s="1"/>
  <c r="J494" i="2"/>
  <c r="H494" i="2" s="1"/>
  <c r="J573" i="2"/>
  <c r="H573" i="2" s="1"/>
  <c r="K573" i="2"/>
  <c r="K466" i="2"/>
  <c r="I637" i="2"/>
  <c r="K691" i="2"/>
  <c r="I372" i="2"/>
  <c r="H301" i="2"/>
  <c r="J372" i="2"/>
  <c r="H372" i="2" s="1"/>
  <c r="J405" i="2"/>
  <c r="I304" i="2"/>
  <c r="K405" i="2"/>
  <c r="J304" i="2"/>
  <c r="H304" i="2" s="1"/>
  <c r="J878" i="2"/>
  <c r="H878" i="2" s="1"/>
  <c r="I555" i="2"/>
  <c r="I468" i="2"/>
  <c r="K425" i="2"/>
  <c r="I610" i="2"/>
  <c r="K878" i="2"/>
  <c r="I425" i="2"/>
  <c r="I298" i="2"/>
  <c r="J391" i="2"/>
  <c r="H391" i="2" s="1"/>
  <c r="K626" i="2"/>
  <c r="I742" i="2"/>
  <c r="J466" i="2"/>
  <c r="H466" i="2" s="1"/>
  <c r="J742" i="2"/>
  <c r="H742" i="2" s="1"/>
  <c r="K637" i="2"/>
  <c r="K542" i="2"/>
  <c r="I656" i="2"/>
  <c r="K299" i="2"/>
  <c r="I801" i="2"/>
  <c r="K576" i="2"/>
  <c r="J656" i="2"/>
  <c r="H656" i="2" s="1"/>
  <c r="J530" i="2"/>
  <c r="H530" i="2" s="1"/>
  <c r="I760" i="2"/>
  <c r="J392" i="2"/>
  <c r="H392" i="2" s="1"/>
  <c r="K801" i="2"/>
  <c r="I319" i="2"/>
  <c r="I646" i="2"/>
  <c r="I299" i="2"/>
  <c r="J319" i="2"/>
  <c r="K325" i="2" s="1"/>
  <c r="I627" i="2"/>
  <c r="I568" i="2"/>
  <c r="J568" i="2"/>
  <c r="H568" i="2" s="1"/>
  <c r="I426" i="2"/>
  <c r="K610" i="2"/>
  <c r="K104" i="2"/>
  <c r="K584" i="2"/>
  <c r="K118" i="2"/>
  <c r="J760" i="2"/>
  <c r="H760" i="2" s="1"/>
  <c r="J426" i="2"/>
  <c r="H426" i="2" s="1"/>
  <c r="J11" i="2"/>
  <c r="H11" i="2" s="1"/>
  <c r="K247" i="2"/>
  <c r="J612" i="2"/>
  <c r="I576" i="2"/>
  <c r="J752" i="2"/>
  <c r="H752" i="2" s="1"/>
  <c r="I542" i="2"/>
  <c r="I530" i="2"/>
  <c r="I612" i="2"/>
  <c r="J638" i="2"/>
  <c r="H638" i="2" s="1"/>
  <c r="K752" i="2"/>
  <c r="I638" i="2"/>
  <c r="J5" i="2"/>
  <c r="H5" i="2" s="1"/>
  <c r="H288" i="2"/>
  <c r="K211" i="2"/>
  <c r="H229" i="2"/>
  <c r="H203" i="2"/>
  <c r="H211" i="2"/>
  <c r="K192" i="2"/>
  <c r="H118" i="2"/>
  <c r="K82" i="2"/>
  <c r="H83" i="2"/>
  <c r="G83" i="2"/>
  <c r="J40" i="2"/>
  <c r="H40" i="2" s="1"/>
  <c r="K699" i="2"/>
  <c r="K292" i="2"/>
  <c r="J281" i="2"/>
  <c r="H281" i="2" s="1"/>
  <c r="J18" i="2"/>
  <c r="K301" i="2" s="1"/>
  <c r="G301" i="2" s="1"/>
  <c r="J26" i="2"/>
  <c r="H26" i="2" s="1"/>
  <c r="J770" i="2"/>
  <c r="K787" i="2" s="1"/>
  <c r="K18" i="2"/>
  <c r="J776" i="2"/>
  <c r="H776" i="2" s="1"/>
  <c r="J859" i="2"/>
  <c r="H859" i="2" s="1"/>
  <c r="I693" i="2"/>
  <c r="J585" i="2"/>
  <c r="H585" i="2" s="1"/>
  <c r="J884" i="2"/>
  <c r="H884" i="2" s="1"/>
  <c r="J446" i="2"/>
  <c r="H446" i="2" s="1"/>
  <c r="J595" i="2"/>
  <c r="H595" i="2" s="1"/>
  <c r="I261" i="2"/>
  <c r="K297" i="2"/>
  <c r="K226" i="2"/>
  <c r="I278" i="2"/>
  <c r="I226" i="2"/>
  <c r="I69" i="2"/>
  <c r="K236" i="2"/>
  <c r="K42" i="2"/>
  <c r="K543" i="2"/>
  <c r="J323" i="2"/>
  <c r="H323" i="2" s="1"/>
  <c r="I189" i="2"/>
  <c r="J756" i="2"/>
  <c r="I671" i="2"/>
  <c r="J284" i="2"/>
  <c r="H284" i="2" s="1"/>
  <c r="K784" i="2"/>
  <c r="I590" i="2"/>
  <c r="K268" i="2"/>
  <c r="I467" i="2"/>
  <c r="I476" i="2"/>
  <c r="J120" i="2"/>
  <c r="H120" i="2" s="1"/>
  <c r="K766" i="2"/>
  <c r="J297" i="2"/>
  <c r="I264" i="2"/>
  <c r="J470" i="2"/>
  <c r="K516" i="2" s="1"/>
  <c r="J832" i="2"/>
  <c r="K779" i="2"/>
  <c r="I730" i="2"/>
  <c r="K693" i="2"/>
  <c r="J738" i="2"/>
  <c r="K772" i="2" s="1"/>
  <c r="I667" i="2"/>
  <c r="I538" i="2"/>
  <c r="I445" i="2"/>
  <c r="J303" i="2"/>
  <c r="H303" i="2" s="1"/>
  <c r="K286" i="2"/>
  <c r="J858" i="2"/>
  <c r="H858" i="2" s="1"/>
  <c r="J747" i="2"/>
  <c r="H747" i="2" s="1"/>
  <c r="J699" i="2"/>
  <c r="H699" i="2" s="1"/>
  <c r="I655" i="2"/>
  <c r="K667" i="2"/>
  <c r="J431" i="2"/>
  <c r="H431" i="2" s="1"/>
  <c r="I543" i="2"/>
  <c r="J320" i="2"/>
  <c r="H320" i="2" s="1"/>
  <c r="K142" i="2"/>
  <c r="I49" i="2"/>
  <c r="I87" i="2"/>
  <c r="K794" i="2"/>
  <c r="J580" i="2"/>
  <c r="H580" i="2" s="1"/>
  <c r="J632" i="2"/>
  <c r="H632" i="2" s="1"/>
  <c r="J481" i="2"/>
  <c r="H481" i="2" s="1"/>
  <c r="I125" i="2"/>
  <c r="I840" i="2"/>
  <c r="I756" i="2"/>
  <c r="K685" i="2"/>
  <c r="K621" i="2"/>
  <c r="I547" i="2"/>
  <c r="J498" i="2"/>
  <c r="H498" i="2" s="1"/>
  <c r="J262" i="2"/>
  <c r="H262" i="2" s="1"/>
  <c r="K481" i="2"/>
  <c r="J49" i="2"/>
  <c r="K199" i="2" s="1"/>
  <c r="J87" i="2"/>
  <c r="H87" i="2" s="1"/>
  <c r="I738" i="2"/>
  <c r="K840" i="2"/>
  <c r="J848" i="2"/>
  <c r="I849" i="2"/>
  <c r="K858" i="2"/>
  <c r="I766" i="2"/>
  <c r="I613" i="2"/>
  <c r="K483" i="2"/>
  <c r="J587" i="2"/>
  <c r="H587" i="2" s="1"/>
  <c r="I458" i="2"/>
  <c r="K454" i="2"/>
  <c r="J264" i="2"/>
  <c r="H264" i="2" s="1"/>
  <c r="K383" i="2"/>
  <c r="K328" i="2"/>
  <c r="J467" i="2"/>
  <c r="H467" i="2" s="1"/>
  <c r="K443" i="2"/>
  <c r="J396" i="2"/>
  <c r="K407" i="2" s="1"/>
  <c r="I371" i="2"/>
  <c r="J487" i="2"/>
  <c r="K491" i="2" s="1"/>
  <c r="K157" i="2"/>
  <c r="I284" i="2"/>
  <c r="I457" i="2"/>
  <c r="K97" i="2"/>
  <c r="J77" i="2"/>
  <c r="H77" i="2" s="1"/>
  <c r="K120" i="2"/>
  <c r="I435" i="2"/>
  <c r="J822" i="2"/>
  <c r="H822" i="2" s="1"/>
  <c r="I718" i="2"/>
  <c r="I396" i="2"/>
  <c r="J457" i="2"/>
  <c r="H457" i="2" s="1"/>
  <c r="I383" i="2"/>
  <c r="J849" i="2"/>
  <c r="H849" i="2" s="1"/>
  <c r="J454" i="2"/>
  <c r="H454" i="2" s="1"/>
  <c r="I848" i="2"/>
  <c r="I747" i="2"/>
  <c r="I689" i="2"/>
  <c r="K595" i="2"/>
  <c r="I305" i="2"/>
  <c r="I574" i="2"/>
  <c r="K435" i="2"/>
  <c r="I271" i="2"/>
  <c r="I774" i="2"/>
  <c r="I683" i="2"/>
  <c r="I465" i="2"/>
  <c r="I579" i="2"/>
  <c r="J355" i="2"/>
  <c r="H355" i="2" s="1"/>
  <c r="J259" i="2"/>
  <c r="H259" i="2" s="1"/>
  <c r="I400" i="2"/>
  <c r="I363" i="2"/>
  <c r="J449" i="2"/>
  <c r="K462" i="2"/>
  <c r="J258" i="2"/>
  <c r="H258" i="2" s="1"/>
  <c r="I441" i="2"/>
  <c r="I77" i="2"/>
  <c r="J163" i="2"/>
  <c r="H163" i="2" s="1"/>
  <c r="I344" i="2"/>
  <c r="J339" i="2"/>
  <c r="J238" i="2"/>
  <c r="H238" i="2" s="1"/>
  <c r="J774" i="2"/>
  <c r="H774" i="2" s="1"/>
  <c r="J779" i="2"/>
  <c r="H779" i="2" s="1"/>
  <c r="J794" i="2"/>
  <c r="H794" i="2" s="1"/>
  <c r="K743" i="2"/>
  <c r="K556" i="2"/>
  <c r="K547" i="2"/>
  <c r="I502" i="2"/>
  <c r="J427" i="2"/>
  <c r="H427" i="2" s="1"/>
  <c r="J271" i="2"/>
  <c r="H271" i="2" s="1"/>
  <c r="J381" i="2"/>
  <c r="H381" i="2" s="1"/>
  <c r="J375" i="2"/>
  <c r="H375" i="2" s="1"/>
  <c r="I218" i="2"/>
  <c r="J130" i="2"/>
  <c r="K59" i="2"/>
  <c r="I36" i="2"/>
  <c r="I417" i="2"/>
  <c r="K882" i="2"/>
  <c r="I859" i="2"/>
  <c r="K830" i="2"/>
  <c r="I796" i="2"/>
  <c r="I872" i="2"/>
  <c r="K683" i="2"/>
  <c r="K569" i="2"/>
  <c r="J483" i="2"/>
  <c r="H483" i="2" s="1"/>
  <c r="I474" i="2"/>
  <c r="I418" i="2"/>
  <c r="K442" i="2"/>
  <c r="K456" i="2"/>
  <c r="I632" i="2"/>
  <c r="K362" i="2"/>
  <c r="K295" i="2"/>
  <c r="J295" i="2"/>
  <c r="H295" i="2" s="1"/>
  <c r="I557" i="2"/>
  <c r="J443" i="2"/>
  <c r="H443" i="2" s="1"/>
  <c r="K603" i="2"/>
  <c r="J462" i="2"/>
  <c r="I498" i="2"/>
  <c r="K300" i="2"/>
  <c r="I21" i="2"/>
  <c r="I323" i="2"/>
  <c r="I616" i="2"/>
  <c r="I722" i="2"/>
  <c r="K727" i="2"/>
  <c r="K613" i="2"/>
  <c r="I569" i="2"/>
  <c r="K564" i="2"/>
  <c r="I562" i="2"/>
  <c r="J363" i="2"/>
  <c r="H363" i="2" s="1"/>
  <c r="J476" i="2"/>
  <c r="H476" i="2" s="1"/>
  <c r="I357" i="2"/>
  <c r="J557" i="2"/>
  <c r="H557" i="2" s="1"/>
  <c r="I362" i="2"/>
  <c r="J442" i="2"/>
  <c r="H442" i="2" s="1"/>
  <c r="I292" i="2"/>
  <c r="I228" i="2"/>
  <c r="I171" i="2"/>
  <c r="I841" i="2"/>
  <c r="I856" i="2"/>
  <c r="I830" i="2"/>
  <c r="J722" i="2"/>
  <c r="K756" i="2" s="1"/>
  <c r="I694" i="2"/>
  <c r="I456" i="2"/>
  <c r="J458" i="2"/>
  <c r="K559" i="2" s="1"/>
  <c r="J445" i="2"/>
  <c r="H445" i="2" s="1"/>
  <c r="K427" i="2"/>
  <c r="K357" i="2"/>
  <c r="I337" i="2"/>
  <c r="I184" i="2"/>
  <c r="J228" i="2"/>
  <c r="H228" i="2" s="1"/>
  <c r="J220" i="2"/>
  <c r="H220" i="2" s="1"/>
  <c r="K251" i="2"/>
  <c r="K23" i="2"/>
  <c r="K172" i="2"/>
  <c r="I846" i="2"/>
  <c r="I786" i="2"/>
  <c r="I832" i="2"/>
  <c r="K786" i="2"/>
  <c r="I884" i="2"/>
  <c r="I822" i="2"/>
  <c r="J877" i="2"/>
  <c r="H877" i="2" s="1"/>
  <c r="J841" i="2"/>
  <c r="H841" i="2" s="1"/>
  <c r="I804" i="2"/>
  <c r="I776" i="2"/>
  <c r="K761" i="2"/>
  <c r="J744" i="2"/>
  <c r="H744" i="2" s="1"/>
  <c r="I815" i="2"/>
  <c r="J685" i="2"/>
  <c r="H685" i="2" s="1"/>
  <c r="I691" i="2"/>
  <c r="I823" i="2"/>
  <c r="J666" i="2"/>
  <c r="H666" i="2" s="1"/>
  <c r="K580" i="2"/>
  <c r="I649" i="2"/>
  <c r="I588" i="2"/>
  <c r="J597" i="2"/>
  <c r="H597" i="2" s="1"/>
  <c r="J461" i="2"/>
  <c r="H461" i="2" s="1"/>
  <c r="J407" i="2"/>
  <c r="K458" i="2" s="1"/>
  <c r="J493" i="2"/>
  <c r="H493" i="2" s="1"/>
  <c r="K517" i="2"/>
  <c r="K833" i="2"/>
  <c r="J418" i="2"/>
  <c r="H418" i="2" s="1"/>
  <c r="J579" i="2"/>
  <c r="H579" i="2" s="1"/>
  <c r="J328" i="2"/>
  <c r="H328" i="2" s="1"/>
  <c r="I268" i="2"/>
  <c r="K217" i="2"/>
  <c r="J184" i="2"/>
  <c r="H184" i="2" s="1"/>
  <c r="J365" i="2"/>
  <c r="H365" i="2" s="1"/>
  <c r="I128" i="2"/>
  <c r="I200" i="2"/>
  <c r="I23" i="2"/>
  <c r="J812" i="2"/>
  <c r="H812" i="2" s="1"/>
  <c r="J814" i="2"/>
  <c r="H814" i="2" s="1"/>
  <c r="I814" i="2"/>
  <c r="K877" i="2"/>
  <c r="J771" i="2"/>
  <c r="H771" i="2" s="1"/>
  <c r="J797" i="2"/>
  <c r="H797" i="2" s="1"/>
  <c r="I771" i="2"/>
  <c r="K815" i="2"/>
  <c r="I743" i="2"/>
  <c r="I727" i="2"/>
  <c r="J823" i="2"/>
  <c r="I639" i="2"/>
  <c r="J561" i="2"/>
  <c r="H561" i="2" s="1"/>
  <c r="K649" i="2"/>
  <c r="J588" i="2"/>
  <c r="J605" i="2"/>
  <c r="J432" i="2"/>
  <c r="H432" i="2" s="1"/>
  <c r="K485" i="2"/>
  <c r="J624" i="2"/>
  <c r="J517" i="2"/>
  <c r="H517" i="2" s="1"/>
  <c r="K189" i="2"/>
  <c r="I244" i="2"/>
  <c r="J174" i="2"/>
  <c r="K278" i="2"/>
  <c r="J156" i="2"/>
  <c r="K219" i="2" s="1"/>
  <c r="I281" i="2"/>
  <c r="K872" i="2"/>
  <c r="I812" i="2"/>
  <c r="J796" i="2"/>
  <c r="H796" i="2" s="1"/>
  <c r="I312" i="2"/>
  <c r="K639" i="2"/>
  <c r="K561" i="2"/>
  <c r="J485" i="2"/>
  <c r="H485" i="2" s="1"/>
  <c r="K344" i="2"/>
  <c r="J312" i="2"/>
  <c r="H312" i="2" s="1"/>
  <c r="J321" i="2"/>
  <c r="H321" i="2" s="1"/>
  <c r="K171" i="2"/>
  <c r="K244" i="2"/>
  <c r="J236" i="2"/>
  <c r="K245" i="2" s="1"/>
  <c r="I157" i="2"/>
  <c r="I446" i="2"/>
  <c r="K262" i="2"/>
  <c r="J202" i="2"/>
  <c r="H202" i="2" s="1"/>
  <c r="J21" i="2"/>
  <c r="K36" i="2" s="1"/>
  <c r="I163" i="2"/>
  <c r="K406" i="2"/>
  <c r="I406" i="2"/>
  <c r="K526" i="2"/>
  <c r="J528" i="2"/>
  <c r="H528" i="2" s="1"/>
  <c r="J836" i="2"/>
  <c r="H836" i="2" s="1"/>
  <c r="I836" i="2"/>
  <c r="K836" i="2"/>
  <c r="K881" i="2"/>
  <c r="J881" i="2"/>
  <c r="H881" i="2" s="1"/>
  <c r="I881" i="2"/>
  <c r="K741" i="2"/>
  <c r="I741" i="2"/>
  <c r="J741" i="2"/>
  <c r="K770" i="2" s="1"/>
  <c r="K697" i="2"/>
  <c r="J697" i="2"/>
  <c r="I697" i="2"/>
  <c r="K820" i="2"/>
  <c r="K615" i="2"/>
  <c r="J615" i="2"/>
  <c r="K624" i="2" s="1"/>
  <c r="I577" i="2"/>
  <c r="J521" i="2"/>
  <c r="H521" i="2" s="1"/>
  <c r="K655" i="2"/>
  <c r="K597" i="2"/>
  <c r="K671" i="2"/>
  <c r="K605" i="2"/>
  <c r="K538" i="2"/>
  <c r="K502" i="2"/>
  <c r="K587" i="2"/>
  <c r="K352" i="2"/>
  <c r="J352" i="2"/>
  <c r="H352" i="2" s="1"/>
  <c r="K600" i="2"/>
  <c r="K598" i="2"/>
  <c r="K388" i="2"/>
  <c r="J417" i="2"/>
  <c r="H417" i="2" s="1"/>
  <c r="J274" i="2"/>
  <c r="H274" i="2" s="1"/>
  <c r="K274" i="2"/>
  <c r="K339" i="2"/>
  <c r="J256" i="2"/>
  <c r="K313" i="2" s="1"/>
  <c r="K256" i="2"/>
  <c r="J198" i="2"/>
  <c r="H198" i="2" s="1"/>
  <c r="K198" i="2"/>
  <c r="I198" i="2"/>
  <c r="I303" i="2"/>
  <c r="J252" i="2"/>
  <c r="H252" i="2" s="1"/>
  <c r="J371" i="2"/>
  <c r="H371" i="2" s="1"/>
  <c r="I289" i="2"/>
  <c r="I487" i="2"/>
  <c r="J337" i="2"/>
  <c r="H337" i="2" s="1"/>
  <c r="I294" i="2"/>
  <c r="K181" i="2"/>
  <c r="K470" i="2"/>
  <c r="K375" i="2"/>
  <c r="K365" i="2"/>
  <c r="K174" i="2"/>
  <c r="K115" i="2"/>
  <c r="J115" i="2"/>
  <c r="H115" i="2" s="1"/>
  <c r="I300" i="2"/>
  <c r="I181" i="2"/>
  <c r="K258" i="2"/>
  <c r="K220" i="2"/>
  <c r="K202" i="2"/>
  <c r="I156" i="2"/>
  <c r="I27" i="2"/>
  <c r="J27" i="2"/>
  <c r="H27" i="2" s="1"/>
  <c r="K27" i="2"/>
  <c r="J39" i="2"/>
  <c r="H39" i="2" s="1"/>
  <c r="J12" i="2"/>
  <c r="H12" i="2" s="1"/>
  <c r="K22" i="2"/>
  <c r="K238" i="2"/>
  <c r="K26" i="2"/>
  <c r="K862" i="2"/>
  <c r="I862" i="2"/>
  <c r="I388" i="2"/>
  <c r="K880" i="2"/>
  <c r="J880" i="2"/>
  <c r="H880" i="2" s="1"/>
  <c r="I880" i="2"/>
  <c r="I874" i="2"/>
  <c r="I642" i="2"/>
  <c r="J488" i="2"/>
  <c r="H488" i="2" s="1"/>
  <c r="I488" i="2"/>
  <c r="K428" i="2"/>
  <c r="I428" i="2"/>
  <c r="I329" i="2"/>
  <c r="I182" i="2"/>
  <c r="J874" i="2"/>
  <c r="H874" i="2" s="1"/>
  <c r="K854" i="2"/>
  <c r="I854" i="2"/>
  <c r="K856" i="2"/>
  <c r="J867" i="2"/>
  <c r="H867" i="2" s="1"/>
  <c r="I733" i="2"/>
  <c r="K733" i="2"/>
  <c r="J733" i="2"/>
  <c r="H733" i="2" s="1"/>
  <c r="J804" i="2"/>
  <c r="H804" i="2" s="1"/>
  <c r="K788" i="2"/>
  <c r="J838" i="2"/>
  <c r="H838" i="2" s="1"/>
  <c r="J754" i="2"/>
  <c r="H754" i="2" s="1"/>
  <c r="I761" i="2"/>
  <c r="J718" i="2"/>
  <c r="H718" i="2" s="1"/>
  <c r="J694" i="2"/>
  <c r="H694" i="2" s="1"/>
  <c r="J730" i="2"/>
  <c r="H730" i="2" s="1"/>
  <c r="I600" i="2"/>
  <c r="K616" i="2"/>
  <c r="K585" i="2"/>
  <c r="J567" i="2"/>
  <c r="H567" i="2" s="1"/>
  <c r="K567" i="2"/>
  <c r="J551" i="2"/>
  <c r="K574" i="2" s="1"/>
  <c r="K551" i="2"/>
  <c r="J503" i="2"/>
  <c r="H503" i="2" s="1"/>
  <c r="K528" i="2"/>
  <c r="J642" i="2"/>
  <c r="H642" i="2" s="1"/>
  <c r="I629" i="2"/>
  <c r="K494" i="2"/>
  <c r="I461" i="2"/>
  <c r="K334" i="2"/>
  <c r="J334" i="2"/>
  <c r="J648" i="2"/>
  <c r="K492" i="2"/>
  <c r="K465" i="2"/>
  <c r="K463" i="2"/>
  <c r="K432" i="2"/>
  <c r="K606" i="2"/>
  <c r="I598" i="2"/>
  <c r="J249" i="2"/>
  <c r="H249" i="2" s="1"/>
  <c r="K249" i="2"/>
  <c r="I349" i="2"/>
  <c r="I331" i="2"/>
  <c r="I315" i="2"/>
  <c r="I249" i="2"/>
  <c r="J433" i="2"/>
  <c r="H433" i="2" s="1"/>
  <c r="J216" i="2"/>
  <c r="H216" i="2" s="1"/>
  <c r="K216" i="2"/>
  <c r="I216" i="2"/>
  <c r="K537" i="2"/>
  <c r="I321" i="2"/>
  <c r="J603" i="2"/>
  <c r="I431" i="2"/>
  <c r="I381" i="2"/>
  <c r="J345" i="2"/>
  <c r="H345" i="2" s="1"/>
  <c r="K320" i="2"/>
  <c r="I302" i="2"/>
  <c r="J128" i="2"/>
  <c r="H128" i="2" s="1"/>
  <c r="K501" i="2"/>
  <c r="J208" i="2"/>
  <c r="J192" i="2"/>
  <c r="I115" i="2"/>
  <c r="I210" i="2"/>
  <c r="I194" i="2"/>
  <c r="J329" i="2"/>
  <c r="H329" i="2" s="1"/>
  <c r="I97" i="2"/>
  <c r="K441" i="2"/>
  <c r="J182" i="2"/>
  <c r="H182" i="2" s="1"/>
  <c r="I142" i="2"/>
  <c r="J6" i="2"/>
  <c r="K21" i="2" s="1"/>
  <c r="K6" i="2"/>
  <c r="I313" i="2"/>
  <c r="K44" i="2"/>
  <c r="K8" i="2"/>
  <c r="I217" i="2"/>
  <c r="J22" i="2"/>
  <c r="H22" i="2" s="1"/>
  <c r="J305" i="2"/>
  <c r="H305" i="2" s="1"/>
  <c r="I59" i="2"/>
  <c r="J107" i="2"/>
  <c r="H107" i="2" s="1"/>
  <c r="K145" i="2"/>
  <c r="I172" i="2"/>
  <c r="I8" i="2"/>
  <c r="J707" i="2"/>
  <c r="I707" i="2"/>
  <c r="K707" i="2"/>
  <c r="K802" i="2"/>
  <c r="J802" i="2"/>
  <c r="H802" i="2" s="1"/>
  <c r="I735" i="2"/>
  <c r="J510" i="2"/>
  <c r="H510" i="2" s="1"/>
  <c r="I526" i="2"/>
  <c r="K289" i="2"/>
  <c r="I501" i="2"/>
  <c r="J828" i="2"/>
  <c r="H828" i="2" s="1"/>
  <c r="I828" i="2"/>
  <c r="K828" i="2"/>
  <c r="J800" i="2"/>
  <c r="H800" i="2" s="1"/>
  <c r="K800" i="2"/>
  <c r="I800" i="2"/>
  <c r="K871" i="2"/>
  <c r="J871" i="2"/>
  <c r="H871" i="2" s="1"/>
  <c r="I871" i="2"/>
  <c r="K846" i="2"/>
  <c r="I802" i="2"/>
  <c r="K867" i="2"/>
  <c r="J820" i="2"/>
  <c r="H820" i="2" s="1"/>
  <c r="J784" i="2"/>
  <c r="I797" i="2"/>
  <c r="K753" i="2"/>
  <c r="K838" i="2"/>
  <c r="I762" i="2"/>
  <c r="K744" i="2"/>
  <c r="I753" i="2"/>
  <c r="J645" i="2"/>
  <c r="H645" i="2" s="1"/>
  <c r="I645" i="2"/>
  <c r="K645" i="2"/>
  <c r="I736" i="2"/>
  <c r="K666" i="2"/>
  <c r="I510" i="2"/>
  <c r="I621" i="2"/>
  <c r="K629" i="2"/>
  <c r="I519" i="2"/>
  <c r="J492" i="2"/>
  <c r="H492" i="2" s="1"/>
  <c r="J463" i="2"/>
  <c r="H463" i="2" s="1"/>
  <c r="K590" i="2"/>
  <c r="I393" i="2"/>
  <c r="K393" i="2"/>
  <c r="K326" i="2"/>
  <c r="J326" i="2"/>
  <c r="H326" i="2" s="1"/>
  <c r="K380" i="2"/>
  <c r="I389" i="2"/>
  <c r="I336" i="2"/>
  <c r="J349" i="2"/>
  <c r="H349" i="2" s="1"/>
  <c r="J331" i="2"/>
  <c r="H331" i="2" s="1"/>
  <c r="J315" i="2"/>
  <c r="H315" i="2" s="1"/>
  <c r="I521" i="2"/>
  <c r="K433" i="2"/>
  <c r="I354" i="2"/>
  <c r="J537" i="2"/>
  <c r="H537" i="2" s="1"/>
  <c r="J210" i="2"/>
  <c r="H210" i="2" s="1"/>
  <c r="J194" i="2"/>
  <c r="H194" i="2" s="1"/>
  <c r="J135" i="2"/>
  <c r="K135" i="2"/>
  <c r="I166" i="2"/>
  <c r="J69" i="2"/>
  <c r="H69" i="2" s="1"/>
  <c r="I39" i="2"/>
  <c r="K60" i="2"/>
  <c r="I44" i="2"/>
  <c r="J125" i="2"/>
  <c r="H125" i="2" s="1"/>
  <c r="I423" i="2"/>
  <c r="I207" i="2"/>
  <c r="J224" i="2"/>
  <c r="I224" i="2"/>
  <c r="K224" i="2"/>
  <c r="J855" i="2"/>
  <c r="H855" i="2" s="1"/>
  <c r="I855" i="2"/>
  <c r="J862" i="2"/>
  <c r="K866" i="2" s="1"/>
  <c r="I754" i="2"/>
  <c r="K342" i="2"/>
  <c r="J342" i="2"/>
  <c r="H342" i="2" s="1"/>
  <c r="I252" i="2"/>
  <c r="I345" i="2"/>
  <c r="I208" i="2"/>
  <c r="I866" i="2"/>
  <c r="I788" i="2"/>
  <c r="K759" i="2"/>
  <c r="I759" i="2"/>
  <c r="J759" i="2"/>
  <c r="H759" i="2" s="1"/>
  <c r="I725" i="2"/>
  <c r="K725" i="2"/>
  <c r="J725" i="2"/>
  <c r="H725" i="2" s="1"/>
  <c r="I882" i="2"/>
  <c r="J762" i="2"/>
  <c r="H762" i="2" s="1"/>
  <c r="J709" i="2"/>
  <c r="H709" i="2" s="1"/>
  <c r="K709" i="2"/>
  <c r="J736" i="2"/>
  <c r="H736" i="2" s="1"/>
  <c r="I582" i="2"/>
  <c r="J577" i="2"/>
  <c r="H577" i="2" s="1"/>
  <c r="J554" i="2"/>
  <c r="H554" i="2" s="1"/>
  <c r="K554" i="2"/>
  <c r="I615" i="2"/>
  <c r="J559" i="2"/>
  <c r="K519" i="2"/>
  <c r="K386" i="2"/>
  <c r="J386" i="2"/>
  <c r="H386" i="2" s="1"/>
  <c r="K318" i="2"/>
  <c r="J318" i="2"/>
  <c r="H318" i="2" s="1"/>
  <c r="K399" i="2"/>
  <c r="I407" i="2"/>
  <c r="J406" i="2"/>
  <c r="H406" i="2" s="1"/>
  <c r="K451" i="2"/>
  <c r="J389" i="2"/>
  <c r="H389" i="2" s="1"/>
  <c r="K276" i="2"/>
  <c r="J234" i="2"/>
  <c r="H234" i="2" s="1"/>
  <c r="K234" i="2"/>
  <c r="I234" i="2"/>
  <c r="I370" i="2"/>
  <c r="J126" i="2"/>
  <c r="H126" i="2" s="1"/>
  <c r="I110" i="2"/>
  <c r="J110" i="2"/>
  <c r="H110" i="2" s="1"/>
  <c r="J251" i="2"/>
  <c r="H251" i="2" s="1"/>
  <c r="J166" i="2"/>
  <c r="H166" i="2" s="1"/>
  <c r="J29" i="2"/>
  <c r="H29" i="2" s="1"/>
  <c r="K9" i="2"/>
  <c r="I9" i="2"/>
  <c r="J9" i="2"/>
  <c r="H9" i="2" s="1"/>
  <c r="J3" i="2"/>
  <c r="H3" i="2" s="1"/>
  <c r="K3" i="2"/>
  <c r="I248" i="2"/>
  <c r="K423" i="2"/>
  <c r="K360" i="2"/>
  <c r="J360" i="2"/>
  <c r="H360" i="2" s="1"/>
  <c r="J553" i="2"/>
  <c r="H553" i="2" s="1"/>
  <c r="I553" i="2"/>
  <c r="I648" i="2"/>
  <c r="K870" i="2"/>
  <c r="J870" i="2"/>
  <c r="H870" i="2" s="1"/>
  <c r="I870" i="2"/>
  <c r="K792" i="2"/>
  <c r="I792" i="2"/>
  <c r="J663" i="2"/>
  <c r="H663" i="2" s="1"/>
  <c r="I663" i="2"/>
  <c r="K663" i="2"/>
  <c r="I565" i="2"/>
  <c r="K565" i="2"/>
  <c r="I549" i="2"/>
  <c r="K549" i="2"/>
  <c r="K582" i="2"/>
  <c r="K562" i="2"/>
  <c r="I493" i="2"/>
  <c r="K378" i="2"/>
  <c r="J378" i="2"/>
  <c r="H378" i="2" s="1"/>
  <c r="K308" i="2"/>
  <c r="J308" i="2"/>
  <c r="H308" i="2" s="1"/>
  <c r="I503" i="2"/>
  <c r="I833" i="2"/>
  <c r="I606" i="2"/>
  <c r="K400" i="2"/>
  <c r="I378" i="2"/>
  <c r="K354" i="2"/>
  <c r="K336" i="2"/>
  <c r="I318" i="2"/>
  <c r="I451" i="2"/>
  <c r="J206" i="2"/>
  <c r="K206" i="2"/>
  <c r="I206" i="2"/>
  <c r="J294" i="2"/>
  <c r="H294" i="2" s="1"/>
  <c r="K207" i="2"/>
  <c r="I107" i="2"/>
  <c r="K422" i="2"/>
  <c r="I199" i="2"/>
  <c r="I60" i="2"/>
  <c r="I6" i="2"/>
  <c r="K126" i="2"/>
  <c r="J248" i="2"/>
  <c r="H248" i="2" s="1"/>
  <c r="K430" i="2"/>
  <c r="J430" i="2"/>
  <c r="H430" i="2" s="1"/>
  <c r="J810" i="2"/>
  <c r="K810" i="2"/>
  <c r="I810" i="2"/>
  <c r="K864" i="2"/>
  <c r="I864" i="2"/>
  <c r="K681" i="2"/>
  <c r="I681" i="2"/>
  <c r="I192" i="2"/>
  <c r="J845" i="2"/>
  <c r="H845" i="2" s="1"/>
  <c r="I845" i="2"/>
  <c r="I844" i="2"/>
  <c r="K844" i="2"/>
  <c r="J818" i="2"/>
  <c r="H818" i="2" s="1"/>
  <c r="I818" i="2"/>
  <c r="K818" i="2"/>
  <c r="K863" i="2"/>
  <c r="J863" i="2"/>
  <c r="H863" i="2" s="1"/>
  <c r="I863" i="2"/>
  <c r="K837" i="2"/>
  <c r="J837" i="2"/>
  <c r="H837" i="2" s="1"/>
  <c r="I837" i="2"/>
  <c r="J792" i="2"/>
  <c r="H792" i="2" s="1"/>
  <c r="K751" i="2"/>
  <c r="I751" i="2"/>
  <c r="J751" i="2"/>
  <c r="K823" i="2" s="1"/>
  <c r="I715" i="2"/>
  <c r="J715" i="2"/>
  <c r="K735" i="2"/>
  <c r="I709" i="2"/>
  <c r="J689" i="2"/>
  <c r="H689" i="2" s="1"/>
  <c r="I564" i="2"/>
  <c r="I556" i="2"/>
  <c r="J539" i="2"/>
  <c r="H539" i="2" s="1"/>
  <c r="K488" i="2"/>
  <c r="I554" i="2"/>
  <c r="J499" i="2"/>
  <c r="H499" i="2" s="1"/>
  <c r="I499" i="2"/>
  <c r="K541" i="2"/>
  <c r="J541" i="2"/>
  <c r="H541" i="2" s="1"/>
  <c r="K474" i="2"/>
  <c r="K411" i="2"/>
  <c r="J411" i="2"/>
  <c r="H411" i="2" s="1"/>
  <c r="K368" i="2"/>
  <c r="J368" i="2"/>
  <c r="H368" i="2" s="1"/>
  <c r="I422" i="2"/>
  <c r="I539" i="2"/>
  <c r="I430" i="2"/>
  <c r="K370" i="2"/>
  <c r="I380" i="2"/>
  <c r="I355" i="2"/>
  <c r="I276" i="2"/>
  <c r="K261" i="2"/>
  <c r="I259" i="2"/>
  <c r="K449" i="2"/>
  <c r="I399" i="2"/>
  <c r="J145" i="2"/>
  <c r="H145" i="2" s="1"/>
  <c r="J218" i="2"/>
  <c r="H218" i="2" s="1"/>
  <c r="J200" i="2"/>
  <c r="H200" i="2" s="1"/>
  <c r="J105" i="2"/>
  <c r="K114" i="2" s="1"/>
  <c r="I105" i="2"/>
  <c r="K105" i="2"/>
  <c r="J155" i="2"/>
  <c r="H155" i="2" s="1"/>
  <c r="K155" i="2"/>
  <c r="I29" i="2"/>
  <c r="K12" i="2"/>
  <c r="I286" i="2"/>
  <c r="K478" i="2" l="1"/>
  <c r="H648" i="2"/>
  <c r="K440" i="2"/>
  <c r="K359" i="2"/>
  <c r="K500" i="2"/>
  <c r="H38" i="2"/>
  <c r="H722" i="2"/>
  <c r="K659" i="2"/>
  <c r="H624" i="2"/>
  <c r="K715" i="2"/>
  <c r="K350" i="2"/>
  <c r="K288" i="2"/>
  <c r="G288" i="2" s="1"/>
  <c r="H208" i="2"/>
  <c r="K208" i="2"/>
  <c r="H206" i="2"/>
  <c r="H174" i="2"/>
  <c r="H144" i="2"/>
  <c r="H49" i="2"/>
  <c r="K203" i="2"/>
  <c r="H848" i="2"/>
  <c r="H832" i="2"/>
  <c r="H810" i="2"/>
  <c r="G810" i="2"/>
  <c r="H823" i="2"/>
  <c r="H784" i="2"/>
  <c r="G784" i="2"/>
  <c r="H770" i="2"/>
  <c r="H751" i="2"/>
  <c r="H715" i="2"/>
  <c r="K738" i="2"/>
  <c r="H741" i="2"/>
  <c r="H707" i="2"/>
  <c r="H698" i="2"/>
  <c r="H697" i="2"/>
  <c r="H677" i="2"/>
  <c r="H612" i="2"/>
  <c r="H603" i="2"/>
  <c r="H605" i="2"/>
  <c r="H588" i="2"/>
  <c r="G565" i="2"/>
  <c r="H559" i="2"/>
  <c r="H524" i="2"/>
  <c r="H487" i="2"/>
  <c r="H470" i="2"/>
  <c r="H458" i="2"/>
  <c r="H449" i="2"/>
  <c r="H405" i="2"/>
  <c r="H396" i="2"/>
  <c r="H339" i="2"/>
  <c r="H334" i="2"/>
  <c r="K302" i="2"/>
  <c r="H319" i="2"/>
  <c r="H256" i="2"/>
  <c r="H297" i="2"/>
  <c r="K298" i="2"/>
  <c r="H224" i="2"/>
  <c r="H156" i="2"/>
  <c r="K144" i="2"/>
  <c r="H135" i="2"/>
  <c r="H130" i="2"/>
  <c r="H105" i="2"/>
  <c r="H6" i="2"/>
  <c r="G6" i="2"/>
  <c r="H18" i="2"/>
</calcChain>
</file>

<file path=xl/sharedStrings.xml><?xml version="1.0" encoding="utf-8"?>
<sst xmlns="http://schemas.openxmlformats.org/spreadsheetml/2006/main" count="2140" uniqueCount="719">
  <si>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</si>
  <si>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</si>
  <si>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</si>
  <si>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</si>
  <si>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</si>
  <si>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</si>
  <si>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</si>
  <si>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</si>
  <si>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</si>
  <si>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</si>
  <si>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</si>
  <si>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</si>
  <si>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Flucht</t>
  </si>
  <si>
    <t>Flucht : &amp;quot; Jede geflüchtete Frau hat Erfahrungen mit sexueller Gewalt &amp;quot;</t>
  </si>
  <si>
    <t>file://conllu/de/augsburger-allgemeine.de.44740.conllu#s1_0</t>
  </si>
  <si>
    <t>2</t>
  </si>
  <si>
    <t>3</t>
  </si>
  <si>
    <t>gehören</t>
  </si>
  <si>
    <t>Sexuelle Gewalt gehört für Frauen , die alleine fliehen , fast schon zum zu dem Alltag .</t>
  </si>
  <si>
    <t>file://conllu/de/augsburger-allgemeine.de.44740.conllu#s2_0</t>
  </si>
  <si>
    <t>7</t>
  </si>
  <si>
    <t>sein (sein traumatisieren)</t>
  </si>
  <si>
    <t>Wenn sie in Deutschland ankommen , sind sie oft traumatisiert .</t>
  </si>
  <si>
    <t>file://conllu/de/augsburger-allgemeine.de.44740.conllu#s3_0</t>
  </si>
  <si>
    <t>4</t>
  </si>
  <si>
    <t>bieten</t>
  </si>
  <si>
    <t>Ein Haus bietet Zuflucht .</t>
  </si>
  <si>
    <t>file://conllu/de/augsburger-allgemeine.de.44740.conllu#s4_0</t>
  </si>
  <si>
    <t>5</t>
  </si>
  <si>
    <t>sitzen</t>
  </si>
  <si>
    <t>In einer großen Küche sitzen vier Frauen .</t>
  </si>
  <si>
    <t>file://conllu/de/augsburger-allgemeine.de.44740.conllu#s5_0</t>
  </si>
  <si>
    <t>6</t>
  </si>
  <si>
    <t>haben</t>
  </si>
  <si>
    <t>Jede hat ein Baby dabei , das höchstens ein Jahr alt ist .</t>
  </si>
  <si>
    <t>file://conllu/de/augsburger-allgemeine.de.44740.conllu#s6_0</t>
  </si>
  <si>
    <t>9</t>
  </si>
  <si>
    <t>legen</t>
  </si>
  <si>
    <t>Eine hat ihren kleinen Sohn in den Arm gelegt .</t>
  </si>
  <si>
    <t>file://conllu/de/augsburger-allgemeine.de.44740.conllu#s7_0</t>
  </si>
  <si>
    <t>8</t>
  </si>
  <si>
    <t>gucken</t>
  </si>
  <si>
    <t>Er guckt mit großen Augen neugierig in den Raum .</t>
  </si>
  <si>
    <t>file://conllu/de/augsburger-allgemeine.de.44740.conllu#s8_0</t>
  </si>
  <si>
    <t>starrt</t>
  </si>
  <si>
    <t>Seine Mutter starrt auf die Tischplatte .</t>
  </si>
  <si>
    <t>file://conllu/de/augsburger-allgemeine.de.44740.conllu#s9_0</t>
  </si>
  <si>
    <t>10</t>
  </si>
  <si>
    <t>merken</t>
  </si>
  <si>
    <t>Bis sie merkt , dass sie beobachtet wird .</t>
  </si>
  <si>
    <t>file://conllu/de/augsburger-allgemeine.de.44740.conllu#s10_0</t>
  </si>
  <si>
    <t>11</t>
  </si>
  <si>
    <t>lächeln</t>
  </si>
  <si>
    <t>Sie lächelt kurz und küsst den Kleinen .</t>
  </si>
  <si>
    <t>file://conllu/de/augsburger-allgemeine.de.44740.conllu#s11_0</t>
  </si>
  <si>
    <t>12</t>
  </si>
  <si>
    <t>wirken</t>
  </si>
  <si>
    <t>Die Szene wirkt normal .</t>
  </si>
  <si>
    <t>file://conllu/de/augsburger-allgemeine.de.44740.conllu#s12_0</t>
  </si>
  <si>
    <t>13</t>
  </si>
  <si>
    <t>sprechen</t>
  </si>
  <si>
    <t>Bis man mit Katrin Bahr spricht .</t>
  </si>
  <si>
    <t>file://conllu/de/augsburger-allgemeine.de.44740.conllu#s13_0</t>
  </si>
  <si>
    <t>14</t>
  </si>
  <si>
    <t>sein (sein Geschäftsführerin)</t>
  </si>
  <si>
    <t>Sie ist Bereichs Geschäftsführerin von Condrobs , einem Träger für soziale Hilfsangebote in Bayern , und beschäftigt sich unter anderem mit dem Thema Frauen auf der Flucht .</t>
  </si>
  <si>
    <t>file://conllu/de/augsburger-allgemeine.de.44740.conllu#s14_0</t>
  </si>
  <si>
    <t>15</t>
  </si>
  <si>
    <t>sein (sein Geflüchtete)</t>
  </si>
  <si>
    <t>Die vier Frauen in der Küche sind Geflüchtete .</t>
  </si>
  <si>
    <t>file://conllu/de/augsburger-allgemeine.de.44740.conllu#s15_0</t>
  </si>
  <si>
    <t>16</t>
  </si>
  <si>
    <t>leben</t>
  </si>
  <si>
    <t>Sie leben im in dem Münchner Norden in einer der wenigen dezentralen Unterkünfte für alleingeflüchtete Frauen und ihre Kinder in Bayern .</t>
  </si>
  <si>
    <t>file://conllu/de/augsburger-allgemeine.de.44740.conllu#s16_0</t>
  </si>
  <si>
    <t>18</t>
  </si>
  <si>
    <t>eröffnen</t>
  </si>
  <si>
    <t>Unlängst wurde sie offiziell eröffnet .</t>
  </si>
  <si>
    <t>file://conllu/de/augsburger-allgemeine.de.44740.conllu#s18_0</t>
  </si>
  <si>
    <t>19</t>
  </si>
  <si>
    <t>60 Personen leben dort etwa 40 Frauen und 20 Kinder .</t>
  </si>
  <si>
    <t>file://conllu/de/augsburger-allgemeine.de.44740.conllu#s19_0</t>
  </si>
  <si>
    <t>20</t>
  </si>
  <si>
    <t>geben</t>
  </si>
  <si>
    <t>Männer gibt es keine auch nicht als Besucher .</t>
  </si>
  <si>
    <t>file://conllu/de/augsburger-allgemeine.de.44740.conllu#s20_0</t>
  </si>
  <si>
    <t>21</t>
  </si>
  <si>
    <t>sein (sein Wachmann)</t>
  </si>
  <si>
    <t>Die Ausnahme ist ein Wachmann vor der Tür .</t>
  </si>
  <si>
    <t>file://conllu/de/augsburger-allgemeine.de.44740.conllu#s21_0</t>
  </si>
  <si>
    <t>22</t>
  </si>
  <si>
    <t>27</t>
  </si>
  <si>
    <t>sagen</t>
  </si>
  <si>
    <t>&amp;quot; Es ist nicht übertrieben zu sagen : Jede Frau , die hier ankommt , hat auf ihrer Flucht Erfahrungen mit sexueller Gewalt gemacht &amp;quot; , sagt Bahr .</t>
  </si>
  <si>
    <t>file://conllu/de/augsburger-allgemeine.de.44740.conllu#s22_0</t>
  </si>
  <si>
    <t>23</t>
  </si>
  <si>
    <t>32</t>
  </si>
  <si>
    <t>erzählen</t>
  </si>
  <si>
    <t>&amp;quot; Männer fliehen wegen Kriegen , weil sie politisch verfolgt werden , weil ihnen Folter oder der Tod drohen oder weil ihre Familien sie als Hoffnungsträger nach Europa schicken &amp;quot; , erzählt sie .</t>
  </si>
  <si>
    <t>file://conllu/de/augsburger-allgemeine.de.44740.conllu#s23_0</t>
  </si>
  <si>
    <t>24</t>
  </si>
  <si>
    <t>stehlen</t>
  </si>
  <si>
    <t>Bei Frauen überwiegen andere Gründe für die Flucht : &amp;quot; Viele stehlen sich heimlich davon , weil sie keinen anderen Ausweg sehen &amp;quot; .</t>
  </si>
  <si>
    <t>file://conllu/de/augsburger-allgemeine.de.44740.conllu#s24_0</t>
  </si>
  <si>
    <t>25</t>
  </si>
  <si>
    <t>machen</t>
  </si>
  <si>
    <t>In ihrer Heimat haben sie Erfahrung mit sexueller Gewalt , Zwangsehen , Ehrenmorden , Sklaverei oder Zwangsprostitution gemacht .</t>
  </si>
  <si>
    <t>file://conllu/de/augsburger-allgemeine.de.44740.conllu#s25_0</t>
  </si>
  <si>
    <t>26</t>
  </si>
  <si>
    <t>treiben</t>
  </si>
  <si>
    <t>Das treibt sie fort .</t>
  </si>
  <si>
    <t>file://conllu/de/augsburger-allgemeine.de.44740.conllu#s26_0</t>
  </si>
  <si>
    <t>gehen</t>
  </si>
  <si>
    <t>Auf der Flucht geht das weiter .</t>
  </si>
  <si>
    <t>file://conllu/de/augsburger-allgemeine.de.44740.conllu#s27_0</t>
  </si>
  <si>
    <t>28</t>
  </si>
  <si>
    <t>&amp;quot; Dass Schlepper zum zu dem Beispiel für eine Flasche Wasser eine sexuelle Handlung fordern , ist keine Seltenheit &amp;quot; , sagt Bahr .</t>
  </si>
  <si>
    <t>file://conllu/de/augsburger-allgemeine.de.44740.conllu#s28_0</t>
  </si>
  <si>
    <t>29</t>
  </si>
  <si>
    <t>sein (sein alleine)</t>
  </si>
  <si>
    <t>Und die Frauen sind alleine , sie werden nicht von ihren Familien geschützt .</t>
  </si>
  <si>
    <t>file://conllu/de/augsburger-allgemeine.de.44740.conllu#s29_0</t>
  </si>
  <si>
    <t>30</t>
  </si>
  <si>
    <t>erzählen (erzählen glauben)</t>
  </si>
  <si>
    <t>Wer glaube , dass das ende , sobald sie in Deutschland ankämen , irre , erzählt Bahr .</t>
  </si>
  <si>
    <t>file://conllu/de/augsburger-allgemeine.de.44740.conllu#s30_0</t>
  </si>
  <si>
    <t>31</t>
  </si>
  <si>
    <t>alleinstehend</t>
  </si>
  <si>
    <t>Auch hier würden alleinstehende Frauen in Flüchtlingsunterkünften oft als minderwertig betrachtet und schlimmstenfalls missbraucht .</t>
  </si>
  <si>
    <t>file://conllu/de/augsburger-allgemeine.de.44740.conllu#s31_0</t>
  </si>
  <si>
    <t>führen</t>
  </si>
  <si>
    <t>Das führt dazu , dass etwa 90 Prozent der Frauen , die in der Unterkunft im in dem Münchner Norden wohnen , traumatisiert sind , schätzt sie .</t>
  </si>
  <si>
    <t>file://conllu/de/augsburger-allgemeine.de.44740.conllu#s32_0</t>
  </si>
  <si>
    <t>33</t>
  </si>
  <si>
    <t>entstehen</t>
  </si>
  <si>
    <t>&amp;quot; Einige der Kinder sind sicher nicht freiwillig entstanden &amp;quot; .</t>
  </si>
  <si>
    <t>file://conllu/de/augsburger-allgemeine.de.44740.conllu#s33_0</t>
  </si>
  <si>
    <t>34</t>
  </si>
  <si>
    <t>sein (sein wohnen)</t>
  </si>
  <si>
    <t>Viele Frauen seien es so gewohnt , dass sie nichts sagen .</t>
  </si>
  <si>
    <t>file://conllu/de/augsburger-allgemeine.de.44740.conllu#s34_0</t>
  </si>
  <si>
    <t>35</t>
  </si>
  <si>
    <t>trauen</t>
  </si>
  <si>
    <t>&amp;quot; Oder sie trauen sich nicht , offen über das Erlebte zu sprechen , weil die Scham zu groß ist &amp;quot; .</t>
  </si>
  <si>
    <t>file://conllu/de/augsburger-allgemeine.de.44740.conllu#s35_0</t>
  </si>
  <si>
    <t>36</t>
  </si>
  <si>
    <t>brauchen</t>
  </si>
  <si>
    <t>Da sie sich oft nicht zu helfen wüssten , brauche es mehr Unterkünfte nur für sie , fordert Bahr .</t>
  </si>
  <si>
    <t>file://conllu/de/augsburger-allgemeine.de.44740.conllu#s36_0</t>
  </si>
  <si>
    <t>37</t>
  </si>
  <si>
    <t>sein (sein zuständig)</t>
  </si>
  <si>
    <t>In Bayern sind die sieben Bezirksregierungen für die Unterbringung von Flüchtlingen zuständig .</t>
  </si>
  <si>
    <t>file://conllu/de/augsburger-allgemeine.de.44740.conllu#s37_0</t>
  </si>
  <si>
    <t>38</t>
  </si>
  <si>
    <t>Frage</t>
  </si>
  <si>
    <t>Auf die Frage , ob sie von einem ähnlichen Projekt wie in München in ihrem Zuständigkeitsbereich wüssten , antworten einige mit Nein .</t>
  </si>
  <si>
    <t>file://conllu/de/augsburger-allgemeine.de.44740.conllu#s38_0</t>
  </si>
  <si>
    <t>39</t>
  </si>
  <si>
    <t>In der Oberpfalz und Oberfranken etwa gibt es so etwas in Unterkünften der Regierungen nicht .</t>
  </si>
  <si>
    <t>file://conllu/de/augsburger-allgemeine.de.44740.conllu#s39_0</t>
  </si>
  <si>
    <t>40</t>
  </si>
  <si>
    <t>Auch in Schwaben werden allein geflüchtete Frauen nicht getrennt untergebracht , sagt Karl Heinz Meyer , Pressesprecher der Regierung .</t>
  </si>
  <si>
    <t>file://conllu/de/augsburger-allgemeine.de.44740.conllu#s40_0</t>
  </si>
  <si>
    <t>41</t>
  </si>
  <si>
    <t>In Oberbayern , Unter und Mittelfranken gibt es in manchen Gemeinschaftsunterkünften Stockwerke oder eigene Häuser nur für alleinstehende Frauen und deren Kinder .</t>
  </si>
  <si>
    <t>file://conllu/de/augsburger-allgemeine.de.44740.conllu#s41_0</t>
  </si>
  <si>
    <t>42</t>
  </si>
  <si>
    <t>sein (sein Niederbayern)</t>
  </si>
  <si>
    <t>Die Ausnahme ist Niederbayern , dort gibt es zwei zentrale Unterkünfte ausschließlich für Frauen .</t>
  </si>
  <si>
    <t>file://conllu/de/augsburger-allgemeine.de.44740.conllu#s42_0</t>
  </si>
  <si>
    <t>43</t>
  </si>
  <si>
    <t>fordern</t>
  </si>
  <si>
    <t>Auch der Ausschuss &amp;quot; Rechte der Frau und Gleichstellung der Geschlechter &amp;quot; im in dem Europaparlament fordert , dass Frauen getrennt von Männern untergebracht werden müssen .</t>
  </si>
  <si>
    <t>file://conllu/de/augsburger-allgemeine.de.44740.conllu#s43_0</t>
  </si>
  <si>
    <t>44</t>
  </si>
  <si>
    <t>heißen</t>
  </si>
  <si>
    <t>In einer Studie , die für den Ausschuss veröffentlicht wurde , heißt es : &amp;quot; Es ist sehr wichtig , dass Männer und Frauen getrennt beherbergt werden . &amp;quot;</t>
  </si>
  <si>
    <t>file://conllu/de/augsburger-allgemeine.de.44740.conllu#s44_0</t>
  </si>
  <si>
    <t>45</t>
  </si>
  <si>
    <t>kommen</t>
  </si>
  <si>
    <t>&amp;quot; Fehlt die Privatsphäre oder werden Männer und Frauen zusammen untergebracht , kann es zu fortwährender Gewalt gegen Frauen kommen &amp;quot; .</t>
  </si>
  <si>
    <t>file://conllu/de/augsburger-allgemeine.de.44740.conllu#s45_0</t>
  </si>
  <si>
    <t>46</t>
  </si>
  <si>
    <t>stehen</t>
  </si>
  <si>
    <t>Vor allem die Waschräume sollten getrennt und für Frauen leicht zugänglich sein , steht in der Studie .</t>
  </si>
  <si>
    <t>file://conllu/de/augsburger-allgemeine.de.44740.conllu#s46_0</t>
  </si>
  <si>
    <t>47</t>
  </si>
  <si>
    <t>verspüren</t>
  </si>
  <si>
    <t>Wie sehr die Frauen dieses Schutzbedürfnis verspüren , kann man am an dem Andrang ablesen , den es auf das Haus in München gibt .</t>
  </si>
  <si>
    <t>file://conllu/de/augsburger-allgemeine.de.44740.conllu#s47_0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</si>
  <si>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</si>
  <si>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</si>
  <si>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</si>
  <si>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</si>
  <si>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</si>
  <si>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</si>
  <si>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</si>
  <si>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</si>
  <si>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</si>
  <si>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</si>
  <si>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</si>
  <si>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Flucht: "Jede geflüchtete Frau hat Erfahrungen mit sexueller Gewalt"</t>
  </si>
  <si>
    <t>other</t>
  </si>
  <si>
    <t>indef-np.bare</t>
  </si>
  <si>
    <t>:</t>
  </si>
  <si>
    <t>&amp;quot;</t>
  </si>
  <si>
    <t>Jede</t>
  </si>
  <si>
    <t>other_3</t>
  </si>
  <si>
    <t>pron.pind</t>
  </si>
  <si>
    <t>geflüchtete</t>
  </si>
  <si>
    <t>Frau</t>
  </si>
  <si>
    <t>SBJ_2</t>
  </si>
  <si>
    <t>hat</t>
  </si>
  <si>
    <t>Erfahrungen</t>
  </si>
  <si>
    <t>OBJ_2</t>
  </si>
  <si>
    <t>mit</t>
  </si>
  <si>
    <t>sexueller</t>
  </si>
  <si>
    <t>Gewalt</t>
  </si>
  <si>
    <t># text = Sexuelle Gewalt gehört für Frauen, die alleine fliehen, fast schon zum Alltag.</t>
  </si>
  <si>
    <t>Sexuelle</t>
  </si>
  <si>
    <t>SBJ</t>
  </si>
  <si>
    <t>gehört</t>
  </si>
  <si>
    <t>für</t>
  </si>
  <si>
    <t>Frauen</t>
  </si>
  <si>
    <t>,</t>
  </si>
  <si>
    <t>die</t>
  </si>
  <si>
    <t>SBJ_3</t>
  </si>
  <si>
    <t>alleine</t>
  </si>
  <si>
    <t>fliehen</t>
  </si>
  <si>
    <t>fast</t>
  </si>
  <si>
    <t>schon</t>
  </si>
  <si>
    <t>zu</t>
  </si>
  <si>
    <t>other_2</t>
  </si>
  <si>
    <t>dem</t>
  </si>
  <si>
    <t>Alltag</t>
  </si>
  <si>
    <t>def-np.the</t>
  </si>
  <si>
    <t>?OLD</t>
  </si>
  <si>
    <t>.</t>
  </si>
  <si>
    <t># text = Wenn sie in Deutschland ankommen, sind sie oft traumatisiert.</t>
  </si>
  <si>
    <t>Wenn</t>
  </si>
  <si>
    <t>sie</t>
  </si>
  <si>
    <t>pron</t>
  </si>
  <si>
    <t>in</t>
  </si>
  <si>
    <t>Deutschland</t>
  </si>
  <si>
    <t>ne</t>
  </si>
  <si>
    <t>ankommen</t>
  </si>
  <si>
    <t>sind</t>
  </si>
  <si>
    <t>oft</t>
  </si>
  <si>
    <t>traumatisiert</t>
  </si>
  <si>
    <t># text = Ein Haus bietet Zuflucht.</t>
  </si>
  <si>
    <t>Ein</t>
  </si>
  <si>
    <t>Haus</t>
  </si>
  <si>
    <t>indef-np.a</t>
  </si>
  <si>
    <t>bietet</t>
  </si>
  <si>
    <t>Zuflucht</t>
  </si>
  <si>
    <t>OBJ</t>
  </si>
  <si>
    <t># text = In einer großen Küche sitzen vier Frauen.</t>
  </si>
  <si>
    <t>In</t>
  </si>
  <si>
    <t>einer</t>
  </si>
  <si>
    <t>großen</t>
  </si>
  <si>
    <t>Küche</t>
  </si>
  <si>
    <t>vier</t>
  </si>
  <si>
    <t>indef-np.quant</t>
  </si>
  <si>
    <t># text = Jede hat ein Baby dabei, das höchstens ein Jahr alt ist.</t>
  </si>
  <si>
    <t>ein</t>
  </si>
  <si>
    <t>Baby</t>
  </si>
  <si>
    <t>dabei</t>
  </si>
  <si>
    <t>das</t>
  </si>
  <si>
    <t>höchstens</t>
  </si>
  <si>
    <t>Jahr</t>
  </si>
  <si>
    <t>alt</t>
  </si>
  <si>
    <t>ist</t>
  </si>
  <si>
    <t># text = Eine hat ihren kleinen Sohn in den Arm gelegt.</t>
  </si>
  <si>
    <t>Eine</t>
  </si>
  <si>
    <t>ihren</t>
  </si>
  <si>
    <t>kleinen</t>
  </si>
  <si>
    <t>Sohn</t>
  </si>
  <si>
    <t>indef-np</t>
  </si>
  <si>
    <t>den</t>
  </si>
  <si>
    <t>Arm</t>
  </si>
  <si>
    <t>gelegt</t>
  </si>
  <si>
    <t># text = Er guckt mit großen Augen neugierig in den Raum.</t>
  </si>
  <si>
    <t>Er</t>
  </si>
  <si>
    <t>pron.pper</t>
  </si>
  <si>
    <t>guckt</t>
  </si>
  <si>
    <t>Augen</t>
  </si>
  <si>
    <t>neugierig</t>
  </si>
  <si>
    <t>Raum</t>
  </si>
  <si>
    <t># text = Seine Mutter starrt auf die Tischplatte.</t>
  </si>
  <si>
    <t>Seine</t>
  </si>
  <si>
    <t>Mutter</t>
  </si>
  <si>
    <t>auf</t>
  </si>
  <si>
    <t>Tischplatte</t>
  </si>
  <si>
    <t># text = Bis sie merkt, dass sie beobachtet wird.</t>
  </si>
  <si>
    <t>Bis</t>
  </si>
  <si>
    <t>merkt</t>
  </si>
  <si>
    <t>dass</t>
  </si>
  <si>
    <t>beobachtet</t>
  </si>
  <si>
    <t>wird</t>
  </si>
  <si>
    <t># text = Sie lächelt kurz und küsst den Kleinen.</t>
  </si>
  <si>
    <t>Sie</t>
  </si>
  <si>
    <t>lächelt</t>
  </si>
  <si>
    <t>kurz</t>
  </si>
  <si>
    <t>und</t>
  </si>
  <si>
    <t>küsst</t>
  </si>
  <si>
    <t>Kleinen</t>
  </si>
  <si>
    <t># text = Die Szene wirkt normal.</t>
  </si>
  <si>
    <t>Die</t>
  </si>
  <si>
    <t>Szene</t>
  </si>
  <si>
    <t>wirkt</t>
  </si>
  <si>
    <t>normal</t>
  </si>
  <si>
    <t># text = Bis man mit Katrin Bahr spricht.</t>
  </si>
  <si>
    <t>man</t>
  </si>
  <si>
    <t>Katrin</t>
  </si>
  <si>
    <t>Bahr</t>
  </si>
  <si>
    <t>spricht</t>
  </si>
  <si>
    <t># text = Sie ist Bereichs-Geschäftsführerin von Condrobs, einem Träger für soziale Hilfsangebote in Bayern, und beschäftigt sich unter anderem mit dem Thema Frauen auf der Flucht.</t>
  </si>
  <si>
    <t>Bereichs</t>
  </si>
  <si>
    <t>Geschäftsführerin</t>
  </si>
  <si>
    <t>def-np.poss</t>
  </si>
  <si>
    <t>von</t>
  </si>
  <si>
    <t>Condrobs</t>
  </si>
  <si>
    <t>einem</t>
  </si>
  <si>
    <t>Träger</t>
  </si>
  <si>
    <t>soziale</t>
  </si>
  <si>
    <t>Hilfsangebote</t>
  </si>
  <si>
    <t>Bayern</t>
  </si>
  <si>
    <t>beschäftigt</t>
  </si>
  <si>
    <t>sich</t>
  </si>
  <si>
    <t>unter</t>
  </si>
  <si>
    <t>anderem</t>
  </si>
  <si>
    <t>Thema</t>
  </si>
  <si>
    <t>der</t>
  </si>
  <si>
    <t># text = Die vier Frauen in der Küche sind Geflüchtete.</t>
  </si>
  <si>
    <t>def-np.quant</t>
  </si>
  <si>
    <t>Geflüchtete</t>
  </si>
  <si>
    <t># text = Sie leben im Münchner Norden in einer der wenigen dezentralen Unterkünfte für alleingeflüchtete Frauen und ihre Kinder in Bayern.</t>
  </si>
  <si>
    <t>Münchner</t>
  </si>
  <si>
    <t>Norden</t>
  </si>
  <si>
    <t>wenigen</t>
  </si>
  <si>
    <t>dezentralen</t>
  </si>
  <si>
    <t>Unterkünfte</t>
  </si>
  <si>
    <t>alleingeflüchtete</t>
  </si>
  <si>
    <t>ihre</t>
  </si>
  <si>
    <t>Kinder</t>
  </si>
  <si>
    <t>other_4</t>
  </si>
  <si>
    <t># text = Im Januar hat Condrobs die Einrichtung zusammen mit Pro Familia und der Münchner Frauenhilfe aufgemacht.</t>
  </si>
  <si>
    <t>Januar</t>
  </si>
  <si>
    <t>Einrichtung</t>
  </si>
  <si>
    <t>zusammen</t>
  </si>
  <si>
    <t>Pro</t>
  </si>
  <si>
    <t>Familia</t>
  </si>
  <si>
    <t>Frauenhilfe</t>
  </si>
  <si>
    <t>aufgemacht</t>
  </si>
  <si>
    <t># text = Unlängst wurde sie offiziell eröffnet.</t>
  </si>
  <si>
    <t>Unlängst</t>
  </si>
  <si>
    <t>wurde</t>
  </si>
  <si>
    <t>offiziell</t>
  </si>
  <si>
    <t>eröffnet</t>
  </si>
  <si>
    <t># text = 60 Personen leben dort - etwa 40 Frauen und 20 Kinder.</t>
  </si>
  <si>
    <t>60</t>
  </si>
  <si>
    <t>Personen</t>
  </si>
  <si>
    <t>dort</t>
  </si>
  <si>
    <t>etwa</t>
  </si>
  <si>
    <t># text = Männer gibt es keine - auch nicht als Besucher.</t>
  </si>
  <si>
    <t>Männer</t>
  </si>
  <si>
    <t>gibt</t>
  </si>
  <si>
    <t>es</t>
  </si>
  <si>
    <t>keine</t>
  </si>
  <si>
    <t>auch</t>
  </si>
  <si>
    <t>nicht</t>
  </si>
  <si>
    <t>als</t>
  </si>
  <si>
    <t>Besucher</t>
  </si>
  <si>
    <t># text = Die Ausnahme ist ein Wachmann vor der Tür.</t>
  </si>
  <si>
    <t>Ausnahme</t>
  </si>
  <si>
    <t>Wachmann</t>
  </si>
  <si>
    <t>vor</t>
  </si>
  <si>
    <t>Tür</t>
  </si>
  <si>
    <t>--</t>
  </si>
  <si>
    <t># text = \"Es ist nicht übertrieben zu sagen: Jede Frau, die hier ankommt, hat auf ihrer Flucht Erfahrungen mit sexueller Gewalt gemacht\", sagt Bahr.</t>
  </si>
  <si>
    <t>Es</t>
  </si>
  <si>
    <t>übertrieben</t>
  </si>
  <si>
    <t>SBJ_5</t>
  </si>
  <si>
    <t>hier</t>
  </si>
  <si>
    <t>ankommt</t>
  </si>
  <si>
    <t>ihrer</t>
  </si>
  <si>
    <t>gemacht</t>
  </si>
  <si>
    <t>sagt</t>
  </si>
  <si>
    <t># text = \"Männer fliehen wegen Kriegen, weil sie politisch verfolgt werden, weil ihnen Folter oder der Tod drohen oder weil ihre Familien sie als Hoffnungsträger nach Europa schicken\", erzählt sie.</t>
  </si>
  <si>
    <t>wegen</t>
  </si>
  <si>
    <t>Kriegen</t>
  </si>
  <si>
    <t>weil</t>
  </si>
  <si>
    <t>politisch</t>
  </si>
  <si>
    <t>verfolgt</t>
  </si>
  <si>
    <t>werden</t>
  </si>
  <si>
    <t>ihnen</t>
  </si>
  <si>
    <t>OBJ_5</t>
  </si>
  <si>
    <t>Folter</t>
  </si>
  <si>
    <t>SBJ_4</t>
  </si>
  <si>
    <t>oder</t>
  </si>
  <si>
    <t>Tod</t>
  </si>
  <si>
    <t>other_5</t>
  </si>
  <si>
    <t>drohen</t>
  </si>
  <si>
    <t>Familien</t>
  </si>
  <si>
    <t>Hoffnungsträger</t>
  </si>
  <si>
    <t>nach</t>
  </si>
  <si>
    <t>Europa</t>
  </si>
  <si>
    <t>schicken</t>
  </si>
  <si>
    <t>erzählt</t>
  </si>
  <si>
    <t># text = Bei Frauen überwiegen andere Gründe für die Flucht: "Viele stehlen sich heimlich davon, weil sie keinen anderen Ausweg sehen".</t>
  </si>
  <si>
    <t>Bei</t>
  </si>
  <si>
    <t>überwiegen</t>
  </si>
  <si>
    <t>andere</t>
  </si>
  <si>
    <t>Gründe</t>
  </si>
  <si>
    <t>Viele</t>
  </si>
  <si>
    <t>heimlich</t>
  </si>
  <si>
    <t>davon</t>
  </si>
  <si>
    <t>keinen</t>
  </si>
  <si>
    <t>anderen</t>
  </si>
  <si>
    <t>Ausweg</t>
  </si>
  <si>
    <t>sehen</t>
  </si>
  <si>
    <t># text = In ihrer Heimat haben sie Erfahrung mit sexueller Gewalt, Zwangsehen, Ehrenmorden, Sklaverei oder Zwangsprostitution gemacht.</t>
  </si>
  <si>
    <t>Heimat</t>
  </si>
  <si>
    <t>Erfahrung</t>
  </si>
  <si>
    <t>Zwangsehen</t>
  </si>
  <si>
    <t>Ehrenmorden</t>
  </si>
  <si>
    <t>Sklaverei</t>
  </si>
  <si>
    <t>Zwangsprostitution</t>
  </si>
  <si>
    <t># text = Das treibt sie fort.</t>
  </si>
  <si>
    <t>Das</t>
  </si>
  <si>
    <t>pron.pds</t>
  </si>
  <si>
    <t>treibt</t>
  </si>
  <si>
    <t>fort</t>
  </si>
  <si>
    <t># text = Auf der Flucht geht das weiter.</t>
  </si>
  <si>
    <t>Auf</t>
  </si>
  <si>
    <t>geht</t>
  </si>
  <si>
    <t>weiter</t>
  </si>
  <si>
    <t># text = "Dass Schlepper zum Beispiel für eine Flasche Wasser eine sexuelle Handlung fordern, ist keine Seltenheit", sagt Bahr.</t>
  </si>
  <si>
    <t>Dass</t>
  </si>
  <si>
    <t>Schlepper</t>
  </si>
  <si>
    <t>Beispiel</t>
  </si>
  <si>
    <t>eine</t>
  </si>
  <si>
    <t>Flasche</t>
  </si>
  <si>
    <t>Wasser</t>
  </si>
  <si>
    <t>sexuelle</t>
  </si>
  <si>
    <t>Handlung</t>
  </si>
  <si>
    <t>Seltenheit</t>
  </si>
  <si>
    <t># text = Und die Frauen sind alleine, sie werden nicht von ihren Familien geschützt.</t>
  </si>
  <si>
    <t>Und</t>
  </si>
  <si>
    <t>geschützt</t>
  </si>
  <si>
    <t># text = Wer glaube, dass das ende, sobald sie in Deutschland ankämen, irre, erzählt Bahr.</t>
  </si>
  <si>
    <t>Wer</t>
  </si>
  <si>
    <t>pron.pint</t>
  </si>
  <si>
    <t>glaube</t>
  </si>
  <si>
    <t>ende</t>
  </si>
  <si>
    <t>sobald</t>
  </si>
  <si>
    <t>ankämen</t>
  </si>
  <si>
    <t>irre</t>
  </si>
  <si>
    <t># text = Auch hier würden alleinstehende Frauen in Flüchtlingsunterkünften oft als minderwertig betrachtet und schlimmstenfalls missbraucht.</t>
  </si>
  <si>
    <t>Auch</t>
  </si>
  <si>
    <t>würden</t>
  </si>
  <si>
    <t>alleinstehende</t>
  </si>
  <si>
    <t>Flüchtlingsunterkünften</t>
  </si>
  <si>
    <t>minderwertig</t>
  </si>
  <si>
    <t>betrachtet</t>
  </si>
  <si>
    <t>schlimmstenfalls</t>
  </si>
  <si>
    <t>missbraucht</t>
  </si>
  <si>
    <t># text = Das führt dazu, dass etwa 90 Prozent der Frauen, die in der Unterkunft im Münchner Norden wohnen, traumatisiert sind, schätzt sie.</t>
  </si>
  <si>
    <t>führt</t>
  </si>
  <si>
    <t>dazu</t>
  </si>
  <si>
    <t>90</t>
  </si>
  <si>
    <t>Prozent</t>
  </si>
  <si>
    <t>Unterkunft</t>
  </si>
  <si>
    <t>wohnen</t>
  </si>
  <si>
    <t>schätzt</t>
  </si>
  <si>
    <t># text = \"Einige der Kinder sind sicher nicht freiwillig entstanden\".</t>
  </si>
  <si>
    <t>Einige</t>
  </si>
  <si>
    <t>sicher</t>
  </si>
  <si>
    <t>freiwillig</t>
  </si>
  <si>
    <t>entstanden</t>
  </si>
  <si>
    <t># text = Viele Frauen seien es so gewohnt, dass sie nichts sagen.</t>
  </si>
  <si>
    <t>seien</t>
  </si>
  <si>
    <t>so</t>
  </si>
  <si>
    <t>gewohnt</t>
  </si>
  <si>
    <t>nichts</t>
  </si>
  <si>
    <t># text = "Oder sie trauen sich nicht, offen über das Erlebte zu sprechen, weil die Scham zu groß ist".</t>
  </si>
  <si>
    <t>Oder</t>
  </si>
  <si>
    <t>offen</t>
  </si>
  <si>
    <t>über</t>
  </si>
  <si>
    <t>Erlebte</t>
  </si>
  <si>
    <t>Scham</t>
  </si>
  <si>
    <t>groß</t>
  </si>
  <si>
    <t># text = Da sie sich oft nicht zu helfen wüssten, brauche es mehr Unterkünfte nur für sie, fordert Bahr.</t>
  </si>
  <si>
    <t>Da</t>
  </si>
  <si>
    <t>helfen</t>
  </si>
  <si>
    <t>wüssten</t>
  </si>
  <si>
    <t>brauche</t>
  </si>
  <si>
    <t>mehr</t>
  </si>
  <si>
    <t>nur</t>
  </si>
  <si>
    <t>fordert</t>
  </si>
  <si>
    <t># text = In Bayern sind die sieben Bezirksregierungen für die Unterbringung von Flüchtlingen zuständig.</t>
  </si>
  <si>
    <t>sieben</t>
  </si>
  <si>
    <t>Bezirksregierungen</t>
  </si>
  <si>
    <t>Unterbringung</t>
  </si>
  <si>
    <t>Flüchtlingen</t>
  </si>
  <si>
    <t>zuständig</t>
  </si>
  <si>
    <t># text = Auf die Frage, ob sie von einem ähnlichen Projekt wie in München in ihrem Zuständigkeitsbereich wüssten, antworten einige mit Nein.</t>
  </si>
  <si>
    <t>ob</t>
  </si>
  <si>
    <t>ähnlichen</t>
  </si>
  <si>
    <t>Projekt</t>
  </si>
  <si>
    <t>wie</t>
  </si>
  <si>
    <t>München</t>
  </si>
  <si>
    <t>ihrem</t>
  </si>
  <si>
    <t>Zuständigkeitsbereich</t>
  </si>
  <si>
    <t>antworten</t>
  </si>
  <si>
    <t>einige</t>
  </si>
  <si>
    <t>Nein</t>
  </si>
  <si>
    <t># text = In der Oberpfalz und Oberfranken etwa gibt es so etwas in Unterkünften der Regierungen nicht.</t>
  </si>
  <si>
    <t>Oberpfalz</t>
  </si>
  <si>
    <t>Oberfranken</t>
  </si>
  <si>
    <t>etwas</t>
  </si>
  <si>
    <t>Unterkünften</t>
  </si>
  <si>
    <t>Regierungen</t>
  </si>
  <si>
    <t># text = Auch in Schwaben werden allein geflüchtete Frauen nicht getrennt untergebracht, sagt Karl-Heinz Meyer, Pressesprecher der Regierung.</t>
  </si>
  <si>
    <t>Schwaben</t>
  </si>
  <si>
    <t>allein</t>
  </si>
  <si>
    <t>getrennt</t>
  </si>
  <si>
    <t>untergebracht</t>
  </si>
  <si>
    <t>Karl</t>
  </si>
  <si>
    <t>Heinz</t>
  </si>
  <si>
    <t>Meyer</t>
  </si>
  <si>
    <t>Pressesprecher</t>
  </si>
  <si>
    <t>Regierung</t>
  </si>
  <si>
    <t># text = In Oberbayern, Unter- und Mittelfranken gibt es in manchen Gemeinschaftsunterkünften Stockwerke oder eigene Häuser nur für alleinstehende Frauen und deren Kinder.</t>
  </si>
  <si>
    <t>Oberbayern</t>
  </si>
  <si>
    <t>Unter</t>
  </si>
  <si>
    <t>Mittelfranken</t>
  </si>
  <si>
    <t>manchen</t>
  </si>
  <si>
    <t>Gemeinschaftsunterkünften</t>
  </si>
  <si>
    <t>Stockwerke</t>
  </si>
  <si>
    <t>eigene</t>
  </si>
  <si>
    <t>Häuser</t>
  </si>
  <si>
    <t>deren</t>
  </si>
  <si>
    <t>pron.ppos</t>
  </si>
  <si>
    <t># text = Die Ausnahme ist Niederbayern, dort gibt es zwei zentrale Unterkünfte ausschließlich für Frauen.</t>
  </si>
  <si>
    <t>Niederbayern</t>
  </si>
  <si>
    <t>zwei</t>
  </si>
  <si>
    <t>zentrale</t>
  </si>
  <si>
    <t>ausschließlich</t>
  </si>
  <si>
    <t># text = Auch der Ausschuss \"Rechte der Frau und Gleichstellung der Geschlechter\" im Europaparlament fordert, dass Frauen getrennt von Männern untergebracht werden müssen.</t>
  </si>
  <si>
    <t>Ausschuss</t>
  </si>
  <si>
    <t>Rechte</t>
  </si>
  <si>
    <t>Gleichstellung</t>
  </si>
  <si>
    <t>Geschlechter</t>
  </si>
  <si>
    <t>Europaparlament</t>
  </si>
  <si>
    <t>Männern</t>
  </si>
  <si>
    <t>müssen</t>
  </si>
  <si>
    <t># text = In einer Studie, die für den Ausschuss veröffentlicht wurde, heißt es: "Es ist sehr wichtig, dass Männer und Frauen getrennt beherbergt werden."</t>
  </si>
  <si>
    <t>Studie</t>
  </si>
  <si>
    <t>veröffentlicht</t>
  </si>
  <si>
    <t>heißt</t>
  </si>
  <si>
    <t>sehr</t>
  </si>
  <si>
    <t>wichtig</t>
  </si>
  <si>
    <t>beherbergt</t>
  </si>
  <si>
    <t># text = \"Fehlt die Privatsphäre oder werden Männer und Frauen zusammen untergebracht, kann es zu - fortwährender - Gewalt gegen Frauen kommen\".</t>
  </si>
  <si>
    <t>Fehlt</t>
  </si>
  <si>
    <t>Privatsphäre</t>
  </si>
  <si>
    <t>kann</t>
  </si>
  <si>
    <t>fortwährender</t>
  </si>
  <si>
    <t>gegen</t>
  </si>
  <si>
    <t># text = Vor allem die Waschräume sollten getrennt und für Frauen leicht zugänglich sein, steht in der Studie.</t>
  </si>
  <si>
    <t>Vor</t>
  </si>
  <si>
    <t>allem</t>
  </si>
  <si>
    <t>Waschräume</t>
  </si>
  <si>
    <t>sollten</t>
  </si>
  <si>
    <t>leicht</t>
  </si>
  <si>
    <t>zugänglich</t>
  </si>
  <si>
    <t>sein</t>
  </si>
  <si>
    <t>steht</t>
  </si>
  <si>
    <t># text = Wie sehr die Frauen dieses Schutzbedürfnis verspüren, kann man am Andrang ablesen, den es auf das Haus in München gibt.</t>
  </si>
  <si>
    <t>Wie</t>
  </si>
  <si>
    <t>dieses</t>
  </si>
  <si>
    <t>Schutzbedürfnis</t>
  </si>
  <si>
    <t>def-np.dem</t>
  </si>
  <si>
    <t>an</t>
  </si>
  <si>
    <t>Andrang</t>
  </si>
  <si>
    <t>ablesen</t>
  </si>
  <si>
    <t>OBJ_3</t>
  </si>
  <si>
    <t># text = "Seit sich herumgesprochen hat, dass es uns gibt, haben wir eine lange Warteliste", sagt Bahr.</t>
  </si>
  <si>
    <t>Seit</t>
  </si>
  <si>
    <t>herumgesprochen</t>
  </si>
  <si>
    <t>uns</t>
  </si>
  <si>
    <t>wir</t>
  </si>
  <si>
    <t>lange</t>
  </si>
  <si>
    <t>Warteliste</t>
  </si>
  <si>
    <t># text = Man könnte leicht ein zweites Haus aufmachen.</t>
  </si>
  <si>
    <t>Man</t>
  </si>
  <si>
    <t>könnte</t>
  </si>
  <si>
    <t>zweites</t>
  </si>
  <si>
    <t>aufmachen</t>
  </si>
  <si>
    <t>geflohene_frauen</t>
  </si>
  <si>
    <t>IDIOM</t>
  </si>
  <si>
    <t>deutschland</t>
  </si>
  <si>
    <t>FOCUS</t>
  </si>
  <si>
    <t>FAMILIAR</t>
  </si>
  <si>
    <t>sexuelle_gewalt</t>
  </si>
  <si>
    <t>vier_frauen</t>
  </si>
  <si>
    <t>kein auto ref</t>
  </si>
  <si>
    <t>SIT</t>
  </si>
  <si>
    <t>szene</t>
  </si>
  <si>
    <t>katrin_bahr</t>
  </si>
  <si>
    <t>sohn_katrin</t>
  </si>
  <si>
    <t>PRED</t>
  </si>
  <si>
    <t>condrobs</t>
  </si>
  <si>
    <t>bayern</t>
  </si>
  <si>
    <t>norden_muenchen</t>
  </si>
  <si>
    <t>unterkunft</t>
  </si>
  <si>
    <t>pro_familia</t>
  </si>
  <si>
    <t>frauenhilfe</t>
  </si>
  <si>
    <t>januar</t>
  </si>
  <si>
    <t>wachmann</t>
  </si>
  <si>
    <t>GEN</t>
  </si>
  <si>
    <t>maenner</t>
  </si>
  <si>
    <t>nacherwähnt</t>
  </si>
  <si>
    <t>ID weil nacherwähnt</t>
  </si>
  <si>
    <t>maenner_familien</t>
  </si>
  <si>
    <t>europa</t>
  </si>
  <si>
    <t>flucht_frauen</t>
  </si>
  <si>
    <t>parser error</t>
  </si>
  <si>
    <t>heimat_frauen</t>
  </si>
  <si>
    <t>erfahrungen</t>
  </si>
  <si>
    <t>missbrauch</t>
  </si>
  <si>
    <t>antezedens</t>
  </si>
  <si>
    <t>frauen_unterkunft</t>
  </si>
  <si>
    <t>missbrauchte_frauen</t>
  </si>
  <si>
    <t>syntaktischer Kopf</t>
  </si>
  <si>
    <t>EXPL</t>
  </si>
  <si>
    <t>bezirksregierungen</t>
  </si>
  <si>
    <t>gefluechtete</t>
  </si>
  <si>
    <t>unterbringung_gefluechtete</t>
  </si>
  <si>
    <t>frage</t>
  </si>
  <si>
    <t>muenchen</t>
  </si>
  <si>
    <t>oberpfalz_oberfranken</t>
  </si>
  <si>
    <t>schwaben</t>
  </si>
  <si>
    <t>karl_meyer</t>
  </si>
  <si>
    <t>oberbayern_franken</t>
  </si>
  <si>
    <t>alleinstehende_frauen</t>
  </si>
  <si>
    <t>kinder_frauen_alleine</t>
  </si>
  <si>
    <t>niederbayern</t>
  </si>
  <si>
    <t>eu_parlament</t>
  </si>
  <si>
    <t>frauen</t>
  </si>
  <si>
    <t>studie</t>
  </si>
  <si>
    <t>ausschuss</t>
  </si>
  <si>
    <t>schutzbeduerfnis</t>
  </si>
  <si>
    <t>Antezedens</t>
  </si>
  <si>
    <t>kueche_unterkunft</t>
  </si>
  <si>
    <t>tischplatte</t>
  </si>
  <si>
    <t>NEW</t>
  </si>
  <si>
    <t>allein_geflohene_frauen</t>
  </si>
  <si>
    <t>kinder_frauen_unterkunft</t>
  </si>
  <si>
    <t>bereich_bezirksregierungen</t>
  </si>
  <si>
    <t>regierung_schwaben</t>
  </si>
  <si>
    <t>dezentrale_unterkuenfte</t>
  </si>
  <si>
    <t>Untermenge geflohener Frauen: nur die, die angekommen sind</t>
  </si>
  <si>
    <t>frauen_alleine_familien</t>
  </si>
  <si>
    <t>regierung_pfalz_franken</t>
  </si>
  <si>
    <t>kinder_frauen_alleinstehend</t>
  </si>
  <si>
    <t>zu unterscheiden von allein geflohenen Frauen</t>
  </si>
  <si>
    <t>OLD</t>
  </si>
  <si>
    <t>ACTIVATED</t>
  </si>
  <si>
    <t>UNIQUE</t>
  </si>
  <si>
    <t>vorerwähnt</t>
  </si>
  <si>
    <t>nicht zwingend allein geflohene Frauen</t>
  </si>
  <si>
    <t>TYPE</t>
  </si>
  <si>
    <t>broad</t>
  </si>
  <si>
    <t>(zusammenfassend)</t>
  </si>
  <si>
    <t>specific</t>
  </si>
  <si>
    <t>(konkret)</t>
  </si>
  <si>
    <t>result</t>
  </si>
  <si>
    <t>(in Folge)</t>
  </si>
  <si>
    <t>(und)</t>
  </si>
  <si>
    <t>conjunction</t>
  </si>
  <si>
    <t>(dagegen)</t>
  </si>
  <si>
    <t>contrast</t>
  </si>
  <si>
    <t>after</t>
  </si>
  <si>
    <t>(dann)</t>
  </si>
  <si>
    <t>(daraufhin)</t>
  </si>
  <si>
    <t>(insgesamt)</t>
  </si>
  <si>
    <t>neg_condition</t>
  </si>
  <si>
    <t>bis (es sei denn)</t>
  </si>
  <si>
    <t>before</t>
  </si>
  <si>
    <t>unlängst</t>
  </si>
  <si>
    <t>ID 17 is missing</t>
  </si>
  <si>
    <t>(nun)</t>
  </si>
  <si>
    <t>(aber)</t>
  </si>
  <si>
    <t>disjunction</t>
  </si>
  <si>
    <t>instance</t>
  </si>
  <si>
    <t>enablement</t>
  </si>
  <si>
    <t>(dafür)</t>
  </si>
  <si>
    <t>EntRel</t>
  </si>
  <si>
    <t>Koreferenz</t>
  </si>
  <si>
    <t>(denn)</t>
  </si>
  <si>
    <t>reason</t>
  </si>
  <si>
    <t>das führt dazu</t>
  </si>
  <si>
    <t>(etwa)</t>
  </si>
  <si>
    <t>set</t>
  </si>
  <si>
    <t>(mehrheitlich)</t>
  </si>
  <si>
    <t>neg_consequence</t>
  </si>
  <si>
    <t>(andernfalls)</t>
  </si>
  <si>
    <t>vor allem</t>
  </si>
  <si>
    <t>zum Beispiel</t>
  </si>
  <si>
    <t>(doch)</t>
  </si>
  <si>
    <t>die Ausnahme</t>
  </si>
  <si>
    <t>exception</t>
  </si>
  <si>
    <t>(einerseits)</t>
  </si>
  <si>
    <t>(allerdings)</t>
  </si>
  <si>
    <t>contra-expectation</t>
  </si>
  <si>
    <t>(zu diesem Zweck)</t>
  </si>
  <si>
    <t>(allgemein)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</si>
</sst>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pane xSplit="5" ySplit="1" topLeftCell="G44" activePane="bottomRight" state="frozen"/>
      <selection pane="topRight" activeCell="F1" sqref="F1"/>
      <selection pane="bottomLeft" activeCell="A2" sqref="A2"/>
      <selection pane="bottomRight" activeCell="H47" sqref="H47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 t="s">
        <v>675</v>
      </c>
      <c r="H2" s="10">
        <v>2</v>
      </c>
      <c r="I2" s="11" t="s">
        <v>674</v>
      </c>
      <c r="J2" s="12"/>
    </row>
    <row r="3" spans="1:10" ht="60" customHeight="1" x14ac:dyDescent="0.3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 t="s">
        <v>677</v>
      </c>
      <c r="H3" s="10">
        <v>1</v>
      </c>
      <c r="I3" s="11" t="s">
        <v>676</v>
      </c>
      <c r="J3" s="12"/>
    </row>
    <row r="4" spans="1:10" ht="60" customHeight="1" x14ac:dyDescent="0.3">
      <c r="A4" s="6" t="s">
        <v>16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 t="s">
        <v>679</v>
      </c>
      <c r="H4" s="10">
        <v>2</v>
      </c>
      <c r="I4" s="11" t="s">
        <v>678</v>
      </c>
      <c r="J4" s="12"/>
    </row>
    <row r="5" spans="1:10" ht="60" customHeight="1" x14ac:dyDescent="0.3">
      <c r="A5" s="6" t="s">
        <v>24</v>
      </c>
      <c r="B5" s="6" t="s">
        <v>16</v>
      </c>
      <c r="C5" s="6" t="s">
        <v>11</v>
      </c>
      <c r="D5" s="7" t="s">
        <v>25</v>
      </c>
      <c r="E5" s="8" t="s">
        <v>26</v>
      </c>
      <c r="F5" s="6" t="s">
        <v>27</v>
      </c>
      <c r="G5" s="9" t="s">
        <v>698</v>
      </c>
      <c r="H5" s="10">
        <v>3</v>
      </c>
      <c r="I5" s="11" t="s">
        <v>697</v>
      </c>
      <c r="J5" s="12"/>
    </row>
    <row r="6" spans="1:10" ht="60" customHeight="1" x14ac:dyDescent="0.3">
      <c r="A6" s="6" t="s">
        <v>28</v>
      </c>
      <c r="B6" s="6" t="s">
        <v>28</v>
      </c>
      <c r="C6" s="6" t="s">
        <v>11</v>
      </c>
      <c r="D6" s="7" t="s">
        <v>29</v>
      </c>
      <c r="E6" s="8" t="s">
        <v>30</v>
      </c>
      <c r="F6" s="6" t="s">
        <v>31</v>
      </c>
      <c r="G6" s="9" t="s">
        <v>11</v>
      </c>
      <c r="H6" s="10">
        <v>4</v>
      </c>
      <c r="I6" s="11" t="s">
        <v>699</v>
      </c>
      <c r="J6" s="12" t="s">
        <v>700</v>
      </c>
    </row>
    <row r="7" spans="1:10" ht="60" customHeight="1" x14ac:dyDescent="0.3">
      <c r="A7" s="6" t="s">
        <v>32</v>
      </c>
      <c r="B7" s="6" t="s">
        <v>15</v>
      </c>
      <c r="C7" s="6" t="s">
        <v>11</v>
      </c>
      <c r="D7" s="7" t="s">
        <v>33</v>
      </c>
      <c r="E7" s="8" t="s">
        <v>34</v>
      </c>
      <c r="F7" s="6" t="s">
        <v>35</v>
      </c>
      <c r="G7" s="9" t="s">
        <v>680</v>
      </c>
      <c r="H7" s="10">
        <v>5</v>
      </c>
      <c r="I7" s="11" t="s">
        <v>681</v>
      </c>
      <c r="J7" s="12"/>
    </row>
    <row r="8" spans="1:10" ht="60" customHeight="1" x14ac:dyDescent="0.3">
      <c r="A8" s="6" t="s">
        <v>20</v>
      </c>
      <c r="B8" s="6" t="s">
        <v>36</v>
      </c>
      <c r="C8" s="6" t="s">
        <v>11</v>
      </c>
      <c r="D8" s="7" t="s">
        <v>37</v>
      </c>
      <c r="E8" s="8" t="s">
        <v>38</v>
      </c>
      <c r="F8" s="6" t="s">
        <v>39</v>
      </c>
      <c r="G8" s="9" t="s">
        <v>677</v>
      </c>
      <c r="H8" s="10">
        <v>6</v>
      </c>
      <c r="I8" s="11" t="s">
        <v>676</v>
      </c>
      <c r="J8" s="12"/>
    </row>
    <row r="9" spans="1:10" ht="60" customHeight="1" x14ac:dyDescent="0.3">
      <c r="A9" s="6" t="s">
        <v>40</v>
      </c>
      <c r="B9" s="6" t="s">
        <v>15</v>
      </c>
      <c r="C9" s="6" t="s">
        <v>11</v>
      </c>
      <c r="D9" s="7" t="s">
        <v>41</v>
      </c>
      <c r="E9" s="8" t="s">
        <v>42</v>
      </c>
      <c r="F9" s="6" t="s">
        <v>43</v>
      </c>
      <c r="G9" s="9" t="s">
        <v>680</v>
      </c>
      <c r="H9" s="10">
        <v>7</v>
      </c>
      <c r="I9" s="11" t="s">
        <v>681</v>
      </c>
      <c r="J9" s="12"/>
    </row>
    <row r="10" spans="1:10" ht="60" customHeight="1" x14ac:dyDescent="0.3">
      <c r="A10" s="6" t="s">
        <v>36</v>
      </c>
      <c r="B10" s="6" t="s">
        <v>16</v>
      </c>
      <c r="C10" s="6" t="s">
        <v>11</v>
      </c>
      <c r="D10" s="7" t="s">
        <v>44</v>
      </c>
      <c r="E10" s="8" t="s">
        <v>45</v>
      </c>
      <c r="F10" s="6" t="s">
        <v>46</v>
      </c>
      <c r="G10" s="9" t="s">
        <v>682</v>
      </c>
      <c r="H10" s="10">
        <v>8</v>
      </c>
      <c r="I10" s="11" t="s">
        <v>683</v>
      </c>
      <c r="J10" s="12"/>
    </row>
    <row r="11" spans="1:10" ht="60" customHeight="1" x14ac:dyDescent="0.3">
      <c r="A11" s="6" t="s">
        <v>47</v>
      </c>
      <c r="B11" s="6" t="s">
        <v>16</v>
      </c>
      <c r="C11" s="6" t="s">
        <v>11</v>
      </c>
      <c r="D11" s="7" t="s">
        <v>48</v>
      </c>
      <c r="E11" s="8" t="s">
        <v>49</v>
      </c>
      <c r="F11" s="6" t="s">
        <v>50</v>
      </c>
      <c r="G11" s="9" t="s">
        <v>685</v>
      </c>
      <c r="H11" s="10">
        <v>9</v>
      </c>
      <c r="I11" s="11" t="s">
        <v>684</v>
      </c>
      <c r="J11" s="12"/>
    </row>
    <row r="12" spans="1:10" ht="60" customHeight="1" x14ac:dyDescent="0.3">
      <c r="A12" s="6" t="s">
        <v>51</v>
      </c>
      <c r="B12" s="6" t="s">
        <v>15</v>
      </c>
      <c r="C12" s="6" t="s">
        <v>11</v>
      </c>
      <c r="D12" s="7" t="s">
        <v>52</v>
      </c>
      <c r="E12" s="8" t="s">
        <v>53</v>
      </c>
      <c r="F12" s="6" t="s">
        <v>54</v>
      </c>
      <c r="G12" s="9" t="s">
        <v>686</v>
      </c>
      <c r="H12" s="10">
        <v>10</v>
      </c>
      <c r="I12" s="11" t="s">
        <v>684</v>
      </c>
      <c r="J12" s="12"/>
    </row>
    <row r="13" spans="1:10" ht="60" customHeight="1" x14ac:dyDescent="0.3">
      <c r="A13" s="6" t="s">
        <v>55</v>
      </c>
      <c r="B13" s="6" t="s">
        <v>16</v>
      </c>
      <c r="C13" s="6" t="s">
        <v>11</v>
      </c>
      <c r="D13" s="7" t="s">
        <v>56</v>
      </c>
      <c r="E13" s="8" t="s">
        <v>57</v>
      </c>
      <c r="F13" s="6" t="s">
        <v>58</v>
      </c>
      <c r="G13" s="9" t="s">
        <v>687</v>
      </c>
      <c r="H13" s="10">
        <v>11</v>
      </c>
      <c r="I13" s="11" t="s">
        <v>674</v>
      </c>
      <c r="J13" s="12"/>
    </row>
    <row r="14" spans="1:10" ht="60" customHeight="1" x14ac:dyDescent="0.3">
      <c r="A14" s="6" t="s">
        <v>59</v>
      </c>
      <c r="B14" s="6" t="s">
        <v>32</v>
      </c>
      <c r="C14" s="6" t="s">
        <v>11</v>
      </c>
      <c r="D14" s="7" t="s">
        <v>60</v>
      </c>
      <c r="E14" s="8" t="s">
        <v>61</v>
      </c>
      <c r="F14" s="6" t="s">
        <v>62</v>
      </c>
      <c r="G14" s="9" t="s">
        <v>689</v>
      </c>
      <c r="H14" s="10">
        <v>12</v>
      </c>
      <c r="I14" s="11" t="s">
        <v>688</v>
      </c>
      <c r="J14" s="12"/>
    </row>
    <row r="15" spans="1:10" ht="60" customHeight="1" x14ac:dyDescent="0.3">
      <c r="A15" s="6" t="s">
        <v>63</v>
      </c>
      <c r="B15" s="6" t="s">
        <v>15</v>
      </c>
      <c r="C15" s="6" t="s">
        <v>11</v>
      </c>
      <c r="D15" s="7" t="s">
        <v>64</v>
      </c>
      <c r="E15" s="8" t="s">
        <v>65</v>
      </c>
      <c r="F15" s="6" t="s">
        <v>66</v>
      </c>
      <c r="G15" s="9" t="s">
        <v>677</v>
      </c>
      <c r="H15" s="10">
        <v>7</v>
      </c>
      <c r="I15" s="11" t="s">
        <v>676</v>
      </c>
      <c r="J15" s="12"/>
    </row>
    <row r="16" spans="1:10" ht="60" customHeight="1" x14ac:dyDescent="0.3">
      <c r="A16" s="6" t="s">
        <v>67</v>
      </c>
      <c r="B16" s="6" t="s">
        <v>20</v>
      </c>
      <c r="C16" s="6" t="s">
        <v>11</v>
      </c>
      <c r="D16" s="7" t="s">
        <v>68</v>
      </c>
      <c r="E16" s="8" t="s">
        <v>69</v>
      </c>
      <c r="F16" s="6" t="s">
        <v>70</v>
      </c>
      <c r="G16" s="9" t="s">
        <v>677</v>
      </c>
      <c r="H16" s="10">
        <v>5</v>
      </c>
      <c r="I16" s="11" t="s">
        <v>676</v>
      </c>
      <c r="J16" s="12"/>
    </row>
    <row r="17" spans="1:10" ht="60" customHeight="1" x14ac:dyDescent="0.3">
      <c r="A17" s="6" t="s">
        <v>71</v>
      </c>
      <c r="B17" s="6" t="s">
        <v>15</v>
      </c>
      <c r="C17" s="6" t="s">
        <v>11</v>
      </c>
      <c r="D17" s="7" t="s">
        <v>72</v>
      </c>
      <c r="E17" s="8" t="s">
        <v>73</v>
      </c>
      <c r="F17" s="6" t="s">
        <v>74</v>
      </c>
      <c r="G17" s="9" t="s">
        <v>680</v>
      </c>
      <c r="H17" s="10">
        <v>15</v>
      </c>
      <c r="I17" s="11" t="s">
        <v>681</v>
      </c>
      <c r="J17" s="12" t="s">
        <v>692</v>
      </c>
    </row>
    <row r="18" spans="1:10" ht="60" customHeight="1" x14ac:dyDescent="0.3">
      <c r="A18" s="6" t="s">
        <v>75</v>
      </c>
      <c r="B18" s="6" t="s">
        <v>28</v>
      </c>
      <c r="C18" s="6" t="s">
        <v>11</v>
      </c>
      <c r="D18" s="7" t="s">
        <v>76</v>
      </c>
      <c r="E18" s="8" t="s">
        <v>77</v>
      </c>
      <c r="F18" s="6" t="s">
        <v>78</v>
      </c>
      <c r="G18" s="9" t="s">
        <v>691</v>
      </c>
      <c r="H18" s="10">
        <v>16</v>
      </c>
      <c r="I18" s="11" t="s">
        <v>690</v>
      </c>
      <c r="J18" s="12"/>
    </row>
    <row r="19" spans="1:10" ht="60" customHeight="1" x14ac:dyDescent="0.3">
      <c r="A19" s="6" t="s">
        <v>79</v>
      </c>
      <c r="B19" s="6" t="s">
        <v>16</v>
      </c>
      <c r="C19" s="6" t="s">
        <v>11</v>
      </c>
      <c r="D19" s="7" t="s">
        <v>72</v>
      </c>
      <c r="E19" s="8" t="s">
        <v>80</v>
      </c>
      <c r="F19" s="6" t="s">
        <v>81</v>
      </c>
      <c r="G19" s="9" t="s">
        <v>693</v>
      </c>
      <c r="H19" s="10">
        <v>18</v>
      </c>
      <c r="I19" s="11" t="s">
        <v>684</v>
      </c>
      <c r="J19" s="12"/>
    </row>
    <row r="20" spans="1:10" ht="60" customHeight="1" x14ac:dyDescent="0.3">
      <c r="A20" s="6" t="s">
        <v>82</v>
      </c>
      <c r="B20" s="6" t="s">
        <v>15</v>
      </c>
      <c r="C20" s="6" t="s">
        <v>11</v>
      </c>
      <c r="D20" s="7" t="s">
        <v>83</v>
      </c>
      <c r="E20" s="8" t="s">
        <v>84</v>
      </c>
      <c r="F20" s="6" t="s">
        <v>85</v>
      </c>
      <c r="G20" s="9" t="s">
        <v>694</v>
      </c>
      <c r="H20" s="10">
        <v>19</v>
      </c>
      <c r="I20" s="11" t="s">
        <v>683</v>
      </c>
      <c r="J20" s="12"/>
    </row>
    <row r="21" spans="1:10" ht="60" customHeight="1" x14ac:dyDescent="0.3">
      <c r="A21" s="6" t="s">
        <v>86</v>
      </c>
      <c r="B21" s="6" t="s">
        <v>16</v>
      </c>
      <c r="C21" s="6" t="s">
        <v>11</v>
      </c>
      <c r="D21" s="7" t="s">
        <v>87</v>
      </c>
      <c r="E21" s="8" t="s">
        <v>88</v>
      </c>
      <c r="F21" s="6" t="s">
        <v>89</v>
      </c>
      <c r="G21" s="9" t="s">
        <v>712</v>
      </c>
      <c r="H21" s="10">
        <v>20</v>
      </c>
      <c r="I21" s="11" t="s">
        <v>713</v>
      </c>
      <c r="J21" s="12"/>
    </row>
    <row r="22" spans="1:10" ht="60" customHeight="1" x14ac:dyDescent="0.3">
      <c r="A22" s="6" t="s">
        <v>90</v>
      </c>
      <c r="B22" s="6" t="s">
        <v>91</v>
      </c>
      <c r="C22" s="6" t="s">
        <v>11</v>
      </c>
      <c r="D22" s="7" t="s">
        <v>92</v>
      </c>
      <c r="E22" s="8" t="s">
        <v>93</v>
      </c>
      <c r="F22" s="6" t="s">
        <v>94</v>
      </c>
      <c r="G22" s="9" t="s">
        <v>687</v>
      </c>
      <c r="H22" s="10">
        <v>19</v>
      </c>
      <c r="I22" s="11" t="s">
        <v>674</v>
      </c>
      <c r="J22" s="12"/>
    </row>
    <row r="23" spans="1:10" ht="60" customHeight="1" x14ac:dyDescent="0.3">
      <c r="A23" s="6" t="s">
        <v>95</v>
      </c>
      <c r="B23" s="6" t="s">
        <v>96</v>
      </c>
      <c r="C23" s="6" t="s">
        <v>11</v>
      </c>
      <c r="D23" s="7" t="s">
        <v>97</v>
      </c>
      <c r="E23" s="8" t="s">
        <v>98</v>
      </c>
      <c r="F23" s="6" t="s">
        <v>99</v>
      </c>
      <c r="G23" s="9" t="s">
        <v>714</v>
      </c>
      <c r="H23" s="10">
        <v>24</v>
      </c>
      <c r="I23" s="11" t="s">
        <v>683</v>
      </c>
      <c r="J23" s="12"/>
    </row>
    <row r="24" spans="1:10" ht="60" customHeight="1" x14ac:dyDescent="0.3">
      <c r="A24" s="6" t="s">
        <v>100</v>
      </c>
      <c r="B24" s="6" t="s">
        <v>55</v>
      </c>
      <c r="C24" s="6" t="s">
        <v>11</v>
      </c>
      <c r="D24" s="7" t="s">
        <v>101</v>
      </c>
      <c r="E24" s="8" t="s">
        <v>102</v>
      </c>
      <c r="F24" s="6" t="s">
        <v>103</v>
      </c>
      <c r="G24" s="9" t="s">
        <v>682</v>
      </c>
      <c r="H24" s="10">
        <v>23</v>
      </c>
      <c r="I24" s="11" t="s">
        <v>683</v>
      </c>
      <c r="J24" s="12"/>
    </row>
    <row r="25" spans="1:10" ht="60" customHeight="1" x14ac:dyDescent="0.3">
      <c r="A25" s="6" t="s">
        <v>104</v>
      </c>
      <c r="B25" s="6" t="s">
        <v>75</v>
      </c>
      <c r="C25" s="6" t="s">
        <v>11</v>
      </c>
      <c r="D25" s="7" t="s">
        <v>105</v>
      </c>
      <c r="E25" s="8" t="s">
        <v>106</v>
      </c>
      <c r="F25" s="6" t="s">
        <v>107</v>
      </c>
      <c r="G25" s="9" t="s">
        <v>701</v>
      </c>
      <c r="H25" s="10">
        <v>24</v>
      </c>
      <c r="I25" s="11" t="s">
        <v>702</v>
      </c>
      <c r="J25" s="12"/>
    </row>
    <row r="26" spans="1:10" ht="60" customHeight="1" x14ac:dyDescent="0.3">
      <c r="A26" s="6" t="s">
        <v>108</v>
      </c>
      <c r="B26" s="6" t="s">
        <v>15</v>
      </c>
      <c r="C26" s="6" t="s">
        <v>11</v>
      </c>
      <c r="D26" s="7" t="s">
        <v>109</v>
      </c>
      <c r="E26" s="8" t="s">
        <v>110</v>
      </c>
      <c r="F26" s="6" t="s">
        <v>111</v>
      </c>
      <c r="G26" s="9" t="s">
        <v>679</v>
      </c>
      <c r="H26" s="10">
        <v>25</v>
      </c>
      <c r="I26" s="11" t="s">
        <v>678</v>
      </c>
      <c r="J26" s="12"/>
    </row>
    <row r="27" spans="1:10" ht="60" customHeight="1" x14ac:dyDescent="0.3">
      <c r="A27" s="6" t="s">
        <v>91</v>
      </c>
      <c r="B27" s="6" t="s">
        <v>24</v>
      </c>
      <c r="C27" s="6" t="s">
        <v>11</v>
      </c>
      <c r="D27" s="7" t="s">
        <v>112</v>
      </c>
      <c r="E27" s="8" t="s">
        <v>113</v>
      </c>
      <c r="F27" s="6" t="s">
        <v>114</v>
      </c>
      <c r="G27" s="9" t="s">
        <v>711</v>
      </c>
      <c r="H27" s="10">
        <v>26</v>
      </c>
      <c r="I27" s="11" t="s">
        <v>683</v>
      </c>
      <c r="J27" s="12"/>
    </row>
    <row r="28" spans="1:10" ht="60" customHeight="1" x14ac:dyDescent="0.3">
      <c r="A28" s="6" t="s">
        <v>115</v>
      </c>
      <c r="B28" s="6" t="s">
        <v>86</v>
      </c>
      <c r="C28" s="6" t="s">
        <v>11</v>
      </c>
      <c r="D28" s="7" t="s">
        <v>92</v>
      </c>
      <c r="E28" s="8" t="s">
        <v>116</v>
      </c>
      <c r="F28" s="6" t="s">
        <v>117</v>
      </c>
      <c r="G28" s="9" t="s">
        <v>710</v>
      </c>
      <c r="H28" s="10">
        <v>27</v>
      </c>
      <c r="I28" s="11" t="s">
        <v>696</v>
      </c>
      <c r="J28" s="12"/>
    </row>
    <row r="29" spans="1:10" ht="60" customHeight="1" x14ac:dyDescent="0.3">
      <c r="A29" s="6" t="s">
        <v>118</v>
      </c>
      <c r="B29" s="6" t="s">
        <v>24</v>
      </c>
      <c r="C29" s="6" t="s">
        <v>11</v>
      </c>
      <c r="D29" s="7" t="s">
        <v>119</v>
      </c>
      <c r="E29" s="8" t="s">
        <v>120</v>
      </c>
      <c r="F29" s="6" t="s">
        <v>121</v>
      </c>
      <c r="G29" s="9" t="s">
        <v>303</v>
      </c>
      <c r="H29" s="10">
        <v>28</v>
      </c>
      <c r="I29" s="11" t="s">
        <v>681</v>
      </c>
      <c r="J29" s="12"/>
    </row>
    <row r="30" spans="1:10" ht="60" customHeight="1" x14ac:dyDescent="0.3">
      <c r="A30" s="6" t="s">
        <v>122</v>
      </c>
      <c r="B30" s="6" t="s">
        <v>71</v>
      </c>
      <c r="C30" s="6" t="s">
        <v>11</v>
      </c>
      <c r="D30" s="7" t="s">
        <v>123</v>
      </c>
      <c r="E30" s="8" t="s">
        <v>124</v>
      </c>
      <c r="F30" s="6" t="s">
        <v>125</v>
      </c>
      <c r="G30" s="9" t="s">
        <v>711</v>
      </c>
      <c r="H30" s="10">
        <v>27</v>
      </c>
      <c r="I30" s="11" t="s">
        <v>683</v>
      </c>
      <c r="J30" s="12"/>
    </row>
    <row r="31" spans="1:10" ht="60" customHeight="1" x14ac:dyDescent="0.3">
      <c r="A31" s="6" t="s">
        <v>126</v>
      </c>
      <c r="B31" s="6" t="s">
        <v>24</v>
      </c>
      <c r="C31" s="6" t="s">
        <v>11</v>
      </c>
      <c r="D31" s="7" t="s">
        <v>127</v>
      </c>
      <c r="E31" s="8" t="s">
        <v>128</v>
      </c>
      <c r="F31" s="6" t="s">
        <v>129</v>
      </c>
      <c r="G31" s="9" t="s">
        <v>701</v>
      </c>
      <c r="H31" s="10">
        <v>30</v>
      </c>
      <c r="I31" s="11" t="s">
        <v>702</v>
      </c>
      <c r="J31" s="12"/>
    </row>
    <row r="32" spans="1:10" ht="60" customHeight="1" x14ac:dyDescent="0.3">
      <c r="A32" s="6" t="s">
        <v>96</v>
      </c>
      <c r="B32" s="6" t="s">
        <v>15</v>
      </c>
      <c r="C32" s="6" t="s">
        <v>11</v>
      </c>
      <c r="D32" s="7" t="s">
        <v>130</v>
      </c>
      <c r="E32" s="8" t="s">
        <v>131</v>
      </c>
      <c r="F32" s="6" t="s">
        <v>132</v>
      </c>
      <c r="G32" s="9" t="s">
        <v>703</v>
      </c>
      <c r="H32" s="10">
        <v>31</v>
      </c>
      <c r="I32" s="11" t="s">
        <v>678</v>
      </c>
      <c r="J32" s="12"/>
    </row>
    <row r="33" spans="1:10" ht="60" customHeight="1" x14ac:dyDescent="0.3">
      <c r="A33" s="6" t="s">
        <v>133</v>
      </c>
      <c r="B33" s="6" t="s">
        <v>36</v>
      </c>
      <c r="C33" s="6" t="s">
        <v>11</v>
      </c>
      <c r="D33" s="7" t="s">
        <v>134</v>
      </c>
      <c r="E33" s="8" t="s">
        <v>135</v>
      </c>
      <c r="F33" s="6" t="s">
        <v>136</v>
      </c>
      <c r="G33" s="9" t="s">
        <v>704</v>
      </c>
      <c r="H33" s="10">
        <v>32</v>
      </c>
      <c r="I33" s="11" t="s">
        <v>696</v>
      </c>
      <c r="J33" s="12"/>
    </row>
    <row r="34" spans="1:10" ht="60" customHeight="1" x14ac:dyDescent="0.3">
      <c r="A34" s="6" t="s">
        <v>137</v>
      </c>
      <c r="B34" s="6" t="s">
        <v>16</v>
      </c>
      <c r="C34" s="6" t="s">
        <v>11</v>
      </c>
      <c r="D34" s="7" t="s">
        <v>138</v>
      </c>
      <c r="E34" s="8" t="s">
        <v>139</v>
      </c>
      <c r="F34" s="6" t="s">
        <v>140</v>
      </c>
      <c r="G34" s="9" t="s">
        <v>706</v>
      </c>
      <c r="H34" s="10">
        <v>33</v>
      </c>
      <c r="I34" s="11" t="s">
        <v>705</v>
      </c>
      <c r="J34" s="12"/>
    </row>
    <row r="35" spans="1:10" ht="60" customHeight="1" x14ac:dyDescent="0.3">
      <c r="A35" s="6" t="s">
        <v>141</v>
      </c>
      <c r="B35" s="6" t="s">
        <v>24</v>
      </c>
      <c r="C35" s="6" t="s">
        <v>11</v>
      </c>
      <c r="D35" s="7" t="s">
        <v>142</v>
      </c>
      <c r="E35" s="8" t="s">
        <v>143</v>
      </c>
      <c r="F35" s="6" t="s">
        <v>144</v>
      </c>
      <c r="G35" s="9" t="s">
        <v>399</v>
      </c>
      <c r="H35" s="10">
        <v>34</v>
      </c>
      <c r="I35" s="11" t="s">
        <v>695</v>
      </c>
      <c r="J35" s="12"/>
    </row>
    <row r="36" spans="1:10" ht="60" customHeight="1" x14ac:dyDescent="0.3">
      <c r="A36" s="6" t="s">
        <v>145</v>
      </c>
      <c r="B36" s="6" t="s">
        <v>47</v>
      </c>
      <c r="C36" s="6" t="s">
        <v>11</v>
      </c>
      <c r="D36" s="7" t="s">
        <v>146</v>
      </c>
      <c r="E36" s="8" t="s">
        <v>147</v>
      </c>
      <c r="F36" s="6" t="s">
        <v>148</v>
      </c>
      <c r="G36" s="9" t="s">
        <v>717</v>
      </c>
      <c r="H36" s="10">
        <v>35</v>
      </c>
      <c r="I36" s="11" t="s">
        <v>697</v>
      </c>
      <c r="J36" s="12"/>
    </row>
    <row r="37" spans="1:10" ht="60" customHeight="1" x14ac:dyDescent="0.3">
      <c r="A37" s="6" t="s">
        <v>149</v>
      </c>
      <c r="B37" s="6" t="s">
        <v>16</v>
      </c>
      <c r="C37" s="6" t="s">
        <v>11</v>
      </c>
      <c r="D37" s="7" t="s">
        <v>150</v>
      </c>
      <c r="E37" s="8" t="s">
        <v>151</v>
      </c>
      <c r="F37" s="6" t="s">
        <v>152</v>
      </c>
      <c r="G37" s="9" t="s">
        <v>677</v>
      </c>
      <c r="H37" s="10">
        <v>36</v>
      </c>
      <c r="I37" s="11" t="s">
        <v>676</v>
      </c>
      <c r="J37" s="12"/>
    </row>
    <row r="38" spans="1:10" ht="60" customHeight="1" x14ac:dyDescent="0.3">
      <c r="A38" s="6" t="s">
        <v>153</v>
      </c>
      <c r="B38" s="6" t="s">
        <v>16</v>
      </c>
      <c r="C38" s="6" t="s">
        <v>11</v>
      </c>
      <c r="D38" s="7" t="s">
        <v>154</v>
      </c>
      <c r="E38" s="8" t="s">
        <v>155</v>
      </c>
      <c r="F38" s="6" t="s">
        <v>156</v>
      </c>
      <c r="G38" s="9" t="s">
        <v>715</v>
      </c>
      <c r="H38" s="10">
        <v>37</v>
      </c>
      <c r="I38" s="11" t="s">
        <v>716</v>
      </c>
      <c r="J38" s="12"/>
    </row>
    <row r="39" spans="1:10" ht="60" customHeight="1" x14ac:dyDescent="0.3">
      <c r="A39" s="6" t="s">
        <v>157</v>
      </c>
      <c r="B39" s="6" t="s">
        <v>20</v>
      </c>
      <c r="C39" s="6" t="s">
        <v>11</v>
      </c>
      <c r="D39" s="7" t="s">
        <v>83</v>
      </c>
      <c r="E39" s="8" t="s">
        <v>158</v>
      </c>
      <c r="F39" s="6" t="s">
        <v>159</v>
      </c>
      <c r="G39" s="9" t="s">
        <v>363</v>
      </c>
      <c r="H39" s="10">
        <v>38</v>
      </c>
      <c r="I39" s="11" t="s">
        <v>696</v>
      </c>
      <c r="J39" s="12"/>
    </row>
    <row r="40" spans="1:10" ht="60" customHeight="1" x14ac:dyDescent="0.3">
      <c r="A40" s="6" t="s">
        <v>160</v>
      </c>
      <c r="B40" s="6" t="s">
        <v>55</v>
      </c>
      <c r="C40" s="6" t="s">
        <v>11</v>
      </c>
      <c r="D40" s="7" t="s">
        <v>92</v>
      </c>
      <c r="E40" s="8" t="s">
        <v>161</v>
      </c>
      <c r="F40" s="6" t="s">
        <v>162</v>
      </c>
      <c r="G40" s="9" t="s">
        <v>369</v>
      </c>
      <c r="H40" s="10">
        <v>39</v>
      </c>
      <c r="I40" s="11" t="s">
        <v>681</v>
      </c>
      <c r="J40" s="12"/>
    </row>
    <row r="41" spans="1:10" ht="60" customHeight="1" x14ac:dyDescent="0.3">
      <c r="A41" s="6" t="s">
        <v>163</v>
      </c>
      <c r="B41" s="6" t="s">
        <v>40</v>
      </c>
      <c r="C41" s="6" t="s">
        <v>11</v>
      </c>
      <c r="D41" s="7" t="s">
        <v>83</v>
      </c>
      <c r="E41" s="8" t="s">
        <v>164</v>
      </c>
      <c r="F41" s="6" t="s">
        <v>165</v>
      </c>
      <c r="G41" s="9" t="s">
        <v>677</v>
      </c>
      <c r="H41" s="10">
        <v>37</v>
      </c>
      <c r="I41" s="11" t="s">
        <v>676</v>
      </c>
      <c r="J41" s="12"/>
    </row>
    <row r="42" spans="1:10" ht="60" customHeight="1" x14ac:dyDescent="0.3">
      <c r="A42" s="6" t="s">
        <v>166</v>
      </c>
      <c r="B42" s="6" t="s">
        <v>16</v>
      </c>
      <c r="C42" s="6" t="s">
        <v>11</v>
      </c>
      <c r="D42" s="7" t="s">
        <v>167</v>
      </c>
      <c r="E42" s="8" t="s">
        <v>168</v>
      </c>
      <c r="F42" s="6" t="s">
        <v>169</v>
      </c>
      <c r="G42" s="9" t="s">
        <v>712</v>
      </c>
      <c r="H42" s="10">
        <v>38</v>
      </c>
      <c r="I42" s="11" t="s">
        <v>713</v>
      </c>
      <c r="J42" s="12"/>
    </row>
    <row r="43" spans="1:10" ht="60" customHeight="1" x14ac:dyDescent="0.3">
      <c r="A43" s="6" t="s">
        <v>170</v>
      </c>
      <c r="B43" s="6" t="s">
        <v>71</v>
      </c>
      <c r="C43" s="6" t="s">
        <v>11</v>
      </c>
      <c r="D43" s="7" t="s">
        <v>171</v>
      </c>
      <c r="E43" s="8" t="s">
        <v>172</v>
      </c>
      <c r="F43" s="6" t="s">
        <v>173</v>
      </c>
      <c r="G43" s="9" t="s">
        <v>369</v>
      </c>
      <c r="H43" s="10">
        <v>36</v>
      </c>
      <c r="I43" s="11" t="s">
        <v>681</v>
      </c>
      <c r="J43" s="12"/>
    </row>
    <row r="44" spans="1:10" ht="60" customHeight="1" x14ac:dyDescent="0.3">
      <c r="A44" s="6" t="s">
        <v>174</v>
      </c>
      <c r="B44" s="6" t="s">
        <v>55</v>
      </c>
      <c r="C44" s="6" t="s">
        <v>11</v>
      </c>
      <c r="D44" s="7" t="s">
        <v>175</v>
      </c>
      <c r="E44" s="8" t="s">
        <v>176</v>
      </c>
      <c r="F44" s="6" t="s">
        <v>177</v>
      </c>
      <c r="G44" s="9" t="s">
        <v>677</v>
      </c>
      <c r="H44" s="10">
        <v>43</v>
      </c>
      <c r="I44" s="11" t="s">
        <v>676</v>
      </c>
      <c r="J44" s="12"/>
    </row>
    <row r="45" spans="1:10" ht="60" customHeight="1" x14ac:dyDescent="0.3">
      <c r="A45" s="6" t="s">
        <v>178</v>
      </c>
      <c r="B45" s="6" t="s">
        <v>90</v>
      </c>
      <c r="C45" s="6" t="s">
        <v>11</v>
      </c>
      <c r="D45" s="7" t="s">
        <v>179</v>
      </c>
      <c r="E45" s="8" t="s">
        <v>180</v>
      </c>
      <c r="F45" s="6" t="s">
        <v>181</v>
      </c>
      <c r="G45" s="9" t="s">
        <v>708</v>
      </c>
      <c r="H45" s="10">
        <v>44</v>
      </c>
      <c r="I45" s="11" t="s">
        <v>707</v>
      </c>
      <c r="J45" s="12"/>
    </row>
    <row r="46" spans="1:10" ht="60" customHeight="1" x14ac:dyDescent="0.3">
      <c r="A46" s="6" t="s">
        <v>182</v>
      </c>
      <c r="B46" s="6" t="s">
        <v>63</v>
      </c>
      <c r="C46" s="6" t="s">
        <v>11</v>
      </c>
      <c r="D46" s="7" t="s">
        <v>183</v>
      </c>
      <c r="E46" s="8" t="s">
        <v>184</v>
      </c>
      <c r="F46" s="6" t="s">
        <v>185</v>
      </c>
      <c r="G46" s="9" t="s">
        <v>709</v>
      </c>
      <c r="H46" s="10">
        <v>44</v>
      </c>
      <c r="I46" s="11" t="s">
        <v>676</v>
      </c>
      <c r="J46" s="12"/>
    </row>
    <row r="47" spans="1:10" ht="60" customHeight="1" x14ac:dyDescent="0.3">
      <c r="A47" s="6" t="s">
        <v>186</v>
      </c>
      <c r="B47" s="6" t="s">
        <v>20</v>
      </c>
      <c r="C47" s="6" t="s">
        <v>11</v>
      </c>
      <c r="D47" s="7" t="s">
        <v>187</v>
      </c>
      <c r="E47" s="8" t="s">
        <v>188</v>
      </c>
      <c r="F47" s="6" t="s">
        <v>189</v>
      </c>
      <c r="G47" s="9" t="s">
        <v>718</v>
      </c>
      <c r="H47" s="10">
        <v>43</v>
      </c>
      <c r="I47" s="11" t="s">
        <v>705</v>
      </c>
      <c r="J4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4"/>
  <sheetViews>
    <sheetView workbookViewId="0">
      <pane xSplit="1" ySplit="1" topLeftCell="B838" activePane="bottomRight" state="frozen"/>
      <selection pane="topRight" activeCell="B1" sqref="B1"/>
      <selection pane="bottomLeft" activeCell="A2" sqref="A2"/>
      <selection pane="bottomRight" activeCell="L858" sqref="L858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190</v>
      </c>
      <c r="B1" s="13" t="s">
        <v>191</v>
      </c>
      <c r="C1" s="13" t="s">
        <v>192</v>
      </c>
      <c r="D1" s="13" t="s">
        <v>193</v>
      </c>
      <c r="E1" s="14" t="s">
        <v>194</v>
      </c>
      <c r="F1" s="15" t="s">
        <v>195</v>
      </c>
      <c r="G1" s="16" t="s">
        <v>196</v>
      </c>
      <c r="H1" s="17" t="s">
        <v>197</v>
      </c>
      <c r="I1" s="18" t="s">
        <v>198</v>
      </c>
      <c r="J1" s="18" t="s">
        <v>199</v>
      </c>
      <c r="K1" s="18" t="s">
        <v>200</v>
      </c>
      <c r="L1" s="19" t="s">
        <v>9</v>
      </c>
    </row>
    <row r="2" spans="1:12" x14ac:dyDescent="0.3">
      <c r="A2" t="s">
        <v>201</v>
      </c>
    </row>
    <row r="3" spans="1:12" x14ac:dyDescent="0.3">
      <c r="A3" t="s">
        <v>12</v>
      </c>
      <c r="B3" s="20" t="s">
        <v>202</v>
      </c>
      <c r="C3" s="20" t="s">
        <v>203</v>
      </c>
      <c r="E3" s="21" t="str">
        <f t="shared" ref="E3:E14" si="0">IF(D3="?OLD","!!!","")</f>
        <v/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4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204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205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206</v>
      </c>
      <c r="B6" s="20" t="s">
        <v>207</v>
      </c>
      <c r="C6" s="20" t="s">
        <v>208</v>
      </c>
      <c r="E6" s="21"/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209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210</v>
      </c>
      <c r="B8" s="20" t="s">
        <v>211</v>
      </c>
      <c r="C8" s="20" t="s">
        <v>203</v>
      </c>
      <c r="E8" s="21" t="s">
        <v>600</v>
      </c>
      <c r="F8" s="22" t="str">
        <f>IF(OR(E8="",E8="!!!"),"",IF(NOT(ISNA(VLOOKUP(E8,E$1:E7,1,FALSE()))),"OLD",IF(AND(E8&lt;&gt;"",E8&lt;&gt;"!!!"),"NEW","")))</f>
        <v>NEW</v>
      </c>
      <c r="G8" s="23" t="s">
        <v>604</v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212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213</v>
      </c>
      <c r="B10" s="20" t="s">
        <v>214</v>
      </c>
      <c r="C10" s="20" t="s">
        <v>203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215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216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217</v>
      </c>
      <c r="B13" s="20" t="s">
        <v>207</v>
      </c>
      <c r="C13" s="20" t="s">
        <v>203</v>
      </c>
      <c r="E13" s="21" t="s">
        <v>605</v>
      </c>
      <c r="F13" s="22" t="str">
        <f>IF(OR(E13="",E13="!!!"),"",IF(NOT(ISNA(VLOOKUP(E13,E$1:E12,1,FALSE()))),"OLD",IF(AND(E13&lt;&gt;"",E13&lt;&gt;"!!!"),"NEW","")))</f>
        <v>NEW</v>
      </c>
      <c r="G13" s="23" t="s">
        <v>604</v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205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6" spans="1:12" x14ac:dyDescent="0.3">
      <c r="A16" t="s">
        <v>218</v>
      </c>
    </row>
    <row r="17" spans="1:12" x14ac:dyDescent="0.3">
      <c r="A17" t="s">
        <v>219</v>
      </c>
      <c r="E17" s="21" t="str">
        <f t="shared" ref="E17:E32" si="2">IF(D17="?OLD","!!!","")</f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ref="H17:H32" ca="1" si="3">IF(J17&lt;&gt;1,"",IF(I17="SBJ","CB","?"))</f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217</v>
      </c>
      <c r="B18" s="20" t="s">
        <v>220</v>
      </c>
      <c r="C18" s="20" t="s">
        <v>203</v>
      </c>
      <c r="E18" s="21" t="s">
        <v>605</v>
      </c>
      <c r="F18" s="22" t="str">
        <f>IF(OR(E18="",E18="!!!"),"",IF(NOT(ISNA(VLOOKUP(E18,E$1:E17,1,FALSE()))),"OLD",IF(AND(E18&lt;&gt;"",E18&lt;&gt;"!!!"),"NEW","")))</f>
        <v>OLD</v>
      </c>
      <c r="G18" s="23" t="s">
        <v>669</v>
      </c>
      <c r="H18" s="24" t="str">
        <f t="shared" ca="1" si="3"/>
        <v/>
      </c>
      <c r="I18" s="25" t="str">
        <f>IF(OR(E18="",E18="!!!",F18="NEW"),"",INDEX(B$2:B17,-1+SUMPRODUCT(MAX(ROW(E$2:E17)*(E18=E$2:E17)))))</f>
        <v>other_3</v>
      </c>
      <c r="J18" s="25">
        <f ca="1">IF(OR(E18="",E18="!!!",F18="NEW"),"",COUNTBLANK(OFFSET(A$1,,,SUMPRODUCT(MAX(ROW(E$2:E18)*(E18=E$2:E18)))))-COUNTBLANK(OFFSET(A$1,,,SUMPRODUCT(MAX(ROW(E$1:E17)*(E2=E$1:E17))))))</f>
        <v>0</v>
      </c>
      <c r="K18" s="25" t="str">
        <f ca="1">IF(OR(E18="",E18="!!!",F18="NEW"),"",INDEX(J$1:J17,SUMPRODUCT(MAX(ROW(E$1:E17)*(E18=E$1:E17)))))</f>
        <v/>
      </c>
      <c r="L18" s="26"/>
    </row>
    <row r="19" spans="1:12" x14ac:dyDescent="0.3">
      <c r="A19" t="s">
        <v>221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222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223</v>
      </c>
      <c r="B21" s="20" t="s">
        <v>202</v>
      </c>
      <c r="C21" s="20" t="s">
        <v>203</v>
      </c>
      <c r="E21" s="21" t="s">
        <v>658</v>
      </c>
      <c r="F21" s="22" t="str">
        <f>IF(OR(E21="",E21="!!!"),"",IF(NOT(ISNA(VLOOKUP(E21,E$1:E20,1,FALSE()))),"OLD",IF(AND(E21&lt;&gt;"",E21&lt;&gt;"!!!"),"NEW","")))</f>
        <v>NEW</v>
      </c>
      <c r="G21" s="23" t="s">
        <v>603</v>
      </c>
      <c r="H21" s="24" t="s">
        <v>197</v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224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225</v>
      </c>
      <c r="B23" s="20" t="s">
        <v>226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227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228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224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229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230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231</v>
      </c>
      <c r="B29" s="20" t="s">
        <v>232</v>
      </c>
      <c r="C29" s="20" t="s">
        <v>208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/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233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234</v>
      </c>
      <c r="B31" s="20" t="s">
        <v>202</v>
      </c>
      <c r="C31" s="20" t="s">
        <v>235</v>
      </c>
      <c r="D31" s="20" t="s">
        <v>236</v>
      </c>
      <c r="E31" s="21"/>
      <c r="F31" s="22" t="s">
        <v>601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237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4" spans="1:12" x14ac:dyDescent="0.3">
      <c r="A34" t="s">
        <v>238</v>
      </c>
    </row>
    <row r="35" spans="1:12" x14ac:dyDescent="0.3">
      <c r="A35" t="s">
        <v>239</v>
      </c>
      <c r="E35" s="21" t="str">
        <f t="shared" ref="E35:E45" si="4">IF(D35="?OLD","!!!","")</f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ref="H35:H45" ca="1" si="5">IF(J35&lt;&gt;1,"",IF(I35="SBJ","CB","?"))</f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240</v>
      </c>
      <c r="B36" s="20" t="s">
        <v>211</v>
      </c>
      <c r="C36" s="20" t="s">
        <v>241</v>
      </c>
      <c r="D36" s="20" t="s">
        <v>236</v>
      </c>
      <c r="E36" s="21" t="s">
        <v>658</v>
      </c>
      <c r="F36" s="22" t="str">
        <f>IF(OR(E36="",E36="!!!"),"",IF(NOT(ISNA(VLOOKUP(E36,E$1:E35,1,FALSE()))),"OLD",IF(AND(E36&lt;&gt;"",E36&lt;&gt;"!!!"),"NEW","")))</f>
        <v>OLD</v>
      </c>
      <c r="G36" s="23" t="s">
        <v>603</v>
      </c>
      <c r="H36" s="24" t="s">
        <v>197</v>
      </c>
      <c r="I36" s="25" t="str">
        <f>IF(OR(E36="",E36="!!!",F36="NEW"),"",INDEX(B$2:B35,-1+SUMPRODUCT(MAX(ROW(E$2:E35)*(E36=E$2:E35)))))</f>
        <v>other</v>
      </c>
      <c r="J36" s="25">
        <f ca="1">IF(OR(E36="",E36="!!!",F36="NEW"),"",COUNTBLANK(OFFSET(A$1,,,SUMPRODUCT(MAX(ROW(E$2:E36)*(E36=E$2:E36)))))-COUNTBLANK(OFFSET(A$1,,,SUMPRODUCT(MAX(ROW(E$1:E35)*(E2=E$1:E35))))))</f>
        <v>0</v>
      </c>
      <c r="K36" s="25" t="str">
        <f ca="1">IF(OR(E36="",E36="!!!",F36="NEW"),"",INDEX(J$1:J35,SUMPRODUCT(MAX(ROW(E$1:E35)*(E36=E$1:E35)))))</f>
        <v/>
      </c>
      <c r="L36" s="26"/>
    </row>
    <row r="37" spans="1:12" x14ac:dyDescent="0.3">
      <c r="A37" t="s">
        <v>242</v>
      </c>
      <c r="E37" s="21" t="str">
        <f t="shared" si="4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5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243</v>
      </c>
      <c r="B38" s="20" t="s">
        <v>232</v>
      </c>
      <c r="C38" s="20" t="s">
        <v>244</v>
      </c>
      <c r="D38" s="20" t="s">
        <v>236</v>
      </c>
      <c r="E38" s="21" t="s">
        <v>602</v>
      </c>
      <c r="F38" s="22" t="str">
        <f>IF(OR(E38="",E38="!!!"),"",IF(NOT(ISNA(VLOOKUP(E38,E$1:E37,1,FALSE()))),"OLD",IF(AND(E38&lt;&gt;"",E38&lt;&gt;"!!!"),"NEW","")))</f>
        <v>NEW</v>
      </c>
      <c r="G38" s="23" t="s">
        <v>604</v>
      </c>
      <c r="H38" s="24" t="str">
        <f t="shared" ca="1" si="5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245</v>
      </c>
      <c r="E39" s="21" t="str">
        <f t="shared" si="4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5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224</v>
      </c>
      <c r="E40" s="21" t="str">
        <f t="shared" si="4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5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246</v>
      </c>
      <c r="E41" s="21" t="str">
        <f t="shared" si="4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5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240</v>
      </c>
      <c r="B42" s="20" t="s">
        <v>220</v>
      </c>
      <c r="C42" s="20" t="s">
        <v>241</v>
      </c>
      <c r="D42" s="20" t="s">
        <v>236</v>
      </c>
      <c r="E42" s="21" t="s">
        <v>658</v>
      </c>
      <c r="F42" s="22" t="str">
        <f>IF(OR(E42="",E42="!!!"),"",IF(NOT(ISNA(VLOOKUP(E42,E$1:E41,1,FALSE()))),"OLD",IF(AND(E42&lt;&gt;"",E42&lt;&gt;"!!!"),"NEW","")))</f>
        <v>OLD</v>
      </c>
      <c r="G42" s="23" t="s">
        <v>603</v>
      </c>
      <c r="H42" s="24" t="str">
        <f t="shared" ca="1" si="5"/>
        <v/>
      </c>
      <c r="I42" s="25" t="str">
        <f>IF(OR(E42="",E42="!!!",F42="NEW"),"",INDEX(B$2:B41,-1+SUMPRODUCT(MAX(ROW(E$2:E41)*(E42=E$2:E41)))))</f>
        <v>SBJ_2</v>
      </c>
      <c r="J42" s="25">
        <f ca="1">IF(OR(E42="",E42="!!!",F42="NEW"),"",COUNTBLANK(OFFSET(A$1,,,SUMPRODUCT(MAX(ROW(E$2:E42)*(E42=E$2:E42)))))-COUNTBLANK(OFFSET(A$1,,,SUMPRODUCT(MAX(ROW(E$1:E41)*(E2=E$1:E41))))))</f>
        <v>0</v>
      </c>
      <c r="K42" s="25">
        <f ca="1">IF(OR(E42="",E42="!!!",F42="NEW"),"",INDEX(J$1:J41,SUMPRODUCT(MAX(ROW(E$1:E41)*(E42=E$1:E41)))))</f>
        <v>0</v>
      </c>
      <c r="L42" s="26"/>
    </row>
    <row r="43" spans="1:12" x14ac:dyDescent="0.3">
      <c r="A43" t="s">
        <v>247</v>
      </c>
      <c r="E43" s="21" t="str">
        <f t="shared" si="4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5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248</v>
      </c>
      <c r="E44" s="21" t="str">
        <f t="shared" si="4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5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237</v>
      </c>
      <c r="E45" s="21" t="str">
        <f t="shared" si="4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5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7" spans="1:12" x14ac:dyDescent="0.3">
      <c r="A47" t="s">
        <v>249</v>
      </c>
    </row>
    <row r="48" spans="1:12" x14ac:dyDescent="0.3">
      <c r="A48" t="s">
        <v>250</v>
      </c>
      <c r="E48" s="21" t="str">
        <f>IF(D48="?OLD","!!!","")</f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ca="1">IF(J48&lt;&gt;1,"",IF(I48="SBJ","CB","?"))</f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251</v>
      </c>
      <c r="B49" s="20" t="s">
        <v>220</v>
      </c>
      <c r="C49" s="20" t="s">
        <v>252</v>
      </c>
      <c r="E49" s="21" t="s">
        <v>616</v>
      </c>
      <c r="F49" s="22" t="str">
        <f>IF(OR(E49="",E49="!!!"),"",IF(NOT(ISNA(VLOOKUP(E49,E$1:E48,1,FALSE()))),"OLD",IF(AND(E49&lt;&gt;"",E49&lt;&gt;"!!!"),"NEW","")))</f>
        <v>NEW</v>
      </c>
      <c r="G49" s="23" t="s">
        <v>670</v>
      </c>
      <c r="H49" s="24" t="str">
        <f ca="1">IF(J49&lt;&gt;1,"",IF(I49="SBJ","CB","?"))</f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 t="s">
        <v>654</v>
      </c>
    </row>
    <row r="50" spans="1:12" x14ac:dyDescent="0.3">
      <c r="A50" t="s">
        <v>253</v>
      </c>
      <c r="E50" s="21" t="str">
        <f>IF(D50="?OLD","!!!","")</f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ca="1">IF(J50&lt;&gt;1,"",IF(I50="SBJ","CB","?"))</f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254</v>
      </c>
      <c r="B51" s="20" t="s">
        <v>255</v>
      </c>
      <c r="C51" s="20" t="s">
        <v>203</v>
      </c>
      <c r="E51" s="21" t="str">
        <f>IF(D51="?OLD","!!!","")</f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ca="1">IF(J51&lt;&gt;1,"",IF(I51="SBJ","CB","?"))</f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237</v>
      </c>
      <c r="E52" s="21" t="str">
        <f>IF(D52="?OLD","!!!","")</f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ca="1">IF(J52&lt;&gt;1,"",IF(I52="SBJ","CB","?"))</f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4" spans="1:12" x14ac:dyDescent="0.3">
      <c r="A54" t="s">
        <v>256</v>
      </c>
    </row>
    <row r="55" spans="1:12" x14ac:dyDescent="0.3">
      <c r="A55" t="s">
        <v>257</v>
      </c>
      <c r="E55" s="21" t="str">
        <f t="shared" ref="E55:E62" si="6">IF(D55="?OLD","!!!","")</f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ref="H55:H62" ca="1" si="7">IF(J55&lt;&gt;1,"",IF(I55="SBJ","CB","?"))</f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258</v>
      </c>
      <c r="E56" s="21" t="str">
        <f t="shared" si="6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7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259</v>
      </c>
      <c r="E57" s="21" t="str">
        <f t="shared" si="6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7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260</v>
      </c>
      <c r="B58" s="20" t="s">
        <v>202</v>
      </c>
      <c r="C58" s="20" t="s">
        <v>252</v>
      </c>
      <c r="E58" s="21" t="s">
        <v>655</v>
      </c>
      <c r="F58" s="22" t="s">
        <v>657</v>
      </c>
      <c r="G58" s="23" t="s">
        <v>670</v>
      </c>
      <c r="H58" s="24" t="str">
        <f t="shared" ca="1" si="7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 t="s">
        <v>623</v>
      </c>
    </row>
    <row r="59" spans="1:12" x14ac:dyDescent="0.3">
      <c r="A59" t="s">
        <v>29</v>
      </c>
      <c r="E59" s="21" t="str">
        <f t="shared" si="6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7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261</v>
      </c>
      <c r="E60" s="21" t="str">
        <f t="shared" si="6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7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223</v>
      </c>
      <c r="B61" s="20" t="s">
        <v>220</v>
      </c>
      <c r="C61" s="20" t="s">
        <v>262</v>
      </c>
      <c r="E61" s="21" t="s">
        <v>606</v>
      </c>
      <c r="F61" s="22" t="str">
        <f>IF(OR(E61="",E61="!!!"),"",IF(NOT(ISNA(VLOOKUP(E61,E$1:E60,1,FALSE()))),"OLD",IF(AND(E61&lt;&gt;"",E61&lt;&gt;"!!!"),"NEW","")))</f>
        <v>NEW</v>
      </c>
      <c r="G61" s="23" t="s">
        <v>195</v>
      </c>
      <c r="H61" s="24" t="str">
        <f t="shared" ca="1" si="7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 t="s">
        <v>654</v>
      </c>
    </row>
    <row r="62" spans="1:12" x14ac:dyDescent="0.3">
      <c r="A62" t="s">
        <v>237</v>
      </c>
      <c r="E62" s="21" t="str">
        <f t="shared" si="6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7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4" spans="1:12" x14ac:dyDescent="0.3">
      <c r="A64" t="s">
        <v>263</v>
      </c>
    </row>
    <row r="65" spans="1:12" x14ac:dyDescent="0.3">
      <c r="A65" t="s">
        <v>206</v>
      </c>
      <c r="B65" s="20" t="s">
        <v>220</v>
      </c>
      <c r="C65" s="20" t="s">
        <v>208</v>
      </c>
      <c r="E65" s="21" t="s">
        <v>606</v>
      </c>
      <c r="F65" s="22" t="str">
        <f>IF(OR(E65="",E65="!!!"),"",IF(NOT(ISNA(VLOOKUP(E65,E$1:E64,1,FALSE()))),"OLD",IF(AND(E65&lt;&gt;"",E65&lt;&gt;"!!!"),"NEW","")))</f>
        <v>OLD</v>
      </c>
      <c r="G65" s="23" t="s">
        <v>603</v>
      </c>
      <c r="H65" s="24" t="s">
        <v>197</v>
      </c>
      <c r="I65" s="25" t="str">
        <f>IF(OR(E65="",E65="!!!",F65="NEW"),"",INDEX(B$2:B64,-1+SUMPRODUCT(MAX(ROW(E$2:E64)*(E65=E$2:E64)))))</f>
        <v>SBJ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 t="str">
        <f ca="1">IF(OR(E65="",E65="!!!",F65="NEW"),"",INDEX(J$1:J64,SUMPRODUCT(MAX(ROW(E$1:E64)*(E65=E$1:E64)))))</f>
        <v/>
      </c>
      <c r="L65" s="26"/>
    </row>
    <row r="66" spans="1:12" x14ac:dyDescent="0.3">
      <c r="A66" t="s">
        <v>212</v>
      </c>
      <c r="E66" s="21" t="str">
        <f t="shared" ref="E66:E77" si="8">IF(D66="?OLD","!!!","")</f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ref="H66:H77" ca="1" si="9">IF(J66&lt;&gt;1,"",IF(I66="SBJ","CB","?"))</f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264</v>
      </c>
      <c r="E67" s="21" t="str">
        <f t="shared" si="8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9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265</v>
      </c>
      <c r="B68" s="20" t="s">
        <v>255</v>
      </c>
      <c r="C68" s="20" t="s">
        <v>252</v>
      </c>
      <c r="E68" s="21" t="str">
        <f t="shared" si="8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9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266</v>
      </c>
      <c r="E69" s="21" t="str">
        <f t="shared" si="8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9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224</v>
      </c>
      <c r="E70" s="21" t="str">
        <f t="shared" si="8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9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267</v>
      </c>
      <c r="B71" s="20" t="s">
        <v>211</v>
      </c>
      <c r="E71" s="21" t="str">
        <f t="shared" si="8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9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268</v>
      </c>
      <c r="E72" s="21" t="str">
        <f t="shared" si="8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9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264</v>
      </c>
      <c r="E73" s="21" t="str">
        <f t="shared" si="8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9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269</v>
      </c>
      <c r="B74" s="20" t="s">
        <v>232</v>
      </c>
      <c r="C74" s="20" t="s">
        <v>252</v>
      </c>
      <c r="E74" s="21" t="str">
        <f t="shared" si="8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9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270</v>
      </c>
      <c r="E75" s="21" t="str">
        <f t="shared" si="8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9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271</v>
      </c>
      <c r="E76" s="21" t="str">
        <f t="shared" si="8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9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237</v>
      </c>
      <c r="E77" s="21" t="str">
        <f t="shared" si="8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9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9" spans="1:12" x14ac:dyDescent="0.3">
      <c r="A79" t="s">
        <v>272</v>
      </c>
    </row>
    <row r="80" spans="1:12" x14ac:dyDescent="0.3">
      <c r="A80" t="s">
        <v>273</v>
      </c>
      <c r="B80" s="20" t="s">
        <v>220</v>
      </c>
      <c r="E80" s="21" t="s">
        <v>610</v>
      </c>
      <c r="F80" s="22" t="str">
        <f>IF(OR(E80="",E80="!!!"),"",IF(NOT(ISNA(VLOOKUP(E80,E$1:E79,1,FALSE()))),"OLD",IF(AND(E80&lt;&gt;"",E80&lt;&gt;"!!!"),"NEW","")))</f>
        <v>NEW</v>
      </c>
      <c r="G80" s="23" t="s">
        <v>195</v>
      </c>
      <c r="H80" s="24"/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212</v>
      </c>
      <c r="E81" s="21" t="str">
        <f t="shared" ref="E81:E89" si="10">IF(D81="?OLD","!!!","")</f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ref="H81:H89" ca="1" si="11">IF(J81&lt;&gt;1,"",IF(I81="SBJ","CB","?"))</f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274</v>
      </c>
      <c r="E82" s="21" t="s">
        <v>610</v>
      </c>
      <c r="F82" s="22" t="str">
        <f>IF(OR(E82="",E82="!!!"),"",IF(NOT(ISNA(VLOOKUP(E82,E$1:E81,1,FALSE()))),"OLD",IF(AND(E82&lt;&gt;"",E82&lt;&gt;"!!!"),"NEW","")))</f>
        <v>OLD</v>
      </c>
      <c r="G82" s="23" t="s">
        <v>603</v>
      </c>
      <c r="H82" s="24" t="str">
        <f t="shared" ca="1" si="11"/>
        <v/>
      </c>
      <c r="I82" s="25" t="str">
        <f>IF(OR(E82="",E82="!!!",F82="NEW"),"",INDEX(B$2:B81,-1+SUMPRODUCT(MAX(ROW(E$2:E81)*(E82=E$2:E81)))))</f>
        <v>SBJ</v>
      </c>
      <c r="J82" s="25">
        <f ca="1">IF(OR(E82="",E82="!!!",F82="NEW"),"",COUNTBLANK(OFFSET(A$1,,,SUMPRODUCT(MAX(ROW(E$2:E82)*(E82=E$2:E82)))))-COUNTBLANK(OFFSET(A$1,,,SUMPRODUCT(MAX(ROW(E$1:E81)*(E2=E$1:E81))))))</f>
        <v>0</v>
      </c>
      <c r="K82" s="25" t="str">
        <f ca="1">IF(OR(E82="",E82="!!!",F82="NEW"),"",INDEX(J$1:J81,SUMPRODUCT(MAX(ROW(E$1:E81)*(E82=E$1:E81)))))</f>
        <v/>
      </c>
      <c r="L82" s="26" t="s">
        <v>607</v>
      </c>
    </row>
    <row r="83" spans="1:12" x14ac:dyDescent="0.3">
      <c r="A83" t="s">
        <v>275</v>
      </c>
      <c r="E83" s="21"/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11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276</v>
      </c>
      <c r="B84" s="20" t="s">
        <v>255</v>
      </c>
      <c r="C84" s="20" t="s">
        <v>277</v>
      </c>
      <c r="E84" s="21" t="s">
        <v>611</v>
      </c>
      <c r="F84" s="22" t="str">
        <f>IF(OR(E84="",E84="!!!"),"",IF(NOT(ISNA(VLOOKUP(E84,E$1:E83,1,FALSE()))),"OLD",IF(AND(E84&lt;&gt;"",E84&lt;&gt;"!!!"),"NEW","")))</f>
        <v>NEW</v>
      </c>
      <c r="G84" s="23" t="s">
        <v>670</v>
      </c>
      <c r="H84" s="24" t="str">
        <f t="shared" ca="1" si="11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242</v>
      </c>
      <c r="E85" s="21" t="str">
        <f t="shared" si="10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11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278</v>
      </c>
      <c r="E86" s="21" t="str">
        <f t="shared" si="10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11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279</v>
      </c>
      <c r="B87" s="20" t="s">
        <v>202</v>
      </c>
      <c r="C87" s="20" t="s">
        <v>235</v>
      </c>
      <c r="D87" s="20" t="s">
        <v>236</v>
      </c>
      <c r="E87" s="21"/>
      <c r="F87" s="22" t="s">
        <v>601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11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280</v>
      </c>
      <c r="E88" s="21" t="str">
        <f t="shared" si="10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11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237</v>
      </c>
      <c r="E89" s="21" t="str">
        <f t="shared" si="10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11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1" spans="1:12" x14ac:dyDescent="0.3">
      <c r="A91" t="s">
        <v>281</v>
      </c>
    </row>
    <row r="92" spans="1:12" x14ac:dyDescent="0.3">
      <c r="A92" t="s">
        <v>282</v>
      </c>
      <c r="B92" s="20" t="s">
        <v>220</v>
      </c>
      <c r="C92" s="20" t="s">
        <v>283</v>
      </c>
      <c r="D92" s="20" t="s">
        <v>236</v>
      </c>
      <c r="E92" s="21" t="s">
        <v>611</v>
      </c>
      <c r="F92" s="22" t="str">
        <f>IF(OR(E92="",E92="!!!"),"",IF(NOT(ISNA(VLOOKUP(E92,E$1:E91,1,FALSE()))),"OLD",IF(AND(E92&lt;&gt;"",E92&lt;&gt;"!!!"),"NEW","")))</f>
        <v>OLD</v>
      </c>
      <c r="G92" s="23" t="s">
        <v>669</v>
      </c>
      <c r="H92" s="24" t="s">
        <v>197</v>
      </c>
      <c r="I92" s="25" t="str">
        <f>IF(OR(E92="",E92="!!!",F92="NEW"),"",INDEX(B$2:B91,-1+SUMPRODUCT(MAX(ROW(E$2:E91)*(E92=E$2:E91)))))</f>
        <v>OBJ</v>
      </c>
      <c r="J92" s="25">
        <f ca="1">IF(OR(E92="",E92="!!!",F92="NEW"),"",COUNTBLANK(OFFSET(A$1,,,SUMPRODUCT(MAX(ROW(E$2:E92)*(E92=E$2:E92)))))-COUNTBLANK(OFFSET(A$1,,,SUMPRODUCT(MAX(ROW(E$1:E91)*(E2=E$1:E91))))))</f>
        <v>0</v>
      </c>
      <c r="K92" s="25" t="str">
        <f ca="1">IF(OR(E92="",E92="!!!",F92="NEW"),"",INDEX(J$1:J91,SUMPRODUCT(MAX(ROW(E$1:E91)*(E92=E$1:E91)))))</f>
        <v/>
      </c>
      <c r="L92" s="26"/>
    </row>
    <row r="93" spans="1:12" x14ac:dyDescent="0.3">
      <c r="A93" t="s">
        <v>284</v>
      </c>
      <c r="E93" s="21" t="str">
        <f t="shared" ref="E93:E101" si="12">IF(D93="?OLD","!!!","")</f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ref="H93:H101" ca="1" si="13">IF(J93&lt;&gt;1,"",IF(I93="SBJ","CB","?"))</f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215</v>
      </c>
      <c r="E94" s="21" t="str">
        <f t="shared" si="12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3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259</v>
      </c>
      <c r="E95" s="21" t="str">
        <f t="shared" si="12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3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285</v>
      </c>
      <c r="B96" s="20" t="s">
        <v>202</v>
      </c>
      <c r="C96" s="20" t="s">
        <v>203</v>
      </c>
      <c r="E96" s="21" t="str">
        <f t="shared" si="12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3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286</v>
      </c>
      <c r="E97" s="21" t="str">
        <f t="shared" si="12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3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242</v>
      </c>
      <c r="E98" s="21" t="str">
        <f t="shared" si="12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13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278</v>
      </c>
      <c r="E99" s="21" t="str">
        <f t="shared" si="12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3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287</v>
      </c>
      <c r="B100" s="20" t="s">
        <v>202</v>
      </c>
      <c r="C100" s="20" t="s">
        <v>235</v>
      </c>
      <c r="D100" s="20" t="s">
        <v>236</v>
      </c>
      <c r="E100" s="21" t="s">
        <v>655</v>
      </c>
      <c r="F100" s="22" t="str">
        <f>IF(OR(E100="",E100="!!!"),"",IF(NOT(ISNA(VLOOKUP(E100,E$1:E99,1,FALSE()))),"OLD",IF(AND(E100&lt;&gt;"",E100&lt;&gt;"!!!"),"NEW","")))</f>
        <v>OLD</v>
      </c>
      <c r="G100" s="23" t="s">
        <v>604</v>
      </c>
      <c r="H100" s="24" t="str">
        <f t="shared" ca="1" si="13"/>
        <v/>
      </c>
      <c r="I100" s="25" t="str">
        <f>IF(OR(E100="",E100="!!!",F100="NEW"),"",INDEX(B$2:B99,-1+SUMPRODUCT(MAX(ROW(E$2:E99)*(E100=E$2:E99)))))</f>
        <v>other</v>
      </c>
      <c r="J100" s="25">
        <f ca="1">IF(OR(E100="",E100="!!!",F100="NEW"),"",COUNTBLANK(OFFSET(A$1,,,SUMPRODUCT(MAX(ROW(E$2:E100)*(E100=E$2:E100)))))-COUNTBLANK(OFFSET(A$1,,,SUMPRODUCT(MAX(ROW(E$1:E99)*(E2=E$1:E99))))))</f>
        <v>0</v>
      </c>
      <c r="K100" s="25" t="str">
        <f ca="1">IF(OR(E100="",E100="!!!",F100="NEW"),"",INDEX(J$1:J99,SUMPRODUCT(MAX(ROW(E$1:E99)*(E100=E$1:E99)))))</f>
        <v/>
      </c>
      <c r="L100" s="26"/>
    </row>
    <row r="101" spans="1:12" x14ac:dyDescent="0.3">
      <c r="A101" t="s">
        <v>237</v>
      </c>
      <c r="E101" s="21" t="str">
        <f t="shared" si="12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3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3" spans="1:12" x14ac:dyDescent="0.3">
      <c r="A103" t="s">
        <v>288</v>
      </c>
    </row>
    <row r="104" spans="1:12" x14ac:dyDescent="0.3">
      <c r="A104" t="s">
        <v>289</v>
      </c>
      <c r="E104" s="21" t="s">
        <v>611</v>
      </c>
      <c r="F104" s="22" t="str">
        <f>IF(OR(E104="",E104="!!!"),"",IF(NOT(ISNA(VLOOKUP(E104,E$1:E103,1,FALSE()))),"OLD",IF(AND(E104&lt;&gt;"",E104&lt;&gt;"!!!"),"NEW","")))</f>
        <v>OLD</v>
      </c>
      <c r="G104" s="23" t="s">
        <v>603</v>
      </c>
      <c r="H104" s="24" t="s">
        <v>197</v>
      </c>
      <c r="I104" s="25" t="str">
        <f>IF(OR(E104="",E104="!!!",F104="NEW"),"",INDEX(B$2:B103,-1+SUMPRODUCT(MAX(ROW(E$2:E103)*(E104=E$2:E103)))))</f>
        <v>SBJ</v>
      </c>
      <c r="J104" s="25">
        <f ca="1">IF(OR(E104="",E104="!!!",F104="NEW"),"",COUNTBLANK(OFFSET(A$1,,,SUMPRODUCT(MAX(ROW(E$2:E104)*(E104=E$2:E104)))))-COUNTBLANK(OFFSET(A$1,,,SUMPRODUCT(MAX(ROW(E$1:E103)*(E2=E$1:E103))))))</f>
        <v>0</v>
      </c>
      <c r="K104" s="25">
        <f ca="1">IF(OR(E104="",E104="!!!",F104="NEW"),"",INDEX(J$1:J103,SUMPRODUCT(MAX(ROW(E$1:E103)*(E104=E$1:E103)))))</f>
        <v>0</v>
      </c>
      <c r="L104" s="26" t="s">
        <v>607</v>
      </c>
    </row>
    <row r="105" spans="1:12" x14ac:dyDescent="0.3">
      <c r="A105" t="s">
        <v>290</v>
      </c>
      <c r="B105" s="20" t="s">
        <v>220</v>
      </c>
      <c r="C105" s="20" t="s">
        <v>277</v>
      </c>
      <c r="E105" s="21" t="s">
        <v>610</v>
      </c>
      <c r="F105" s="22" t="str">
        <f>IF(OR(E105="",E105="!!!"),"",IF(NOT(ISNA(VLOOKUP(E105,E$1:E104,1,FALSE()))),"OLD",IF(AND(E105&lt;&gt;"",E105&lt;&gt;"!!!"),"NEW","")))</f>
        <v>OLD</v>
      </c>
      <c r="G105" s="23" t="s">
        <v>669</v>
      </c>
      <c r="H105" s="24" t="str">
        <f t="shared" ref="H105:H110" ca="1" si="14">IF(J105&lt;&gt;1,"",IF(I105="SBJ","CB","?"))</f>
        <v/>
      </c>
      <c r="I105" s="25">
        <f>IF(OR(E105="",E105="!!!",F105="NEW"),"",INDEX(B$2:B104,-1+SUMPRODUCT(MAX(ROW(E$2:E104)*(E105=E$2:E104)))))</f>
        <v>0</v>
      </c>
      <c r="J105" s="25">
        <f ca="1">IF(OR(E105="",E105="!!!",F105="NEW"),"",COUNTBLANK(OFFSET(A$1,,,SUMPRODUCT(MAX(ROW(E$2:E105)*(E105=E$2:E105)))))-COUNTBLANK(OFFSET(A$1,,,SUMPRODUCT(MAX(ROW(E$1:E104)*(E2=E$1:E104))))))</f>
        <v>0</v>
      </c>
      <c r="K105" s="25">
        <f ca="1">IF(OR(E105="",E105="!!!",F105="NEW"),"",INDEX(J$1:J104,SUMPRODUCT(MAX(ROW(E$1:E104)*(E105=E$1:E104)))))</f>
        <v>0</v>
      </c>
      <c r="L105" s="26"/>
    </row>
    <row r="106" spans="1:12" x14ac:dyDescent="0.3">
      <c r="A106" t="s">
        <v>44</v>
      </c>
      <c r="E106" s="21" t="str">
        <f t="shared" ref="E106:E110" si="15"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14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291</v>
      </c>
      <c r="E107" s="21" t="str">
        <f t="shared" si="15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4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225</v>
      </c>
      <c r="E108" s="21" t="str">
        <f t="shared" si="15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4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292</v>
      </c>
      <c r="B109" s="20" t="s">
        <v>202</v>
      </c>
      <c r="C109" s="20" t="s">
        <v>235</v>
      </c>
      <c r="D109" s="20" t="s">
        <v>236</v>
      </c>
      <c r="E109" s="21" t="s">
        <v>656</v>
      </c>
      <c r="F109" s="22" t="s">
        <v>657</v>
      </c>
      <c r="G109" s="23" t="s">
        <v>670</v>
      </c>
      <c r="H109" s="24" t="str">
        <f t="shared" ca="1" si="14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237</v>
      </c>
      <c r="E110" s="21" t="str">
        <f t="shared" si="15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4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2" spans="1:12" x14ac:dyDescent="0.3">
      <c r="A112" t="s">
        <v>293</v>
      </c>
    </row>
    <row r="113" spans="1:12" x14ac:dyDescent="0.3">
      <c r="A113" t="s">
        <v>294</v>
      </c>
      <c r="E113" s="21" t="str">
        <f t="shared" ref="E113:E121" si="16">IF(D113="?OLD","!!!","")</f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ref="H113:H121" ca="1" si="17">IF(J113&lt;&gt;1,"",IF(I113="SBJ","CB","?"))</f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240</v>
      </c>
      <c r="B114" s="20" t="s">
        <v>202</v>
      </c>
      <c r="C114" s="20" t="s">
        <v>241</v>
      </c>
      <c r="D114" s="20" t="s">
        <v>236</v>
      </c>
      <c r="E114" s="21" t="s">
        <v>610</v>
      </c>
      <c r="F114" s="22" t="str">
        <f>IF(OR(E114="",E114="!!!"),"",IF(NOT(ISNA(VLOOKUP(E114,E$1:E113,1,FALSE()))),"OLD",IF(AND(E114&lt;&gt;"",E114&lt;&gt;"!!!"),"NEW","")))</f>
        <v>OLD</v>
      </c>
      <c r="G114" s="23" t="s">
        <v>603</v>
      </c>
      <c r="H114" s="24" t="s">
        <v>197</v>
      </c>
      <c r="I114" s="25" t="str">
        <f>IF(OR(E114="",E114="!!!",F114="NEW"),"",INDEX(B$2:B113,-1+SUMPRODUCT(MAX(ROW(E$2:E113)*(E114=E$2:E113)))))</f>
        <v>SBJ</v>
      </c>
      <c r="J114" s="25">
        <f ca="1">IF(OR(E114="",E114="!!!",F114="NEW"),"",COUNTBLANK(OFFSET(A$1,,,SUMPRODUCT(MAX(ROW(E$2:E114)*(E114=E$2:E114)))))-COUNTBLANK(OFFSET(A$1,,,SUMPRODUCT(MAX(ROW(E$1:E113)*(E2=E$1:E113))))))</f>
        <v>0</v>
      </c>
      <c r="K114" s="25">
        <f ca="1">IF(OR(E114="",E114="!!!",F114="NEW"),"",INDEX(J$1:J113,SUMPRODUCT(MAX(ROW(E$1:E113)*(E114=E$1:E113)))))</f>
        <v>0</v>
      </c>
      <c r="L114" s="26"/>
    </row>
    <row r="115" spans="1:12" x14ac:dyDescent="0.3">
      <c r="A115" t="s">
        <v>295</v>
      </c>
      <c r="E115" s="21" t="str">
        <f t="shared" si="16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7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224</v>
      </c>
      <c r="E116" s="21" t="str">
        <f t="shared" si="16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7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296</v>
      </c>
      <c r="E117" s="21" t="str">
        <f t="shared" si="16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7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240</v>
      </c>
      <c r="B118" s="20" t="s">
        <v>211</v>
      </c>
      <c r="C118" s="20" t="s">
        <v>241</v>
      </c>
      <c r="D118" s="20" t="s">
        <v>236</v>
      </c>
      <c r="E118" s="21" t="s">
        <v>610</v>
      </c>
      <c r="F118" s="22" t="str">
        <f>IF(OR(E118="",E118="!!!"),"",IF(NOT(ISNA(VLOOKUP(E118,E$1:E117,1,FALSE()))),"OLD",IF(AND(E118&lt;&gt;"",E118&lt;&gt;"!!!"),"NEW","")))</f>
        <v>OLD</v>
      </c>
      <c r="G118" s="23" t="s">
        <v>603</v>
      </c>
      <c r="H118" s="24" t="str">
        <f t="shared" ca="1" si="17"/>
        <v/>
      </c>
      <c r="I118" s="25" t="str">
        <f>IF(OR(E118="",E118="!!!",F118="NEW"),"",INDEX(B$2:B117,-1+SUMPRODUCT(MAX(ROW(E$2:E117)*(E118=E$2:E117)))))</f>
        <v>other</v>
      </c>
      <c r="J118" s="25">
        <f ca="1">IF(OR(E118="",E118="!!!",F118="NEW"),"",COUNTBLANK(OFFSET(A$1,,,SUMPRODUCT(MAX(ROW(E$2:E118)*(E118=E$2:E118)))))-COUNTBLANK(OFFSET(A$1,,,SUMPRODUCT(MAX(ROW(E$1:E117)*(E2=E$1:E117))))))</f>
        <v>0</v>
      </c>
      <c r="K118" s="25">
        <f ca="1">IF(OR(E118="",E118="!!!",F118="NEW"),"",INDEX(J$1:J117,SUMPRODUCT(MAX(ROW(E$1:E117)*(E118=E$1:E117)))))</f>
        <v>0</v>
      </c>
      <c r="L118" s="26"/>
    </row>
    <row r="119" spans="1:12" x14ac:dyDescent="0.3">
      <c r="A119" t="s">
        <v>297</v>
      </c>
      <c r="E119" s="21" t="str">
        <f t="shared" si="16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7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298</v>
      </c>
      <c r="E120" s="21" t="str">
        <f t="shared" si="16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7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237</v>
      </c>
      <c r="E121" s="21" t="str">
        <f t="shared" si="16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7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3" spans="1:12" x14ac:dyDescent="0.3">
      <c r="A123" t="s">
        <v>299</v>
      </c>
    </row>
    <row r="124" spans="1:12" x14ac:dyDescent="0.3">
      <c r="A124" t="s">
        <v>300</v>
      </c>
      <c r="B124" s="20" t="s">
        <v>220</v>
      </c>
      <c r="C124" s="20" t="s">
        <v>283</v>
      </c>
      <c r="D124" s="20" t="s">
        <v>236</v>
      </c>
      <c r="E124" s="21" t="s">
        <v>610</v>
      </c>
      <c r="F124" s="22" t="str">
        <f>IF(OR(E124="",E124="!!!"),"",IF(NOT(ISNA(VLOOKUP(E124,E$1:E123,1,FALSE()))),"OLD",IF(AND(E124&lt;&gt;"",E124&lt;&gt;"!!!"),"NEW","")))</f>
        <v>OLD</v>
      </c>
      <c r="G124" s="23" t="s">
        <v>603</v>
      </c>
      <c r="H124" s="24" t="s">
        <v>197</v>
      </c>
      <c r="I124" s="25" t="str">
        <f>IF(OR(E124="",E124="!!!",F124="NEW"),"",INDEX(B$2:B123,-1+SUMPRODUCT(MAX(ROW(E$2:E123)*(E124=E$2:E123)))))</f>
        <v>SBJ_2</v>
      </c>
      <c r="J124" s="25">
        <f ca="1">IF(OR(E124="",E124="!!!",F124="NEW"),"",COUNTBLANK(OFFSET(A$1,,,SUMPRODUCT(MAX(ROW(E$2:E124)*(E124=E$2:E124)))))-COUNTBLANK(OFFSET(A$1,,,SUMPRODUCT(MAX(ROW(E$1:E123)*(E2=E$1:E123))))))</f>
        <v>0</v>
      </c>
      <c r="K124" s="25">
        <f ca="1">IF(OR(E124="",E124="!!!",F124="NEW"),"",INDEX(J$1:J123,SUMPRODUCT(MAX(ROW(E$1:E123)*(E124=E$1:E123)))))</f>
        <v>0</v>
      </c>
      <c r="L124" s="26"/>
    </row>
    <row r="125" spans="1:12" x14ac:dyDescent="0.3">
      <c r="A125" t="s">
        <v>301</v>
      </c>
      <c r="E125" s="21" t="str">
        <f t="shared" ref="E125:E131" si="18">IF(D125="?OLD","!!!","")</f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ref="H125:H131" ca="1" si="19">IF(J125&lt;&gt;1,"",IF(I125="SBJ","CB","?"))</f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302</v>
      </c>
      <c r="E126" s="21" t="str">
        <f t="shared" si="18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9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303</v>
      </c>
      <c r="E127" s="21" t="str">
        <f t="shared" si="18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9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304</v>
      </c>
      <c r="E128" s="21" t="str">
        <f t="shared" si="18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9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278</v>
      </c>
      <c r="E129" s="21" t="str">
        <f t="shared" si="18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9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305</v>
      </c>
      <c r="B130" s="20" t="s">
        <v>214</v>
      </c>
      <c r="C130" s="20" t="s">
        <v>235</v>
      </c>
      <c r="D130" s="20" t="s">
        <v>236</v>
      </c>
      <c r="E130" s="21" t="s">
        <v>611</v>
      </c>
      <c r="F130" s="22" t="str">
        <f>IF(OR(E130="",E130="!!!"),"",IF(NOT(ISNA(VLOOKUP(E130,E$1:E129,1,FALSE()))),"OLD",IF(AND(E130&lt;&gt;"",E130&lt;&gt;"!!!"),"NEW","")))</f>
        <v>OLD</v>
      </c>
      <c r="G130" s="23" t="s">
        <v>669</v>
      </c>
      <c r="H130" s="24" t="str">
        <f t="shared" ca="1" si="19"/>
        <v/>
      </c>
      <c r="I130" s="25">
        <f>IF(OR(E130="",E130="!!!",F130="NEW"),"",INDEX(B$2:B129,-1+SUMPRODUCT(MAX(ROW(E$2:E129)*(E130=E$2:E129)))))</f>
        <v>0</v>
      </c>
      <c r="J130" s="25">
        <f ca="1">IF(OR(E130="",E130="!!!",F130="NEW"),"",COUNTBLANK(OFFSET(A$1,,,SUMPRODUCT(MAX(ROW(E$2:E130)*(E130=E$2:E130)))))-COUNTBLANK(OFFSET(A$1,,,SUMPRODUCT(MAX(ROW(E$1:E129)*(E2=E$1:E129))))))</f>
        <v>0</v>
      </c>
      <c r="K130" s="25">
        <f ca="1">IF(OR(E130="",E130="!!!",F130="NEW"),"",INDEX(J$1:J129,SUMPRODUCT(MAX(ROW(E$1:E129)*(E130=E$1:E129)))))</f>
        <v>0</v>
      </c>
      <c r="L130" s="26"/>
    </row>
    <row r="131" spans="1:12" x14ac:dyDescent="0.3">
      <c r="A131" t="s">
        <v>237</v>
      </c>
      <c r="E131" s="21" t="str">
        <f t="shared" si="18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9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3" spans="1:12" x14ac:dyDescent="0.3">
      <c r="A133" t="s">
        <v>306</v>
      </c>
    </row>
    <row r="134" spans="1:12" x14ac:dyDescent="0.3">
      <c r="A134" t="s">
        <v>307</v>
      </c>
      <c r="E134" s="21" t="str">
        <f>IF(D134="?OLD","!!!","")</f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ca="1">IF(J134&lt;&gt;1,"",IF(I134="SBJ","CB","?"))</f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308</v>
      </c>
      <c r="B135" s="20" t="s">
        <v>220</v>
      </c>
      <c r="C135" s="20" t="s">
        <v>235</v>
      </c>
      <c r="D135" s="20" t="s">
        <v>236</v>
      </c>
      <c r="E135" s="21" t="s">
        <v>609</v>
      </c>
      <c r="F135" s="22" t="s">
        <v>608</v>
      </c>
      <c r="G135" s="23"/>
      <c r="H135" s="24" t="str">
        <f ca="1">IF(J135&lt;&gt;1,"",IF(I135="SBJ","CB","?"))</f>
        <v/>
      </c>
      <c r="I135" s="25" t="e">
        <f>IF(OR(E135="",E135="!!!",F135="NEW"),"",INDEX(B$2:B134,-1+SUMPRODUCT(MAX(ROW(E$2:E134)*(E135=E$2:E134)))))</f>
        <v>#VALUE!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e">
        <f>IF(OR(E135="",E135="!!!",F135="NEW"),"",INDEX(J$1:J134,SUMPRODUCT(MAX(ROW(E$1:E134)*(E135=E$1:E134)))))</f>
        <v>#VALUE!</v>
      </c>
      <c r="L135" s="26"/>
    </row>
    <row r="136" spans="1:12" x14ac:dyDescent="0.3">
      <c r="A136" t="s">
        <v>309</v>
      </c>
      <c r="E136" s="21" t="str">
        <f>IF(D136="?OLD","!!!","")</f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ca="1">IF(J136&lt;&gt;1,"",IF(I136="SBJ","CB","?"))</f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310</v>
      </c>
      <c r="E137" s="21" t="str">
        <f>IF(D137="?OLD","!!!","")</f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ca="1">IF(J137&lt;&gt;1,"",IF(I137="SBJ","CB","?"))</f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237</v>
      </c>
      <c r="E138" s="21" t="str">
        <f>IF(D138="?OLD","!!!","")</f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ca="1">IF(J138&lt;&gt;1,"",IF(I138="SBJ","CB","?"))</f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40" spans="1:12" x14ac:dyDescent="0.3">
      <c r="A140" t="s">
        <v>311</v>
      </c>
    </row>
    <row r="141" spans="1:12" x14ac:dyDescent="0.3">
      <c r="A141" t="s">
        <v>294</v>
      </c>
      <c r="E141" s="21" t="str">
        <f t="shared" ref="E141:E147" si="20">IF(D141="?OLD","!!!","")</f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ref="H141:H147" ca="1" si="21">IF(J141&lt;&gt;1,"",IF(I141="SBJ","CB","?"))</f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312</v>
      </c>
      <c r="B142" s="20" t="s">
        <v>220</v>
      </c>
      <c r="C142" s="20" t="s">
        <v>208</v>
      </c>
      <c r="E142" s="21" t="str">
        <f t="shared" si="20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21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215</v>
      </c>
      <c r="E143" s="21" t="str">
        <f t="shared" si="20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21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313</v>
      </c>
      <c r="B144" s="20" t="s">
        <v>202</v>
      </c>
      <c r="C144" s="20" t="s">
        <v>244</v>
      </c>
      <c r="D144" s="20" t="s">
        <v>236</v>
      </c>
      <c r="E144" s="21" t="s">
        <v>610</v>
      </c>
      <c r="F144" s="22" t="str">
        <f>IF(OR(E144="",E144="!!!"),"",IF(NOT(ISNA(VLOOKUP(E144,E$1:E143,1,FALSE()))),"OLD",IF(AND(E144&lt;&gt;"",E144&lt;&gt;"!!!"),"NEW","")))</f>
        <v>OLD</v>
      </c>
      <c r="G144" s="23" t="s">
        <v>669</v>
      </c>
      <c r="H144" s="24" t="str">
        <f t="shared" ca="1" si="21"/>
        <v/>
      </c>
      <c r="I144" s="25" t="str">
        <f>IF(OR(E144="",E144="!!!",F144="NEW"),"",INDEX(B$2:B143,-1+SUMPRODUCT(MAX(ROW(E$2:E143)*(E144=E$2:E143)))))</f>
        <v>SBJ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314</v>
      </c>
      <c r="E145" s="21" t="str">
        <f t="shared" si="20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21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315</v>
      </c>
      <c r="E146" s="21" t="str">
        <f t="shared" si="20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21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237</v>
      </c>
      <c r="E147" s="21" t="str">
        <f t="shared" si="20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21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9" spans="1:12" x14ac:dyDescent="0.3">
      <c r="A149" t="s">
        <v>316</v>
      </c>
    </row>
    <row r="150" spans="1:12" x14ac:dyDescent="0.3">
      <c r="A150" t="s">
        <v>300</v>
      </c>
      <c r="B150" s="20" t="s">
        <v>220</v>
      </c>
      <c r="C150" s="20" t="s">
        <v>283</v>
      </c>
      <c r="D150" s="20" t="s">
        <v>236</v>
      </c>
      <c r="E150" s="21" t="s">
        <v>610</v>
      </c>
      <c r="F150" s="22" t="str">
        <f>IF(OR(E150="",E150="!!!"),"",IF(NOT(ISNA(VLOOKUP(E150,E$1:E149,1,FALSE()))),"OLD",IF(AND(E150&lt;&gt;"",E150&lt;&gt;"!!!"),"NEW","")))</f>
        <v>OLD</v>
      </c>
      <c r="G150" s="23" t="s">
        <v>603</v>
      </c>
      <c r="H150" s="24" t="s">
        <v>197</v>
      </c>
      <c r="I150" s="25" t="str">
        <f>IF(OR(E150="",E150="!!!",F150="NEW"),"",INDEX(B$2:B149,-1+SUMPRODUCT(MAX(ROW(E$2:E149)*(E150=E$2:E149)))))</f>
        <v>other</v>
      </c>
      <c r="J150" s="25">
        <f ca="1">IF(OR(E150="",E150="!!!",F150="NEW"),"",COUNTBLANK(OFFSET(A$1,,,SUMPRODUCT(MAX(ROW(E$2:E150)*(E150=E$2:E150)))))-COUNTBLANK(OFFSET(A$1,,,SUMPRODUCT(MAX(ROW(E$1:E149)*(E2=E$1:E149))))))</f>
        <v>0</v>
      </c>
      <c r="K150" s="25">
        <f ca="1">IF(OR(E150="",E150="!!!",F150="NEW"),"",INDEX(J$1:J149,SUMPRODUCT(MAX(ROW(E$1:E149)*(E150=E$1:E149)))))</f>
        <v>0</v>
      </c>
      <c r="L150" s="26"/>
    </row>
    <row r="151" spans="1:12" x14ac:dyDescent="0.3">
      <c r="A151" t="s">
        <v>271</v>
      </c>
      <c r="E151" s="21" t="str">
        <f t="shared" ref="E151:E178" si="22">IF(D151="?OLD","!!!","")</f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ref="H151:H178" ca="1" si="23">IF(J151&lt;&gt;1,"",IF(I151="SBJ","CB","?"))</f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317</v>
      </c>
      <c r="E152" s="21" t="str">
        <f t="shared" si="2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2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11</v>
      </c>
      <c r="E153" s="21" t="str">
        <f t="shared" si="2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2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318</v>
      </c>
      <c r="B154" s="20" t="s">
        <v>202</v>
      </c>
      <c r="C154" s="20" t="s">
        <v>319</v>
      </c>
      <c r="D154" s="20" t="s">
        <v>236</v>
      </c>
      <c r="E154" s="21"/>
      <c r="F154" s="22" t="s">
        <v>612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2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320</v>
      </c>
      <c r="E155" s="21" t="str">
        <f t="shared" si="2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2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321</v>
      </c>
      <c r="B156" s="20" t="s">
        <v>202</v>
      </c>
      <c r="C156" s="20" t="s">
        <v>244</v>
      </c>
      <c r="D156" s="20" t="s">
        <v>236</v>
      </c>
      <c r="E156" s="21" t="s">
        <v>613</v>
      </c>
      <c r="F156" s="22" t="str">
        <f>IF(OR(E156="",E156="!!!"),"",IF(NOT(ISNA(VLOOKUP(E156,E$1:E155,1,FALSE()))),"OLD",IF(AND(E156&lt;&gt;"",E156&lt;&gt;"!!!"),"NEW","")))</f>
        <v>NEW</v>
      </c>
      <c r="G156" s="23" t="s">
        <v>670</v>
      </c>
      <c r="H156" s="24" t="str">
        <f t="shared" ca="1" si="2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224</v>
      </c>
      <c r="E157" s="21" t="str">
        <f t="shared" si="2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2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322</v>
      </c>
      <c r="E158" s="21" t="str">
        <f t="shared" si="2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2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323</v>
      </c>
      <c r="B159" s="20" t="s">
        <v>202</v>
      </c>
      <c r="C159" s="20" t="s">
        <v>252</v>
      </c>
      <c r="E159" s="21" t="str">
        <f t="shared" si="2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2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222</v>
      </c>
      <c r="E160" s="21" t="str">
        <f t="shared" si="2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2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324</v>
      </c>
      <c r="E161" s="21" t="str">
        <f t="shared" si="2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2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325</v>
      </c>
      <c r="B162" s="20" t="s">
        <v>232</v>
      </c>
      <c r="C162" s="20" t="s">
        <v>203</v>
      </c>
      <c r="E162" s="21" t="str">
        <f t="shared" si="22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23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242</v>
      </c>
      <c r="E163" s="21" t="str">
        <f t="shared" si="22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23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326</v>
      </c>
      <c r="B164" s="20" t="s">
        <v>207</v>
      </c>
      <c r="C164" s="20" t="s">
        <v>244</v>
      </c>
      <c r="D164" s="20" t="s">
        <v>236</v>
      </c>
      <c r="E164" s="21" t="s">
        <v>614</v>
      </c>
      <c r="F164" s="22" t="str">
        <f>IF(OR(E164="",E164="!!!"),"",IF(NOT(ISNA(VLOOKUP(E164,E$1:E163,1,FALSE()))),"OLD",IF(AND(E164&lt;&gt;"",E164&lt;&gt;"!!!"),"NEW","")))</f>
        <v>NEW</v>
      </c>
      <c r="G164" s="23" t="s">
        <v>604</v>
      </c>
      <c r="H164" s="24" t="str">
        <f t="shared" ca="1" si="23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224</v>
      </c>
      <c r="E165" s="21" t="str">
        <f t="shared" si="22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23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303</v>
      </c>
      <c r="E166" s="21" t="str">
        <f t="shared" si="22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23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327</v>
      </c>
      <c r="E167" s="21" t="str">
        <f t="shared" si="22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23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328</v>
      </c>
      <c r="B168" s="20" t="s">
        <v>214</v>
      </c>
      <c r="E168" s="21" t="str">
        <f t="shared" si="22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23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329</v>
      </c>
      <c r="E169" s="21" t="str">
        <f t="shared" si="22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23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330</v>
      </c>
      <c r="B170" s="20" t="s">
        <v>232</v>
      </c>
      <c r="C170" s="20" t="s">
        <v>208</v>
      </c>
      <c r="E170" s="21" t="str">
        <f t="shared" si="22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23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215</v>
      </c>
      <c r="E171" s="21" t="str">
        <f t="shared" si="22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23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233</v>
      </c>
      <c r="E172" s="21" t="str">
        <f t="shared" si="22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23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331</v>
      </c>
      <c r="B173" s="20" t="s">
        <v>232</v>
      </c>
      <c r="C173" s="20" t="s">
        <v>235</v>
      </c>
      <c r="D173" s="20" t="s">
        <v>236</v>
      </c>
      <c r="E173" s="21"/>
      <c r="F173" s="22" t="s">
        <v>612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23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223</v>
      </c>
      <c r="B174" s="20" t="s">
        <v>207</v>
      </c>
      <c r="C174" s="20" t="s">
        <v>203</v>
      </c>
      <c r="E174" s="21" t="s">
        <v>650</v>
      </c>
      <c r="F174" s="22" t="s">
        <v>621</v>
      </c>
      <c r="G174" s="23"/>
      <c r="H174" s="24" t="str">
        <f t="shared" ca="1" si="23"/>
        <v/>
      </c>
      <c r="I174" s="25" t="e">
        <f>IF(OR(E174="",E174="!!!",F174="NEW"),"",INDEX(B$2:B173,-1+SUMPRODUCT(MAX(ROW(E$2:E173)*(E174=E$2:E173)))))</f>
        <v>#VALUE!</v>
      </c>
      <c r="J174" s="25">
        <f ca="1">IF(OR(E174="",E174="!!!",F174="NEW"),"",COUNTBLANK(OFFSET(A$1,,,SUMPRODUCT(MAX(ROW(E$2:E174)*(E174=E$2:E174)))))-COUNTBLANK(OFFSET(A$1,,,SUMPRODUCT(MAX(ROW(E$1:E173)*(E2=E$1:E173))))))</f>
        <v>0</v>
      </c>
      <c r="K174" s="25" t="e">
        <f>IF(OR(E174="",E174="!!!",F174="NEW"),"",INDEX(J$1:J173,SUMPRODUCT(MAX(ROW(E$1:E173)*(E174=E$1:E173)))))</f>
        <v>#VALUE!</v>
      </c>
      <c r="L174" s="26" t="s">
        <v>624</v>
      </c>
    </row>
    <row r="175" spans="1:12" x14ac:dyDescent="0.3">
      <c r="A175" t="s">
        <v>291</v>
      </c>
      <c r="E175" s="21" t="str">
        <f t="shared" si="22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23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332</v>
      </c>
      <c r="E176" s="21" t="str">
        <f t="shared" si="22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23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12</v>
      </c>
      <c r="B177" s="20" t="s">
        <v>232</v>
      </c>
      <c r="C177" s="20" t="s">
        <v>235</v>
      </c>
      <c r="D177" s="20" t="s">
        <v>236</v>
      </c>
      <c r="E177" s="21" t="s">
        <v>627</v>
      </c>
      <c r="F177" s="22" t="str">
        <f>IF(OR(E177="",E177="!!!"),"",IF(NOT(ISNA(VLOOKUP(E177,E$1:E176,1,FALSE()))),"OLD",IF(AND(E177&lt;&gt;"",E177&lt;&gt;"!!!"),"NEW","")))</f>
        <v>NEW</v>
      </c>
      <c r="G177" s="23" t="s">
        <v>604</v>
      </c>
      <c r="H177" s="24" t="str">
        <f t="shared" ca="1" si="23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237</v>
      </c>
      <c r="E178" s="21" t="str">
        <f t="shared" si="22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23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333</v>
      </c>
    </row>
    <row r="181" spans="1:12" x14ac:dyDescent="0.3">
      <c r="A181" t="s">
        <v>307</v>
      </c>
      <c r="E181" s="21" t="str">
        <f t="shared" ref="E181:E189" si="24">IF(D181="?OLD","!!!","")</f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ref="H181:H189" ca="1" si="25">IF(J181&lt;&gt;1,"",IF(I181="SBJ","CB","?"))</f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261</v>
      </c>
      <c r="E182" s="21" t="str">
        <f t="shared" si="24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25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223</v>
      </c>
      <c r="B183" s="20" t="s">
        <v>220</v>
      </c>
      <c r="C183" s="20" t="s">
        <v>334</v>
      </c>
      <c r="D183" s="20" t="s">
        <v>236</v>
      </c>
      <c r="E183" s="21" t="s">
        <v>606</v>
      </c>
      <c r="F183" s="22" t="str">
        <f>IF(OR(E183="",E183="!!!"),"",IF(NOT(ISNA(VLOOKUP(E183,E$1:E182,1,FALSE()))),"OLD",IF(AND(E183&lt;&gt;"",E183&lt;&gt;"!!!"),"NEW","")))</f>
        <v>OLD</v>
      </c>
      <c r="G183" s="23" t="s">
        <v>604</v>
      </c>
      <c r="H183" s="24" t="str">
        <f t="shared" ca="1" si="25"/>
        <v/>
      </c>
      <c r="I183" s="25" t="str">
        <f>IF(OR(E183="",E183="!!!",F183="NEW"),"",INDEX(B$2:B182,-1+SUMPRODUCT(MAX(ROW(E$2:E182)*(E183=E$2:E182)))))</f>
        <v>SBJ</v>
      </c>
      <c r="J183" s="25">
        <f ca="1">IF(OR(E183="",E183="!!!",F183="NEW"),"",COUNTBLANK(OFFSET(A$1,,,SUMPRODUCT(MAX(ROW(E$2:E183)*(E183=E$2:E183)))))-COUNTBLANK(OFFSET(A$1,,,SUMPRODUCT(MAX(ROW(E$1:E182)*(E2=E$1:E182))))))</f>
        <v>0</v>
      </c>
      <c r="K183" s="25">
        <f ca="1">IF(OR(E183="",E183="!!!",F183="NEW"),"",INDEX(J$1:J182,SUMPRODUCT(MAX(ROW(E$1:E182)*(E183=E$1:E182)))))</f>
        <v>0</v>
      </c>
      <c r="L183" s="26"/>
    </row>
    <row r="184" spans="1:12" x14ac:dyDescent="0.3">
      <c r="A184" t="s">
        <v>242</v>
      </c>
      <c r="E184" s="21" t="str">
        <f t="shared" si="24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25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332</v>
      </c>
      <c r="E185" s="21" t="str">
        <f t="shared" si="24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25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260</v>
      </c>
      <c r="B186" s="20" t="s">
        <v>232</v>
      </c>
      <c r="C186" s="20" t="s">
        <v>235</v>
      </c>
      <c r="D186" s="20" t="s">
        <v>236</v>
      </c>
      <c r="E186" s="21" t="s">
        <v>655</v>
      </c>
      <c r="F186" s="22" t="str">
        <f>IF(OR(E186="",E186="!!!"),"",IF(NOT(ISNA(VLOOKUP(E186,E$1:E185,1,FALSE()))),"OLD",IF(AND(E186&lt;&gt;"",E186&lt;&gt;"!!!"),"NEW","")))</f>
        <v>OLD</v>
      </c>
      <c r="G186" s="23" t="s">
        <v>604</v>
      </c>
      <c r="H186" s="24" t="str">
        <f t="shared" ca="1" si="25"/>
        <v/>
      </c>
      <c r="I186" s="25" t="str">
        <f>IF(OR(E186="",E186="!!!",F186="NEW"),"",INDEX(B$2:B185,-1+SUMPRODUCT(MAX(ROW(E$2:E185)*(E186=E$2:E185)))))</f>
        <v>other</v>
      </c>
      <c r="J186" s="25">
        <f ca="1">IF(OR(E186="",E186="!!!",F186="NEW"),"",COUNTBLANK(OFFSET(A$1,,,SUMPRODUCT(MAX(ROW(E$2:E186)*(E186=E$2:E186)))))-COUNTBLANK(OFFSET(A$1,,,SUMPRODUCT(MAX(ROW(E$1:E185)*(E2=E$1:E185))))))</f>
        <v>0</v>
      </c>
      <c r="K186" s="25">
        <f ca="1">IF(OR(E186="",E186="!!!",F186="NEW"),"",INDEX(J$1:J185,SUMPRODUCT(MAX(ROW(E$1:E185)*(E186=E$1:E185)))))</f>
        <v>0</v>
      </c>
      <c r="L186" s="26"/>
    </row>
    <row r="187" spans="1:12" x14ac:dyDescent="0.3">
      <c r="A187" t="s">
        <v>246</v>
      </c>
      <c r="E187" s="21" t="str">
        <f t="shared" si="24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25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335</v>
      </c>
      <c r="B188" s="20" t="s">
        <v>202</v>
      </c>
      <c r="C188" s="20" t="s">
        <v>203</v>
      </c>
      <c r="E188" s="21" t="str">
        <f t="shared" si="24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25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237</v>
      </c>
      <c r="E189" s="21" t="str">
        <f t="shared" si="24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25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1" spans="1:12" x14ac:dyDescent="0.3">
      <c r="A191" t="s">
        <v>336</v>
      </c>
    </row>
    <row r="192" spans="1:12" x14ac:dyDescent="0.3">
      <c r="A192" t="s">
        <v>300</v>
      </c>
      <c r="B192" s="20" t="s">
        <v>220</v>
      </c>
      <c r="C192" s="20" t="s">
        <v>283</v>
      </c>
      <c r="D192" s="20" t="s">
        <v>236</v>
      </c>
      <c r="E192" s="21" t="s">
        <v>606</v>
      </c>
      <c r="F192" s="22" t="str">
        <f>IF(OR(E192="",E192="!!!"),"",IF(NOT(ISNA(VLOOKUP(E192,E$1:E191,1,FALSE()))),"OLD",IF(AND(E192&lt;&gt;"",E192&lt;&gt;"!!!"),"NEW","")))</f>
        <v>OLD</v>
      </c>
      <c r="G192" s="23" t="s">
        <v>603</v>
      </c>
      <c r="H192" s="24" t="s">
        <v>197</v>
      </c>
      <c r="I192" s="25" t="str">
        <f>IF(OR(E192="",E192="!!!",F192="NEW"),"",INDEX(B$2:B191,-1+SUMPRODUCT(MAX(ROW(E$2:E191)*(E192=E$2:E191)))))</f>
        <v>SBJ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>
        <f ca="1">IF(OR(E192="",E192="!!!",F192="NEW"),"",INDEX(J$1:J191,SUMPRODUCT(MAX(ROW(E$1:E191)*(E192=E$1:E191)))))</f>
        <v>0</v>
      </c>
      <c r="L192" s="26"/>
    </row>
    <row r="193" spans="1:12" x14ac:dyDescent="0.3">
      <c r="A193" t="s">
        <v>72</v>
      </c>
      <c r="E193" s="21" t="str">
        <f t="shared" ref="E193:E212" si="26">IF(D193="?OLD","!!!","")</f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ref="H193:H212" ca="1" si="27">IF(J193&lt;&gt;1,"",IF(I193="SBJ","CB","?"))</f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242</v>
      </c>
      <c r="E194" s="21" t="str">
        <f t="shared" si="2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2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233</v>
      </c>
      <c r="E195" s="21" t="str">
        <f t="shared" si="26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27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337</v>
      </c>
      <c r="E196" s="21" t="str">
        <f t="shared" si="2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2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338</v>
      </c>
      <c r="B197" s="20" t="s">
        <v>202</v>
      </c>
      <c r="C197" s="20" t="s">
        <v>235</v>
      </c>
      <c r="D197" s="20" t="s">
        <v>236</v>
      </c>
      <c r="E197" s="21" t="s">
        <v>615</v>
      </c>
      <c r="F197" s="22" t="str">
        <f>IF(OR(E197="",E197="!!!"),"",IF(NOT(ISNA(VLOOKUP(E197,E$1:E196,1,FALSE()))),"OLD",IF(AND(E197&lt;&gt;"",E197&lt;&gt;"!!!"),"NEW","")))</f>
        <v>NEW</v>
      </c>
      <c r="G197" s="23" t="s">
        <v>604</v>
      </c>
      <c r="H197" s="24" t="str">
        <f t="shared" ca="1" si="2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242</v>
      </c>
      <c r="E198" s="21" t="str">
        <f t="shared" si="26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27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258</v>
      </c>
      <c r="B199" s="20" t="s">
        <v>202</v>
      </c>
      <c r="C199" s="20" t="s">
        <v>208</v>
      </c>
      <c r="E199" s="21" t="s">
        <v>616</v>
      </c>
      <c r="F199" s="22" t="str">
        <f>IF(OR(E199="",E199="!!!"),"",IF(NOT(ISNA(VLOOKUP(E199,E$1:E198,1,FALSE()))),"OLD",IF(AND(E199&lt;&gt;"",E199&lt;&gt;"!!!"),"NEW","")))</f>
        <v>OLD</v>
      </c>
      <c r="G199" s="23" t="s">
        <v>604</v>
      </c>
      <c r="H199" s="24" t="str">
        <f t="shared" ca="1" si="27"/>
        <v/>
      </c>
      <c r="I199" s="25" t="str">
        <f>IF(OR(E199="",E199="!!!",F199="NEW"),"",INDEX(B$2:B198,-1+SUMPRODUCT(MAX(ROW(E$2:E198)*(E199=E$2:E198)))))</f>
        <v>SBJ</v>
      </c>
      <c r="J199" s="25">
        <f ca="1">IF(OR(E199="",E199="!!!",F199="NEW"),"",COUNTBLANK(OFFSET(A$1,,,SUMPRODUCT(MAX(ROW(E$2:E199)*(E199=E$2:E199)))))-COUNTBLANK(OFFSET(A$1,,,SUMPRODUCT(MAX(ROW(E$1:E198)*(E2=E$1:E198))))))</f>
        <v>0</v>
      </c>
      <c r="K199" s="25" t="str">
        <f ca="1">IF(OR(E199="",E199="!!!",F199="NEW"),"",INDEX(J$1:J198,SUMPRODUCT(MAX(ROW(E$1:E198)*(E199=E$1:E198)))))</f>
        <v/>
      </c>
      <c r="L199" s="26" t="s">
        <v>671</v>
      </c>
    </row>
    <row r="200" spans="1:12" x14ac:dyDescent="0.3">
      <c r="A200" t="s">
        <v>332</v>
      </c>
      <c r="E200" s="21" t="str">
        <f t="shared" si="26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7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339</v>
      </c>
      <c r="E201" s="21" t="str">
        <f t="shared" si="26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7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340</v>
      </c>
      <c r="E202" s="21" t="str">
        <f t="shared" si="26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7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341</v>
      </c>
      <c r="B203" s="20" t="s">
        <v>232</v>
      </c>
      <c r="C203" s="20" t="s">
        <v>235</v>
      </c>
      <c r="D203" s="20" t="s">
        <v>236</v>
      </c>
      <c r="E203" s="21" t="s">
        <v>662</v>
      </c>
      <c r="F203" s="22" t="str">
        <f>IF(OR(E203="",E203="!!!"),"",IF(NOT(ISNA(VLOOKUP(E203,E$1:E202,1,FALSE()))),"OLD",IF(AND(E203&lt;&gt;"",E203&lt;&gt;"!!!"),"NEW","")))</f>
        <v>NEW</v>
      </c>
      <c r="G203" s="23" t="s">
        <v>670</v>
      </c>
      <c r="H203" s="24" t="str">
        <f t="shared" ca="1" si="27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222</v>
      </c>
      <c r="E204" s="21" t="str">
        <f t="shared" si="26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27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342</v>
      </c>
      <c r="E205" s="21" t="str">
        <f t="shared" si="26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27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223</v>
      </c>
      <c r="B206" s="20" t="s">
        <v>207</v>
      </c>
      <c r="C206" s="20" t="s">
        <v>203</v>
      </c>
      <c r="E206" s="21" t="s">
        <v>658</v>
      </c>
      <c r="F206" s="22" t="str">
        <f>IF(OR(E206="",E206="!!!"),"",IF(NOT(ISNA(VLOOKUP(E206,E$1:E205,1,FALSE()))),"OLD",IF(AND(E206&lt;&gt;"",E206&lt;&gt;"!!!"),"NEW","")))</f>
        <v>OLD</v>
      </c>
      <c r="G206" s="23" t="s">
        <v>604</v>
      </c>
      <c r="H206" s="24" t="str">
        <f t="shared" ca="1" si="27"/>
        <v/>
      </c>
      <c r="I206" s="25" t="str">
        <f>IF(OR(E206="",E206="!!!",F206="NEW"),"",INDEX(B$2:B205,-1+SUMPRODUCT(MAX(ROW(E$2:E205)*(E206=E$2:E205)))))</f>
        <v>SBJ</v>
      </c>
      <c r="J206" s="25">
        <f ca="1">IF(OR(E206="",E206="!!!",F206="NEW"),"",COUNTBLANK(OFFSET(A$1,,,SUMPRODUCT(MAX(ROW(E$2:E206)*(E206=E$2:E206)))))-COUNTBLANK(OFFSET(A$1,,,SUMPRODUCT(MAX(ROW(E$1:E205)*(E2=E$1:E205))))))</f>
        <v>0</v>
      </c>
      <c r="K206" s="25">
        <f ca="1">IF(OR(E206="",E206="!!!",F206="NEW"),"",INDEX(J$1:J205,SUMPRODUCT(MAX(ROW(E$1:E205)*(E206=E$1:E205)))))</f>
        <v>0</v>
      </c>
      <c r="L206" s="26"/>
    </row>
    <row r="207" spans="1:12" x14ac:dyDescent="0.3">
      <c r="A207" t="s">
        <v>303</v>
      </c>
      <c r="E207" s="21" t="str">
        <f t="shared" si="26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27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343</v>
      </c>
      <c r="E208" s="21" t="s">
        <v>658</v>
      </c>
      <c r="F208" s="22" t="str">
        <f>IF(OR(E208="",E208="!!!"),"",IF(NOT(ISNA(VLOOKUP(E208,E$1:E207,1,FALSE()))),"OLD",IF(AND(E208&lt;&gt;"",E208&lt;&gt;"!!!"),"NEW","")))</f>
        <v>OLD</v>
      </c>
      <c r="G208" s="23" t="s">
        <v>603</v>
      </c>
      <c r="H208" s="24" t="str">
        <f t="shared" ca="1" si="27"/>
        <v/>
      </c>
      <c r="I208" s="25" t="str">
        <f>IF(OR(E208="",E208="!!!",F208="NEW"),"",INDEX(B$2:B207,-1+SUMPRODUCT(MAX(ROW(E$2:E207)*(E208=E$2:E207)))))</f>
        <v>other_3</v>
      </c>
      <c r="J208" s="25">
        <f ca="1">IF(OR(E208="",E208="!!!",F208="NEW"),"",COUNTBLANK(OFFSET(A$1,,,SUMPRODUCT(MAX(ROW(E$2:E208)*(E208=E$2:E208)))))-COUNTBLANK(OFFSET(A$1,,,SUMPRODUCT(MAX(ROW(E$1:E207)*(E2=E$1:E207))))))</f>
        <v>0</v>
      </c>
      <c r="K208" s="25">
        <f ca="1">IF(OR(E208="",E208="!!!",F208="NEW"),"",INDEX(J$1:J207,SUMPRODUCT(MAX(ROW(E$1:E207)*(E208=E$1:E207)))))</f>
        <v>0</v>
      </c>
      <c r="L208" s="26"/>
    </row>
    <row r="209" spans="1:12" x14ac:dyDescent="0.3">
      <c r="A209" t="s">
        <v>344</v>
      </c>
      <c r="B209" s="20" t="s">
        <v>207</v>
      </c>
      <c r="C209" s="20" t="s">
        <v>277</v>
      </c>
      <c r="E209" s="21" t="s">
        <v>647</v>
      </c>
      <c r="F209" s="22" t="str">
        <f>IF(OR(E209="",E209="!!!"),"",IF(NOT(ISNA(VLOOKUP(E209,E$1:E208,1,FALSE()))),"OLD",IF(AND(E209&lt;&gt;"",E209&lt;&gt;"!!!"),"NEW","")))</f>
        <v>NEW</v>
      </c>
      <c r="G209" s="23" t="s">
        <v>670</v>
      </c>
      <c r="H209" s="24" t="str">
        <f t="shared" ca="1" si="27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242</v>
      </c>
      <c r="E210" s="21" t="str">
        <f t="shared" si="26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7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326</v>
      </c>
      <c r="B211" s="20" t="s">
        <v>345</v>
      </c>
      <c r="C211" s="20" t="s">
        <v>244</v>
      </c>
      <c r="D211" s="20" t="s">
        <v>236</v>
      </c>
      <c r="E211" s="21" t="s">
        <v>614</v>
      </c>
      <c r="F211" s="22" t="str">
        <f>IF(OR(E211="",E211="!!!"),"",IF(NOT(ISNA(VLOOKUP(E211,E$1:E210,1,FALSE()))),"OLD",IF(AND(E211&lt;&gt;"",E211&lt;&gt;"!!!"),"NEW","")))</f>
        <v>OLD</v>
      </c>
      <c r="G211" s="23" t="s">
        <v>669</v>
      </c>
      <c r="H211" s="24" t="str">
        <f t="shared" ca="1" si="27"/>
        <v/>
      </c>
      <c r="I211" s="25" t="str">
        <f>IF(OR(E211="",E211="!!!",F211="NEW"),"",INDEX(B$2:B210,-1+SUMPRODUCT(MAX(ROW(E$2:E210)*(E211=E$2:E210)))))</f>
        <v>other_3</v>
      </c>
      <c r="J211" s="25">
        <f ca="1">IF(OR(E211="",E211="!!!",F211="NEW"),"",COUNTBLANK(OFFSET(A$1,,,SUMPRODUCT(MAX(ROW(E$2:E211)*(E211=E$2:E211)))))-COUNTBLANK(OFFSET(A$1,,,SUMPRODUCT(MAX(ROW(E$1:E210)*(E2=E$1:E210))))))</f>
        <v>0</v>
      </c>
      <c r="K211" s="25" t="str">
        <f ca="1">IF(OR(E211="",E211="!!!",F211="NEW"),"",INDEX(J$1:J210,SUMPRODUCT(MAX(ROW(E$1:E210)*(E211=E$1:E210)))))</f>
        <v/>
      </c>
      <c r="L211" s="26"/>
    </row>
    <row r="212" spans="1:12" x14ac:dyDescent="0.3">
      <c r="A212" t="s">
        <v>237</v>
      </c>
      <c r="E212" s="21" t="str">
        <f t="shared" si="26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7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4" spans="1:12" x14ac:dyDescent="0.3">
      <c r="A214" t="s">
        <v>346</v>
      </c>
    </row>
    <row r="215" spans="1:12" x14ac:dyDescent="0.3">
      <c r="A215" t="s">
        <v>257</v>
      </c>
      <c r="E215" s="21" t="str">
        <f t="shared" ref="E215:E231" si="28">IF(D215="?OLD","!!!","")</f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ref="H215:H231" ca="1" si="29">IF(J215&lt;&gt;1,"",IF(I215="SBJ","CB","?"))</f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233</v>
      </c>
      <c r="E216" s="21" t="str">
        <f t="shared" si="28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9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347</v>
      </c>
      <c r="B217" s="20" t="s">
        <v>232</v>
      </c>
      <c r="C217" s="20" t="s">
        <v>244</v>
      </c>
      <c r="D217" s="20" t="s">
        <v>236</v>
      </c>
      <c r="E217" s="21" t="s">
        <v>619</v>
      </c>
      <c r="F217" s="22" t="s">
        <v>608</v>
      </c>
      <c r="G217" s="23"/>
      <c r="H217" s="24" t="str">
        <f t="shared" ca="1" si="29"/>
        <v/>
      </c>
      <c r="I217" s="25" t="e">
        <f>IF(OR(E217="",E217="!!!",F217="NEW"),"",INDEX(B$2:B216,-1+SUMPRODUCT(MAX(ROW(E$2:E216)*(E217=E$2:E216)))))</f>
        <v>#VALUE!</v>
      </c>
      <c r="J217" s="25">
        <f ca="1">IF(OR(E217="",E217="!!!",F217="NEW"),"",COUNTBLANK(OFFSET(A$1,,,SUMPRODUCT(MAX(ROW(E$2:E217)*(E217=E$2:E217)))))-COUNTBLANK(OFFSET(A$1,,,SUMPRODUCT(MAX(ROW(E$1:E216)*(E2=E$1:E216))))))</f>
        <v>0</v>
      </c>
      <c r="K217" s="25" t="e">
        <f>IF(OR(E217="",E217="!!!",F217="NEW"),"",INDEX(J$1:J216,SUMPRODUCT(MAX(ROW(E$1:E216)*(E217=E$1:E216)))))</f>
        <v>#VALUE!</v>
      </c>
      <c r="L217" s="26"/>
    </row>
    <row r="218" spans="1:12" x14ac:dyDescent="0.3">
      <c r="A218" t="s">
        <v>212</v>
      </c>
      <c r="E218" s="21" t="str">
        <f t="shared" si="28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9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321</v>
      </c>
      <c r="B219" s="20" t="s">
        <v>211</v>
      </c>
      <c r="C219" s="20" t="s">
        <v>244</v>
      </c>
      <c r="D219" s="20" t="s">
        <v>236</v>
      </c>
      <c r="E219" s="21" t="s">
        <v>613</v>
      </c>
      <c r="F219" s="22" t="str">
        <f>IF(OR(E219="",E219="!!!"),"",IF(NOT(ISNA(VLOOKUP(E219,E$1:E218,1,FALSE()))),"OLD",IF(AND(E219&lt;&gt;"",E219&lt;&gt;"!!!"),"NEW","")))</f>
        <v>OLD</v>
      </c>
      <c r="G219" s="23" t="s">
        <v>604</v>
      </c>
      <c r="H219" s="24" t="str">
        <f t="shared" ca="1" si="29"/>
        <v/>
      </c>
      <c r="I219" s="25" t="str">
        <f>IF(OR(E219="",E219="!!!",F219="NEW"),"",INDEX(B$2:B218,-1+SUMPRODUCT(MAX(ROW(E$2:E218)*(E219=E$2:E218)))))</f>
        <v>other</v>
      </c>
      <c r="J219" s="25">
        <f ca="1">IF(OR(E219="",E219="!!!",F219="NEW"),"",COUNTBLANK(OFFSET(A$1,,,SUMPRODUCT(MAX(ROW(E$2:E219)*(E219=E$2:E219)))))-COUNTBLANK(OFFSET(A$1,,,SUMPRODUCT(MAX(ROW(E$1:E218)*(E2=E$1:E218))))))</f>
        <v>0</v>
      </c>
      <c r="K219" s="25" t="str">
        <f ca="1">IF(OR(E219="",E219="!!!",F219="NEW"),"",INDEX(J$1:J218,SUMPRODUCT(MAX(ROW(E$1:E218)*(E219=E$1:E218)))))</f>
        <v/>
      </c>
      <c r="L219" s="26"/>
    </row>
    <row r="220" spans="1:12" x14ac:dyDescent="0.3">
      <c r="A220" t="s">
        <v>225</v>
      </c>
      <c r="E220" s="21" t="str">
        <f t="shared" si="28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9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348</v>
      </c>
      <c r="B221" s="20" t="s">
        <v>214</v>
      </c>
      <c r="C221" s="20" t="s">
        <v>235</v>
      </c>
      <c r="D221" s="20" t="s">
        <v>236</v>
      </c>
      <c r="E221" s="21" t="s">
        <v>616</v>
      </c>
      <c r="F221" s="22" t="str">
        <f>IF(OR(E221="",E221="!!!"),"",IF(NOT(ISNA(VLOOKUP(E221,E$1:E220,1,FALSE()))),"OLD",IF(AND(E221&lt;&gt;"",E221&lt;&gt;"!!!"),"NEW","")))</f>
        <v>OLD</v>
      </c>
      <c r="G221" s="23" t="s">
        <v>669</v>
      </c>
      <c r="H221" s="24" t="s">
        <v>197</v>
      </c>
      <c r="I221" s="25" t="str">
        <f>IF(OR(E221="",E221="!!!",F221="NEW"),"",INDEX(B$2:B220,-1+SUMPRODUCT(MAX(ROW(E$2:E220)*(E221=E$2:E220)))))</f>
        <v>other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349</v>
      </c>
      <c r="E222" s="21" t="str">
        <f t="shared" si="28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9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215</v>
      </c>
      <c r="E223" s="21" t="str">
        <f t="shared" si="28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9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350</v>
      </c>
      <c r="B224" s="20" t="s">
        <v>207</v>
      </c>
      <c r="C224" s="20" t="s">
        <v>244</v>
      </c>
      <c r="D224" s="20" t="s">
        <v>236</v>
      </c>
      <c r="E224" s="21" t="s">
        <v>617</v>
      </c>
      <c r="F224" s="22" t="str">
        <f>IF(OR(E224="",E224="!!!"),"",IF(NOT(ISNA(VLOOKUP(E224,E$1:E223,1,FALSE()))),"OLD",IF(AND(E224&lt;&gt;"",E224&lt;&gt;"!!!"),"NEW","")))</f>
        <v>NEW</v>
      </c>
      <c r="G224" s="23" t="s">
        <v>670</v>
      </c>
      <c r="H224" s="24" t="str">
        <f t="shared" ca="1" si="29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351</v>
      </c>
      <c r="E225" s="21" t="str">
        <f t="shared" si="28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9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303</v>
      </c>
      <c r="E226" s="21" t="str">
        <f t="shared" si="28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9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332</v>
      </c>
      <c r="E227" s="21" t="str">
        <f t="shared" si="28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9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337</v>
      </c>
      <c r="E228" s="21" t="str">
        <f t="shared" si="28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9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352</v>
      </c>
      <c r="B229" s="20" t="s">
        <v>345</v>
      </c>
      <c r="C229" s="20" t="s">
        <v>235</v>
      </c>
      <c r="D229" s="20" t="s">
        <v>236</v>
      </c>
      <c r="E229" s="21" t="s">
        <v>618</v>
      </c>
      <c r="F229" s="22" t="str">
        <f>IF(OR(E229="",E229="!!!"),"",IF(NOT(ISNA(VLOOKUP(E229,E$1:E228,1,FALSE()))),"OLD",IF(AND(E229&lt;&gt;"",E229&lt;&gt;"!!!"),"NEW","")))</f>
        <v>NEW</v>
      </c>
      <c r="G229" s="23" t="s">
        <v>670</v>
      </c>
      <c r="H229" s="24" t="str">
        <f t="shared" ca="1" si="29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353</v>
      </c>
      <c r="E230" s="21" t="str">
        <f t="shared" si="28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9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237</v>
      </c>
      <c r="E231" s="21" t="str">
        <f t="shared" si="28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9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3" spans="1:12" x14ac:dyDescent="0.3">
      <c r="A233" t="s">
        <v>354</v>
      </c>
    </row>
    <row r="234" spans="1:12" x14ac:dyDescent="0.3">
      <c r="A234" t="s">
        <v>355</v>
      </c>
      <c r="E234" s="21" t="str">
        <f t="shared" ref="E234:E239" si="30">IF(D234="?OLD","!!!","")</f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ref="H234:H239" ca="1" si="31">IF(J234&lt;&gt;1,"",IF(I234="SBJ","CB","?"))</f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356</v>
      </c>
      <c r="E235" s="21" t="str">
        <f t="shared" si="30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31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240</v>
      </c>
      <c r="B236" s="20" t="s">
        <v>220</v>
      </c>
      <c r="C236" s="20" t="s">
        <v>241</v>
      </c>
      <c r="D236" s="20" t="s">
        <v>236</v>
      </c>
      <c r="E236" s="21" t="s">
        <v>616</v>
      </c>
      <c r="F236" s="22" t="str">
        <f>IF(OR(E236="",E236="!!!"),"",IF(NOT(ISNA(VLOOKUP(E236,E$1:E235,1,FALSE()))),"OLD",IF(AND(E236&lt;&gt;"",E236&lt;&gt;"!!!"),"NEW","")))</f>
        <v>OLD</v>
      </c>
      <c r="G236" s="23" t="s">
        <v>603</v>
      </c>
      <c r="H236" s="24" t="s">
        <v>197</v>
      </c>
      <c r="I236" s="25" t="str">
        <f>IF(OR(E236="",E236="!!!",F236="NEW"),"",INDEX(B$2:B235,-1+SUMPRODUCT(MAX(ROW(E$2:E235)*(E236=E$2:E235)))))</f>
        <v>OBJ_2</v>
      </c>
      <c r="J236" s="25">
        <f ca="1">IF(OR(E236="",E236="!!!",F236="NEW"),"",COUNTBLANK(OFFSET(A$1,,,SUMPRODUCT(MAX(ROW(E$2:E236)*(E236=E$2:E236)))))-COUNTBLANK(OFFSET(A$1,,,SUMPRODUCT(MAX(ROW(E$1:E235)*(E2=E$1:E235))))))</f>
        <v>0</v>
      </c>
      <c r="K236" s="25">
        <f ca="1">IF(OR(E236="",E236="!!!",F236="NEW"),"",INDEX(J$1:J235,SUMPRODUCT(MAX(ROW(E$1:E235)*(E236=E$1:E235)))))</f>
        <v>0</v>
      </c>
      <c r="L236" s="26"/>
    </row>
    <row r="237" spans="1:12" x14ac:dyDescent="0.3">
      <c r="A237" t="s">
        <v>357</v>
      </c>
      <c r="E237" s="21" t="str">
        <f t="shared" si="30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31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358</v>
      </c>
      <c r="E238" s="21" t="str">
        <f t="shared" si="30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31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237</v>
      </c>
      <c r="E239" s="21" t="str">
        <f t="shared" si="30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31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1" spans="1:12" x14ac:dyDescent="0.3">
      <c r="A241" t="s">
        <v>359</v>
      </c>
    </row>
    <row r="242" spans="1:12" x14ac:dyDescent="0.3">
      <c r="A242" t="s">
        <v>360</v>
      </c>
      <c r="E242" s="21" t="str">
        <f t="shared" ref="E242:E253" si="32">IF(D242="?OLD","!!!","")</f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ref="H242:H253" ca="1" si="33">IF(J242&lt;&gt;1,"",IF(I242="SBJ","CB","?"))</f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361</v>
      </c>
      <c r="B243" s="20" t="s">
        <v>220</v>
      </c>
      <c r="C243" s="20" t="s">
        <v>262</v>
      </c>
      <c r="E243" s="21" t="str">
        <f t="shared" si="32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33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72</v>
      </c>
      <c r="E244" s="21" t="str">
        <f t="shared" si="32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33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362</v>
      </c>
      <c r="E245" s="21" t="s">
        <v>616</v>
      </c>
      <c r="F245" s="22" t="str">
        <f>IF(OR(E245="",E245="!!!"),"",IF(NOT(ISNA(VLOOKUP(E245,E$1:E244,1,FALSE()))),"OLD",IF(AND(E245&lt;&gt;"",E245&lt;&gt;"!!!"),"NEW","")))</f>
        <v>OLD</v>
      </c>
      <c r="G245" s="23" t="s">
        <v>603</v>
      </c>
      <c r="H245" s="24" t="s">
        <v>197</v>
      </c>
      <c r="I245" s="25" t="str">
        <f>IF(OR(E245="",E245="!!!",F245="NEW"),"",INDEX(B$2:B244,-1+SUMPRODUCT(MAX(ROW(E$2:E244)*(E245=E$2:E244)))))</f>
        <v>SBJ</v>
      </c>
      <c r="J245" s="25">
        <f ca="1">IF(OR(E245="",E245="!!!",F245="NEW"),"",COUNTBLANK(OFFSET(A$1,,,SUMPRODUCT(MAX(ROW(E$2:E245)*(E245=E$2:E245)))))-COUNTBLANK(OFFSET(A$1,,,SUMPRODUCT(MAX(ROW(E$1:E244)*(E2=E$1:E244))))))</f>
        <v>0</v>
      </c>
      <c r="K245" s="25">
        <f ca="1">IF(OR(E245="",E245="!!!",F245="NEW"),"",INDEX(J$1:J244,SUMPRODUCT(MAX(ROW(E$1:E244)*(E245=E$1:E244)))))</f>
        <v>0</v>
      </c>
      <c r="L245" s="26" t="s">
        <v>607</v>
      </c>
    </row>
    <row r="246" spans="1:12" x14ac:dyDescent="0.3">
      <c r="A246" t="s">
        <v>11</v>
      </c>
      <c r="E246" s="21" t="str">
        <f t="shared" si="32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33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363</v>
      </c>
      <c r="E247" s="21" t="str">
        <f t="shared" si="32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33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160</v>
      </c>
      <c r="E248" s="21" t="str">
        <f t="shared" si="32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33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223</v>
      </c>
      <c r="B249" s="20" t="s">
        <v>255</v>
      </c>
      <c r="C249" s="20" t="s">
        <v>262</v>
      </c>
      <c r="E249" s="21" t="str">
        <f t="shared" si="32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33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303</v>
      </c>
      <c r="E250" s="21" t="str">
        <f t="shared" si="32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33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82</v>
      </c>
      <c r="E251" s="21" t="str">
        <f t="shared" si="32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33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344</v>
      </c>
      <c r="B252" s="20" t="s">
        <v>232</v>
      </c>
      <c r="C252" s="20" t="s">
        <v>262</v>
      </c>
      <c r="E252" s="21" t="str">
        <f t="shared" si="32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33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237</v>
      </c>
      <c r="E253" s="21" t="str">
        <f t="shared" si="32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33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5" spans="1:12" x14ac:dyDescent="0.3">
      <c r="A255" t="s">
        <v>364</v>
      </c>
    </row>
    <row r="256" spans="1:12" x14ac:dyDescent="0.3">
      <c r="A256" t="s">
        <v>365</v>
      </c>
      <c r="B256" s="20" t="s">
        <v>220</v>
      </c>
      <c r="C256" s="20" t="s">
        <v>203</v>
      </c>
      <c r="E256" s="21" t="s">
        <v>622</v>
      </c>
      <c r="F256" s="22" t="s">
        <v>621</v>
      </c>
      <c r="G256" s="23"/>
      <c r="H256" s="24" t="str">
        <f t="shared" ref="H256:H265" ca="1" si="34">IF(J256&lt;&gt;1,"",IF(I256="SBJ","CB","?"))</f>
        <v/>
      </c>
      <c r="I256" s="25" t="e">
        <f>IF(OR(E256="",E256="!!!",F256="NEW"),"",INDEX(B$2:B255,-1+SUMPRODUCT(MAX(ROW(E$2:E255)*(E256=E$2:E255)))))</f>
        <v>#VALUE!</v>
      </c>
      <c r="J256" s="25">
        <f ca="1">IF(OR(E256="",E256="!!!",F256="NEW"),"",COUNTBLANK(OFFSET(A$1,,,SUMPRODUCT(MAX(ROW(E$2:E256)*(E256=E$2:E256)))))-COUNTBLANK(OFFSET(A$1,,,SUMPRODUCT(MAX(ROW(E$1:E255)*(E2=E$1:E255))))))</f>
        <v>0</v>
      </c>
      <c r="K256" s="25" t="e">
        <f>IF(OR(E256="",E256="!!!",F256="NEW"),"",INDEX(J$1:J255,SUMPRODUCT(MAX(ROW(E$1:E255)*(E256=E$1:E255)))))</f>
        <v>#VALUE!</v>
      </c>
      <c r="L256" s="26" t="s">
        <v>624</v>
      </c>
    </row>
    <row r="257" spans="1:12" x14ac:dyDescent="0.3">
      <c r="A257" t="s">
        <v>366</v>
      </c>
      <c r="E257" s="21" t="str">
        <f t="shared" ref="E257:E265" si="35">IF(D257="?OLD","!!!","")</f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34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367</v>
      </c>
      <c r="E258" s="21" t="str">
        <f t="shared" si="35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34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368</v>
      </c>
      <c r="B259" s="20" t="s">
        <v>207</v>
      </c>
      <c r="C259" s="20" t="s">
        <v>241</v>
      </c>
      <c r="D259" s="20" t="s">
        <v>236</v>
      </c>
      <c r="E259" s="21"/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34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11</v>
      </c>
      <c r="E260" s="21" t="str">
        <f t="shared" si="35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34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369</v>
      </c>
      <c r="E261" s="21" t="str">
        <f t="shared" si="35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34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370</v>
      </c>
      <c r="E262" s="21" t="str">
        <f t="shared" si="35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34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371</v>
      </c>
      <c r="E263" s="21" t="str">
        <f t="shared" si="35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34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372</v>
      </c>
      <c r="B264" s="20" t="s">
        <v>202</v>
      </c>
      <c r="C264" s="20" t="s">
        <v>203</v>
      </c>
      <c r="E264" s="21" t="str">
        <f t="shared" si="35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34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237</v>
      </c>
      <c r="E265" s="21" t="str">
        <f t="shared" si="35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34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7" spans="1:12" x14ac:dyDescent="0.3">
      <c r="A267" t="s">
        <v>373</v>
      </c>
    </row>
    <row r="268" spans="1:12" x14ac:dyDescent="0.3">
      <c r="A268" t="s">
        <v>307</v>
      </c>
      <c r="E268" s="21" t="str">
        <f t="shared" ref="E268:E276" si="36">IF(D268="?OLD","!!!","")</f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ref="H268:H276" ca="1" si="37">IF(J268&lt;&gt;1,"",IF(I268="SBJ","CB","?"))</f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374</v>
      </c>
      <c r="B269" s="20" t="s">
        <v>220</v>
      </c>
      <c r="C269" s="20" t="s">
        <v>235</v>
      </c>
      <c r="D269" s="20" t="s">
        <v>236</v>
      </c>
      <c r="E269" s="21" t="s">
        <v>620</v>
      </c>
      <c r="F269" s="22" t="str">
        <f>IF(OR(E269="",E269="!!!"),"",IF(NOT(ISNA(VLOOKUP(E269,E$1:E268,1,FALSE()))),"OLD",IF(AND(E269&lt;&gt;"",E269&lt;&gt;"!!!"),"NEW","")))</f>
        <v>NEW</v>
      </c>
      <c r="G269" s="23" t="s">
        <v>673</v>
      </c>
      <c r="H269" s="24" t="str">
        <f t="shared" ca="1" si="37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271</v>
      </c>
      <c r="E270" s="21" t="str">
        <f t="shared" si="36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3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264</v>
      </c>
      <c r="E271" s="21" t="str">
        <f t="shared" si="36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37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375</v>
      </c>
      <c r="B272" s="20" t="s">
        <v>202</v>
      </c>
      <c r="C272" s="20" t="s">
        <v>252</v>
      </c>
      <c r="E272" s="21" t="str">
        <f t="shared" si="3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3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376</v>
      </c>
      <c r="E273" s="21" t="str">
        <f t="shared" si="3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3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332</v>
      </c>
      <c r="E274" s="21" t="str">
        <f t="shared" si="3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3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377</v>
      </c>
      <c r="B275" s="20" t="s">
        <v>202</v>
      </c>
      <c r="C275" s="20" t="s">
        <v>235</v>
      </c>
      <c r="D275" s="20" t="s">
        <v>236</v>
      </c>
      <c r="E275" s="21"/>
      <c r="F275" s="22" t="s">
        <v>601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3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237</v>
      </c>
      <c r="E276" s="21" t="str">
        <f t="shared" si="36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37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8" spans="1:12" x14ac:dyDescent="0.3">
      <c r="A278" t="s">
        <v>378</v>
      </c>
      <c r="E278" s="21" t="str">
        <f>IF(D278="?OLD","!!!","")</f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ca="1">IF(J278&lt;&gt;1,"",IF(I278="SBJ","CB","?"))</f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379</v>
      </c>
    </row>
    <row r="280" spans="1:12" x14ac:dyDescent="0.3">
      <c r="A280" t="s">
        <v>205</v>
      </c>
      <c r="E280" s="21" t="str">
        <f t="shared" ref="E280:E308" si="38">IF(D280="?OLD","!!!","")</f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ref="H280:H308" ca="1" si="39">IF(J280&lt;&gt;1,"",IF(I280="SBJ","CB","?"))</f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380</v>
      </c>
      <c r="E281" s="21" t="str">
        <f t="shared" si="3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271</v>
      </c>
      <c r="E282" s="21" t="str">
        <f t="shared" si="3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3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370</v>
      </c>
      <c r="E283" s="21" t="str">
        <f t="shared" si="3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381</v>
      </c>
      <c r="E284" s="21" t="str">
        <f t="shared" si="38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3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231</v>
      </c>
      <c r="E285" s="21" t="str">
        <f t="shared" si="3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3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92</v>
      </c>
      <c r="E286" s="21" t="str">
        <f t="shared" si="3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3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204</v>
      </c>
      <c r="E287" s="21" t="str">
        <f t="shared" si="3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206</v>
      </c>
      <c r="B288" s="20" t="s">
        <v>345</v>
      </c>
      <c r="C288" s="20" t="s">
        <v>208</v>
      </c>
      <c r="E288" s="21"/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ht="28.8" x14ac:dyDescent="0.3">
      <c r="A289" t="s">
        <v>210</v>
      </c>
      <c r="B289" s="20" t="s">
        <v>207</v>
      </c>
      <c r="C289" s="20" t="s">
        <v>203</v>
      </c>
      <c r="E289" s="21" t="s">
        <v>633</v>
      </c>
      <c r="F289" s="22" t="str">
        <f>IF(OR(E289="",E289="!!!"),"",IF(NOT(ISNA(VLOOKUP(E289,E$1:E288,1,FALSE()))),"OLD",IF(AND(E289&lt;&gt;"",E289&lt;&gt;"!!!"),"NEW","")))</f>
        <v>NEW</v>
      </c>
      <c r="G289" s="23" t="s">
        <v>670</v>
      </c>
      <c r="H289" s="24" t="str">
        <f t="shared" ca="1" si="3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 t="s">
        <v>663</v>
      </c>
    </row>
    <row r="290" spans="1:12" x14ac:dyDescent="0.3">
      <c r="A290" t="s">
        <v>224</v>
      </c>
      <c r="E290" s="21" t="str">
        <f t="shared" si="3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3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225</v>
      </c>
      <c r="B291" s="20" t="s">
        <v>382</v>
      </c>
      <c r="E291" s="21" t="str">
        <f t="shared" si="3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383</v>
      </c>
      <c r="E292" s="21" t="str">
        <f t="shared" si="3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384</v>
      </c>
      <c r="E293" s="21" t="str">
        <f t="shared" si="3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224</v>
      </c>
      <c r="E294" s="21" t="str">
        <f t="shared" si="3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212</v>
      </c>
      <c r="E295" s="21" t="str">
        <f t="shared" si="3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3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291</v>
      </c>
      <c r="E296" s="21" t="str">
        <f t="shared" si="3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385</v>
      </c>
      <c r="E297" s="21" t="s">
        <v>633</v>
      </c>
      <c r="F297" s="22" t="str">
        <f>IF(OR(E297="",E297="!!!"),"",IF(NOT(ISNA(VLOOKUP(E297,E$1:E296,1,FALSE()))),"OLD",IF(AND(E297&lt;&gt;"",E297&lt;&gt;"!!!"),"NEW","")))</f>
        <v>OLD</v>
      </c>
      <c r="G297" s="23" t="s">
        <v>603</v>
      </c>
      <c r="H297" s="24" t="str">
        <f t="shared" ca="1" si="39"/>
        <v/>
      </c>
      <c r="I297" s="25" t="str">
        <f>IF(OR(E297="",E297="!!!",F297="NEW"),"",INDEX(B$2:B296,-1+SUMPRODUCT(MAX(ROW(E$2:E296)*(E297=E$2:E296)))))</f>
        <v>other_3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 t="str">
        <f ca="1">IF(OR(E297="",E297="!!!",F297="NEW"),"",INDEX(J$1:J296,SUMPRODUCT(MAX(ROW(E$1:E296)*(E297=E$1:E296)))))</f>
        <v/>
      </c>
      <c r="L297" s="26"/>
    </row>
    <row r="298" spans="1:12" x14ac:dyDescent="0.3">
      <c r="A298" t="s">
        <v>12</v>
      </c>
      <c r="B298" s="20" t="s">
        <v>232</v>
      </c>
      <c r="C298" s="20" t="s">
        <v>277</v>
      </c>
      <c r="E298" s="21" t="s">
        <v>627</v>
      </c>
      <c r="F298" s="22" t="str">
        <f>IF(OR(E298="",E298="!!!"),"",IF(NOT(ISNA(VLOOKUP(E298,E$1:E297,1,FALSE()))),"OLD",IF(AND(E298&lt;&gt;"",E298&lt;&gt;"!!!"),"NEW","")))</f>
        <v>OLD</v>
      </c>
      <c r="G298" s="23" t="s">
        <v>604</v>
      </c>
      <c r="H298" s="24" t="str">
        <f t="shared" ca="1" si="39"/>
        <v/>
      </c>
      <c r="I298" s="25" t="str">
        <f>IF(OR(E298="",E298="!!!",F298="NEW"),"",INDEX(B$2:B297,-1+SUMPRODUCT(MAX(ROW(E$2:E297)*(E298=E$2:E297)))))</f>
        <v>other_2</v>
      </c>
      <c r="J298" s="25">
        <f ca="1">IF(OR(E298="",E298="!!!",F298="NEW"),"",COUNTBLANK(OFFSET(A$1,,,SUMPRODUCT(MAX(ROW(E$2:E298)*(E298=E$2:E298)))))-COUNTBLANK(OFFSET(A$1,,,SUMPRODUCT(MAX(ROW(E$1:E297)*(E2=E$1:E297))))))</f>
        <v>0</v>
      </c>
      <c r="K298" s="25" t="str">
        <f ca="1">IF(OR(E298="",E298="!!!",F298="NEW"),"",INDEX(J$1:J297,SUMPRODUCT(MAX(ROW(E$1:E297)*(E298=E$1:E297)))))</f>
        <v/>
      </c>
      <c r="L298" s="26"/>
    </row>
    <row r="299" spans="1:12" x14ac:dyDescent="0.3">
      <c r="A299" t="s">
        <v>213</v>
      </c>
      <c r="B299" s="20" t="s">
        <v>214</v>
      </c>
      <c r="C299" s="20" t="s">
        <v>203</v>
      </c>
      <c r="E299" s="21" t="str">
        <f t="shared" si="38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9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215</v>
      </c>
      <c r="E300" s="21" t="str">
        <f t="shared" si="3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216</v>
      </c>
      <c r="E301" s="21"/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217</v>
      </c>
      <c r="B302" s="20" t="s">
        <v>207</v>
      </c>
      <c r="C302" s="20" t="s">
        <v>203</v>
      </c>
      <c r="E302" s="21" t="s">
        <v>605</v>
      </c>
      <c r="F302" s="22" t="str">
        <f>IF(OR(E302="",E302="!!!"),"",IF(NOT(ISNA(VLOOKUP(E302,E$1:E301,1,FALSE()))),"OLD",IF(AND(E302&lt;&gt;"",E302&lt;&gt;"!!!"),"NEW","")))</f>
        <v>OLD</v>
      </c>
      <c r="G302" s="23" t="s">
        <v>604</v>
      </c>
      <c r="H302" s="24" t="str">
        <f t="shared" ca="1" si="39"/>
        <v/>
      </c>
      <c r="I302" s="25" t="str">
        <f>IF(OR(E302="",E302="!!!",F302="NEW"),"",INDEX(B$2:B301,-1+SUMPRODUCT(MAX(ROW(E$2:E301)*(E302=E$2:E301)))))</f>
        <v>SBJ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>
        <f ca="1">IF(OR(E302="",E302="!!!",F302="NEW"),"",INDEX(J$1:J301,SUMPRODUCT(MAX(ROW(E$1:E301)*(E302=E$1:E301)))))</f>
        <v>0</v>
      </c>
      <c r="L302" s="26"/>
    </row>
    <row r="303" spans="1:12" x14ac:dyDescent="0.3">
      <c r="A303" t="s">
        <v>386</v>
      </c>
      <c r="E303" s="21" t="str">
        <f t="shared" si="3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205</v>
      </c>
      <c r="E304" s="21" t="str">
        <f t="shared" si="38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224</v>
      </c>
      <c r="E305" s="21" t="str">
        <f t="shared" si="3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387</v>
      </c>
      <c r="E306" s="21" t="str">
        <f t="shared" si="38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314</v>
      </c>
      <c r="B307" s="20" t="s">
        <v>220</v>
      </c>
      <c r="C307" s="20" t="s">
        <v>203</v>
      </c>
      <c r="E307" s="21" t="s">
        <v>610</v>
      </c>
      <c r="F307" s="22" t="str">
        <f>IF(OR(E307="",E307="!!!"),"",IF(NOT(ISNA(VLOOKUP(E307,E$1:E306,1,FALSE()))),"OLD",IF(AND(E307&lt;&gt;"",E307&lt;&gt;"!!!"),"NEW","")))</f>
        <v>OLD</v>
      </c>
      <c r="G307" s="23" t="s">
        <v>604</v>
      </c>
      <c r="H307" s="24" t="str">
        <f t="shared" ca="1" si="39"/>
        <v/>
      </c>
      <c r="I307" s="25" t="str">
        <f>IF(OR(E307="",E307="!!!",F307="NEW"),"",INDEX(B$2:B306,-1+SUMPRODUCT(MAX(ROW(E$2:E306)*(E307=E$2:E306)))))</f>
        <v>SBJ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>
        <f ca="1">IF(OR(E307="",E307="!!!",F307="NEW"),"",INDEX(J$1:J306,SUMPRODUCT(MAX(ROW(E$1:E306)*(E307=E$1:E306)))))</f>
        <v>0</v>
      </c>
      <c r="L307" s="26"/>
    </row>
    <row r="308" spans="1:12" x14ac:dyDescent="0.3">
      <c r="A308" t="s">
        <v>237</v>
      </c>
      <c r="E308" s="21" t="str">
        <f t="shared" si="3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10" spans="1:12" x14ac:dyDescent="0.3">
      <c r="A310" t="s">
        <v>378</v>
      </c>
      <c r="E310" s="21" t="str">
        <f>IF(D310="?OLD","!!!","")</f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ca="1">IF(J310&lt;&gt;1,"",IF(I310="SBJ","CB","?"))</f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388</v>
      </c>
    </row>
    <row r="312" spans="1:12" x14ac:dyDescent="0.3">
      <c r="A312" t="s">
        <v>205</v>
      </c>
      <c r="E312" s="21" t="str">
        <f t="shared" ref="E312:E345" si="40">IF(D312="?OLD","!!!","")</f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ref="H312:H345" ca="1" si="41">IF(J312&lt;&gt;1,"",IF(I312="SBJ","CB","?"))</f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365</v>
      </c>
      <c r="B313" s="20" t="s">
        <v>211</v>
      </c>
      <c r="C313" s="20" t="s">
        <v>203</v>
      </c>
      <c r="E313" s="21" t="s">
        <v>622</v>
      </c>
      <c r="F313" s="22" t="str">
        <f>IF(OR(E313="",E313="!!!"),"",IF(NOT(ISNA(VLOOKUP(E313,E$1:E312,1,FALSE()))),"OLD",IF(AND(E313&lt;&gt;"",E313&lt;&gt;"!!!"),"NEW","")))</f>
        <v>OLD</v>
      </c>
      <c r="G313" s="23" t="s">
        <v>604</v>
      </c>
      <c r="H313" s="24" t="str">
        <f t="shared" ca="1" si="41"/>
        <v/>
      </c>
      <c r="I313" s="25" t="str">
        <f>IF(OR(E313="",E313="!!!",F313="NEW"),"",INDEX(B$2:B312,-1+SUMPRODUCT(MAX(ROW(E$2:E312)*(E313=E$2:E312)))))</f>
        <v>SBJ</v>
      </c>
      <c r="J313" s="25">
        <f ca="1">IF(OR(E313="",E313="!!!",F313="NEW"),"",COUNTBLANK(OFFSET(A$1,,,SUMPRODUCT(MAX(ROW(E$2:E313)*(E313=E$2:E313)))))-COUNTBLANK(OFFSET(A$1,,,SUMPRODUCT(MAX(ROW(E$1:E312)*(E2=E$1:E312))))))</f>
        <v>0</v>
      </c>
      <c r="K313" s="25">
        <f ca="1">IF(OR(E313="",E313="!!!",F313="NEW"),"",INDEX(J$1:J312,SUMPRODUCT(MAX(ROW(E$1:E312)*(E313=E$1:E312)))))</f>
        <v>0</v>
      </c>
      <c r="L313" s="26"/>
    </row>
    <row r="314" spans="1:12" x14ac:dyDescent="0.3">
      <c r="A314" t="s">
        <v>228</v>
      </c>
      <c r="E314" s="21" t="str">
        <f t="shared" si="40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41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389</v>
      </c>
      <c r="E315" s="21" t="str">
        <f t="shared" si="40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41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390</v>
      </c>
      <c r="B316" s="20" t="s">
        <v>232</v>
      </c>
      <c r="C316" s="20" t="s">
        <v>203</v>
      </c>
      <c r="E316" s="21" t="str">
        <f t="shared" si="40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41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224</v>
      </c>
      <c r="E317" s="21" t="str">
        <f t="shared" si="40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41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391</v>
      </c>
      <c r="E318" s="21" t="str">
        <f t="shared" si="40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41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240</v>
      </c>
      <c r="B319" s="20" t="s">
        <v>226</v>
      </c>
      <c r="C319" s="20" t="s">
        <v>241</v>
      </c>
      <c r="D319" s="20" t="s">
        <v>236</v>
      </c>
      <c r="E319" s="21" t="s">
        <v>622</v>
      </c>
      <c r="F319" s="22" t="str">
        <f>IF(OR(E319="",E319="!!!"),"",IF(NOT(ISNA(VLOOKUP(E319,E$1:E318,1,FALSE()))),"OLD",IF(AND(E319&lt;&gt;"",E319&lt;&gt;"!!!"),"NEW","")))</f>
        <v>OLD</v>
      </c>
      <c r="G319" s="23" t="s">
        <v>603</v>
      </c>
      <c r="H319" s="24" t="str">
        <f t="shared" ca="1" si="41"/>
        <v/>
      </c>
      <c r="I319" s="25" t="str">
        <f>IF(OR(E319="",E319="!!!",F319="NEW"),"",INDEX(B$2:B318,-1+SUMPRODUCT(MAX(ROW(E$2:E318)*(E319=E$2:E318)))))</f>
        <v>SBJ_2</v>
      </c>
      <c r="J319" s="25">
        <f ca="1">IF(OR(E319="",E319="!!!",F319="NEW"),"",COUNTBLANK(OFFSET(A$1,,,SUMPRODUCT(MAX(ROW(E$2:E319)*(E319=E$2:E319)))))-COUNTBLANK(OFFSET(A$1,,,SUMPRODUCT(MAX(ROW(E$1:E318)*(E2=E$1:E318))))))</f>
        <v>0</v>
      </c>
      <c r="K319" s="25">
        <f ca="1">IF(OR(E319="",E319="!!!",F319="NEW"),"",INDEX(J$1:J318,SUMPRODUCT(MAX(ROW(E$1:E318)*(E319=E$1:E318)))))</f>
        <v>0</v>
      </c>
      <c r="L319" s="26"/>
    </row>
    <row r="320" spans="1:12" x14ac:dyDescent="0.3">
      <c r="A320" t="s">
        <v>392</v>
      </c>
      <c r="E320" s="21" t="str">
        <f t="shared" si="40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41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393</v>
      </c>
      <c r="E321" s="21" t="str">
        <f t="shared" si="4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4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394</v>
      </c>
      <c r="E322" s="21" t="str">
        <f t="shared" si="40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4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224</v>
      </c>
      <c r="E323" s="21" t="str">
        <f t="shared" si="40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4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391</v>
      </c>
      <c r="E324" s="21" t="str">
        <f t="shared" si="4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4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395</v>
      </c>
      <c r="B325" s="20" t="s">
        <v>396</v>
      </c>
      <c r="C325" s="20" t="s">
        <v>283</v>
      </c>
      <c r="D325" s="20" t="s">
        <v>236</v>
      </c>
      <c r="E325" s="21" t="s">
        <v>622</v>
      </c>
      <c r="F325" s="22" t="str">
        <f>IF(OR(E325="",E325="!!!"),"",IF(NOT(ISNA(VLOOKUP(E325,E$1:E324,1,FALSE()))),"OLD",IF(AND(E325&lt;&gt;"",E325&lt;&gt;"!!!"),"NEW","")))</f>
        <v>OLD</v>
      </c>
      <c r="G325" s="23" t="s">
        <v>603</v>
      </c>
      <c r="H325" s="24" t="str">
        <f t="shared" ca="1" si="41"/>
        <v/>
      </c>
      <c r="I325" s="25" t="str">
        <f>IF(OR(E325="",E325="!!!",F325="NEW"),"",INDEX(B$2:B324,-1+SUMPRODUCT(MAX(ROW(E$2:E324)*(E325=E$2:E324)))))</f>
        <v>SBJ_3</v>
      </c>
      <c r="J325" s="25">
        <f ca="1">IF(OR(E325="",E325="!!!",F325="NEW"),"",COUNTBLANK(OFFSET(A$1,,,SUMPRODUCT(MAX(ROW(E$2:E325)*(E325=E$2:E325)))))-COUNTBLANK(OFFSET(A$1,,,SUMPRODUCT(MAX(ROW(E$1:E324)*(E2=E$1:E324))))))</f>
        <v>0</v>
      </c>
      <c r="K325" s="25">
        <f ca="1">IF(OR(E325="",E325="!!!",F325="NEW"),"",INDEX(J$1:J324,SUMPRODUCT(MAX(ROW(E$1:E324)*(E325=E$1:E324)))))</f>
        <v>0</v>
      </c>
      <c r="L325" s="26"/>
    </row>
    <row r="326" spans="1:12" x14ac:dyDescent="0.3">
      <c r="A326" t="s">
        <v>397</v>
      </c>
      <c r="B326" s="20" t="s">
        <v>398</v>
      </c>
      <c r="C326" s="20" t="s">
        <v>203</v>
      </c>
      <c r="E326" s="21" t="str">
        <f t="shared" si="4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4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399</v>
      </c>
      <c r="E327" s="21" t="str">
        <f t="shared" si="40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4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332</v>
      </c>
      <c r="E328" s="21" t="str">
        <f t="shared" si="4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4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400</v>
      </c>
      <c r="B329" s="20" t="s">
        <v>401</v>
      </c>
      <c r="C329" s="20" t="s">
        <v>235</v>
      </c>
      <c r="D329" s="20" t="s">
        <v>236</v>
      </c>
      <c r="E329" s="21"/>
      <c r="F329" s="22" t="s">
        <v>601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4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402</v>
      </c>
      <c r="E330" s="21" t="str">
        <f t="shared" si="4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4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399</v>
      </c>
      <c r="E331" s="21" t="str">
        <f t="shared" si="4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4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391</v>
      </c>
      <c r="E332" s="21" t="str">
        <f t="shared" si="4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4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343</v>
      </c>
      <c r="E333" s="21" t="s">
        <v>622</v>
      </c>
      <c r="F333" s="22" t="str">
        <f>IF(OR(E333="",E333="!!!"),"",IF(NOT(ISNA(VLOOKUP(E333,E$1:E332,1,FALSE()))),"OLD",IF(AND(E333&lt;&gt;"",E333&lt;&gt;"!!!"),"NEW","")))</f>
        <v>OLD</v>
      </c>
      <c r="G333" s="23" t="s">
        <v>603</v>
      </c>
      <c r="H333" s="24" t="str">
        <f t="shared" ca="1" si="41"/>
        <v/>
      </c>
      <c r="I333" s="25" t="str">
        <f>IF(OR(E333="",E333="!!!",F333="NEW"),"",INDEX(B$2:B332,-1+SUMPRODUCT(MAX(ROW(E$2:E332)*(E333=E$2:E332)))))</f>
        <v>OBJ_5</v>
      </c>
      <c r="J333" s="25">
        <f ca="1">IF(OR(E333="",E333="!!!",F333="NEW"),"",COUNTBLANK(OFFSET(A$1,,,SUMPRODUCT(MAX(ROW(E$2:E333)*(E333=E$2:E333)))))-COUNTBLANK(OFFSET(A$1,,,SUMPRODUCT(MAX(ROW(E$1:E332)*(E2=E$1:E332))))))</f>
        <v>0</v>
      </c>
      <c r="K333" s="25">
        <f ca="1">IF(OR(E333="",E333="!!!",F333="NEW"),"",INDEX(J$1:J332,SUMPRODUCT(MAX(ROW(E$1:E332)*(E333=E$1:E332)))))</f>
        <v>0</v>
      </c>
      <c r="L333" s="26" t="s">
        <v>607</v>
      </c>
    </row>
    <row r="334" spans="1:12" x14ac:dyDescent="0.3">
      <c r="A334" t="s">
        <v>403</v>
      </c>
      <c r="B334" s="20" t="s">
        <v>382</v>
      </c>
      <c r="C334" s="20" t="s">
        <v>277</v>
      </c>
      <c r="E334" s="21" t="s">
        <v>625</v>
      </c>
      <c r="F334" s="22" t="str">
        <f>IF(OR(E334="",E334="!!!"),"",IF(NOT(ISNA(VLOOKUP(E334,E$1:E333,1,FALSE()))),"OLD",IF(AND(E334&lt;&gt;"",E334&lt;&gt;"!!!"),"NEW","")))</f>
        <v>NEW</v>
      </c>
      <c r="G334" s="23" t="s">
        <v>670</v>
      </c>
      <c r="H334" s="24" t="str">
        <f t="shared" ca="1" si="4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240</v>
      </c>
      <c r="B335" s="20" t="s">
        <v>382</v>
      </c>
      <c r="C335" s="20" t="s">
        <v>241</v>
      </c>
      <c r="D335" s="20" t="s">
        <v>236</v>
      </c>
      <c r="E335" s="21" t="s">
        <v>622</v>
      </c>
      <c r="F335" s="22" t="str">
        <f>IF(OR(E335="",E335="!!!"),"",IF(NOT(ISNA(VLOOKUP(E335,E$1:E334,1,FALSE()))),"OLD",IF(AND(E335&lt;&gt;"",E335&lt;&gt;"!!!"),"NEW","")))</f>
        <v>OLD</v>
      </c>
      <c r="G335" s="23" t="s">
        <v>603</v>
      </c>
      <c r="H335" s="24" t="str">
        <f t="shared" ca="1" si="41"/>
        <v/>
      </c>
      <c r="I335" s="25">
        <f>IF(OR(E335="",E335="!!!",F335="NEW"),"",INDEX(B$2:B334,-1+SUMPRODUCT(MAX(ROW(E$2:E334)*(E335=E$2:E334)))))</f>
        <v>0</v>
      </c>
      <c r="J335" s="25">
        <f ca="1">IF(OR(E335="",E335="!!!",F335="NEW"),"",COUNTBLANK(OFFSET(A$1,,,SUMPRODUCT(MAX(ROW(E$2:E335)*(E335=E$2:E335)))))-COUNTBLANK(OFFSET(A$1,,,SUMPRODUCT(MAX(ROW(E$1:E334)*(E2=E$1:E334))))))</f>
        <v>0</v>
      </c>
      <c r="K335" s="25">
        <f ca="1">IF(OR(E335="",E335="!!!",F335="NEW"),"",INDEX(J$1:J334,SUMPRODUCT(MAX(ROW(E$1:E334)*(E335=E$1:E334)))))</f>
        <v>0</v>
      </c>
      <c r="L335" s="26"/>
    </row>
    <row r="336" spans="1:12" x14ac:dyDescent="0.3">
      <c r="A336" t="s">
        <v>371</v>
      </c>
      <c r="E336" s="21" t="str">
        <f t="shared" si="4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4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404</v>
      </c>
      <c r="B337" s="20" t="s">
        <v>401</v>
      </c>
      <c r="C337" s="20" t="s">
        <v>203</v>
      </c>
      <c r="E337" s="21" t="str">
        <f t="shared" si="4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4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405</v>
      </c>
      <c r="E338" s="21" t="str">
        <f t="shared" si="40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41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406</v>
      </c>
      <c r="B339" s="20" t="s">
        <v>401</v>
      </c>
      <c r="C339" s="20" t="s">
        <v>244</v>
      </c>
      <c r="D339" s="20" t="s">
        <v>236</v>
      </c>
      <c r="E339" s="21" t="s">
        <v>626</v>
      </c>
      <c r="F339" s="22" t="str">
        <f>IF(OR(E339="",E339="!!!"),"",IF(NOT(ISNA(VLOOKUP(E339,E$1:E338,1,FALSE()))),"OLD",IF(AND(E339&lt;&gt;"",E339&lt;&gt;"!!!"),"NEW","")))</f>
        <v>NEW</v>
      </c>
      <c r="G339" s="23" t="s">
        <v>604</v>
      </c>
      <c r="H339" s="24" t="str">
        <f t="shared" ca="1" si="41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407</v>
      </c>
      <c r="E340" s="21" t="str">
        <f t="shared" si="4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4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205</v>
      </c>
      <c r="E341" s="21" t="str">
        <f t="shared" si="40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41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224</v>
      </c>
      <c r="E342" s="21" t="str">
        <f t="shared" si="40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41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408</v>
      </c>
      <c r="E343" s="21" t="str">
        <f t="shared" si="40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4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240</v>
      </c>
      <c r="B344" s="20" t="s">
        <v>255</v>
      </c>
      <c r="C344" s="20" t="s">
        <v>241</v>
      </c>
      <c r="D344" s="20" t="s">
        <v>236</v>
      </c>
      <c r="E344" s="21" t="s">
        <v>610</v>
      </c>
      <c r="F344" s="22" t="str">
        <f>IF(OR(E344="",E344="!!!"),"",IF(NOT(ISNA(VLOOKUP(E344,E$1:E343,1,FALSE()))),"OLD",IF(AND(E344&lt;&gt;"",E344&lt;&gt;"!!!"),"NEW","")))</f>
        <v>OLD</v>
      </c>
      <c r="G344" s="23" t="s">
        <v>603</v>
      </c>
      <c r="H344" s="24" t="s">
        <v>197</v>
      </c>
      <c r="I344" s="25" t="str">
        <f>IF(OR(E344="",E344="!!!",F344="NEW"),"",INDEX(B$2:B343,-1+SUMPRODUCT(MAX(ROW(E$2:E343)*(E344=E$2:E343)))))</f>
        <v>SBJ</v>
      </c>
      <c r="J344" s="25">
        <f ca="1">IF(OR(E344="",E344="!!!",F344="NEW"),"",COUNTBLANK(OFFSET(A$1,,,SUMPRODUCT(MAX(ROW(E$2:E344)*(E344=E$2:E344)))))-COUNTBLANK(OFFSET(A$1,,,SUMPRODUCT(MAX(ROW(E$1:E343)*(E2=E$1:E343))))))</f>
        <v>0</v>
      </c>
      <c r="K344" s="25">
        <f ca="1">IF(OR(E344="",E344="!!!",F344="NEW"),"",INDEX(J$1:J343,SUMPRODUCT(MAX(ROW(E$1:E343)*(E344=E$1:E343)))))</f>
        <v>0</v>
      </c>
      <c r="L344" s="26"/>
    </row>
    <row r="345" spans="1:12" x14ac:dyDescent="0.3">
      <c r="A345" t="s">
        <v>237</v>
      </c>
      <c r="E345" s="21" t="str">
        <f t="shared" si="4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4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7" spans="1:12" x14ac:dyDescent="0.3">
      <c r="A347" t="s">
        <v>378</v>
      </c>
      <c r="E347" s="21" t="str">
        <f>IF(D347="?OLD","!!!","")</f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ca="1">IF(J347&lt;&gt;1,"",IF(I347="SBJ","CB","?"))</f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409</v>
      </c>
    </row>
    <row r="349" spans="1:12" x14ac:dyDescent="0.3">
      <c r="A349" t="s">
        <v>410</v>
      </c>
      <c r="E349" s="21" t="str">
        <f t="shared" ref="E349:E372" si="42">IF(D349="?OLD","!!!","")</f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ref="H349:H372" ca="1" si="43">IF(J349&lt;&gt;1,"",IF(I349="SBJ","CB","?"))</f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223</v>
      </c>
      <c r="B350" s="20" t="s">
        <v>202</v>
      </c>
      <c r="C350" s="20" t="s">
        <v>203</v>
      </c>
      <c r="E350" s="21" t="s">
        <v>650</v>
      </c>
      <c r="F350" s="22" t="str">
        <f>IF(OR(E350="",E350="!!!"),"",IF(NOT(ISNA(VLOOKUP(E350,E$1:E349,1,FALSE()))),"OLD",IF(AND(E350&lt;&gt;"",E350&lt;&gt;"!!!"),"NEW","")))</f>
        <v>OLD</v>
      </c>
      <c r="G350" s="23" t="s">
        <v>604</v>
      </c>
      <c r="H350" s="24" t="str">
        <f t="shared" ca="1" si="43"/>
        <v/>
      </c>
      <c r="I350" s="25" t="str">
        <f>IF(OR(E350="",E350="!!!",F350="NEW"),"",INDEX(B$2:B349,-1+SUMPRODUCT(MAX(ROW(E$2:E349)*(E350=E$2:E349)))))</f>
        <v>other_3</v>
      </c>
      <c r="J350" s="25">
        <f ca="1">IF(OR(E350="",E350="!!!",F350="NEW"),"",COUNTBLANK(OFFSET(A$1,,,SUMPRODUCT(MAX(ROW(E$2:E350)*(E350=E$2:E350)))))-COUNTBLANK(OFFSET(A$1,,,SUMPRODUCT(MAX(ROW(E$1:E349)*(E2=E$1:E349))))))</f>
        <v>0</v>
      </c>
      <c r="K350" s="25">
        <f ca="1">IF(OR(E350="",E350="!!!",F350="NEW"),"",INDEX(J$1:J349,SUMPRODUCT(MAX(ROW(E$1:E349)*(E350=E$1:E349)))))</f>
        <v>0</v>
      </c>
      <c r="L350" s="26"/>
    </row>
    <row r="351" spans="1:12" x14ac:dyDescent="0.3">
      <c r="A351" t="s">
        <v>411</v>
      </c>
      <c r="E351" s="21" t="str">
        <f t="shared" si="42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43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412</v>
      </c>
      <c r="E352" s="21" t="str">
        <f t="shared" si="42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43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413</v>
      </c>
      <c r="B353" s="20" t="s">
        <v>202</v>
      </c>
      <c r="C353" s="20" t="s">
        <v>203</v>
      </c>
      <c r="E353" s="21" t="str">
        <f t="shared" si="42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43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222</v>
      </c>
      <c r="E354" s="21" t="str">
        <f t="shared" si="42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43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225</v>
      </c>
      <c r="E355" s="21" t="str">
        <f t="shared" si="42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43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12</v>
      </c>
      <c r="B356" s="20" t="s">
        <v>202</v>
      </c>
      <c r="C356" s="20" t="s">
        <v>235</v>
      </c>
      <c r="D356" s="20" t="s">
        <v>236</v>
      </c>
      <c r="E356" s="21" t="s">
        <v>627</v>
      </c>
      <c r="F356" s="22" t="str">
        <f>IF(OR(E356="",E356="!!!"),"",IF(NOT(ISNA(VLOOKUP(E356,E$1:E355,1,FALSE()))),"OLD",IF(AND(E356&lt;&gt;"",E356&lt;&gt;"!!!"),"NEW","")))</f>
        <v>OLD</v>
      </c>
      <c r="G356" s="23" t="s">
        <v>604</v>
      </c>
      <c r="H356" s="24" t="str">
        <f t="shared" ca="1" si="43"/>
        <v/>
      </c>
      <c r="I356" s="25" t="str">
        <f>IF(OR(E356="",E356="!!!",F356="NEW"),"",INDEX(B$2:B355,-1+SUMPRODUCT(MAX(ROW(E$2:E355)*(E356=E$2:E355)))))</f>
        <v>other_2</v>
      </c>
      <c r="J356" s="25">
        <f ca="1">IF(OR(E356="",E356="!!!",F356="NEW"),"",COUNTBLANK(OFFSET(A$1,,,SUMPRODUCT(MAX(ROW(E$2:E356)*(E356=E$2:E356)))))-COUNTBLANK(OFFSET(A$1,,,SUMPRODUCT(MAX(ROW(E$1:E355)*(E2=E$1:E355))))))</f>
        <v>0</v>
      </c>
      <c r="K356" s="25">
        <f ca="1">IF(OR(E356="",E356="!!!",F356="NEW"),"",INDEX(J$1:J355,SUMPRODUCT(MAX(ROW(E$1:E355)*(E356=E$1:E355)))))</f>
        <v>0</v>
      </c>
      <c r="L356" s="26"/>
    </row>
    <row r="357" spans="1:12" x14ac:dyDescent="0.3">
      <c r="A357" t="s">
        <v>204</v>
      </c>
      <c r="E357" s="21" t="str">
        <f t="shared" si="42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43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205</v>
      </c>
      <c r="E358" s="21" t="str">
        <f t="shared" si="42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43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414</v>
      </c>
      <c r="B359" s="20" t="s">
        <v>220</v>
      </c>
      <c r="C359" s="20" t="s">
        <v>241</v>
      </c>
      <c r="D359" s="20" t="s">
        <v>236</v>
      </c>
      <c r="E359" s="21" t="s">
        <v>600</v>
      </c>
      <c r="F359" s="22" t="str">
        <f>IF(OR(E359="",E359="!!!"),"",IF(NOT(ISNA(VLOOKUP(E359,E$1:E358,1,FALSE()))),"OLD",IF(AND(E359&lt;&gt;"",E359&lt;&gt;"!!!"),"NEW","")))</f>
        <v>OLD</v>
      </c>
      <c r="G359" s="23" t="s">
        <v>604</v>
      </c>
      <c r="H359" s="24" t="str">
        <f t="shared" ca="1" si="43"/>
        <v/>
      </c>
      <c r="I359" s="25" t="str">
        <f>IF(OR(E359="",E359="!!!",F359="NEW"),"",INDEX(B$2:B358,-1+SUMPRODUCT(MAX(ROW(E$2:E358)*(E359=E$2:E358)))))</f>
        <v>SBJ_2</v>
      </c>
      <c r="J359" s="25">
        <f ca="1">IF(OR(E359="",E359="!!!",F359="NEW"),"",COUNTBLANK(OFFSET(A$1,,,SUMPRODUCT(MAX(ROW(E$2:E359)*(E359=E$2:E359)))))-COUNTBLANK(OFFSET(A$1,,,SUMPRODUCT(MAX(ROW(E$1:E358)*(E2=E$1:E358))))))</f>
        <v>0</v>
      </c>
      <c r="K359" s="25" t="str">
        <f ca="1">IF(OR(E359="",E359="!!!",F359="NEW"),"",INDEX(J$1:J358,SUMPRODUCT(MAX(ROW(E$1:E358)*(E359=E$1:E358)))))</f>
        <v/>
      </c>
      <c r="L359" s="26" t="s">
        <v>672</v>
      </c>
    </row>
    <row r="360" spans="1:12" x14ac:dyDescent="0.3">
      <c r="A360" t="s">
        <v>101</v>
      </c>
      <c r="E360" s="21" t="str">
        <f t="shared" si="42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43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328</v>
      </c>
      <c r="B361" s="20" t="s">
        <v>255</v>
      </c>
      <c r="E361" s="21" t="str">
        <f t="shared" si="42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3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415</v>
      </c>
      <c r="E362" s="21" t="str">
        <f t="shared" si="42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3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416</v>
      </c>
      <c r="E363" s="21" t="str">
        <f t="shared" si="42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43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224</v>
      </c>
      <c r="E364" s="21" t="str">
        <f t="shared" si="42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3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391</v>
      </c>
      <c r="E365" s="21" t="str">
        <f t="shared" si="42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3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240</v>
      </c>
      <c r="B366" s="20" t="s">
        <v>211</v>
      </c>
      <c r="C366" s="20" t="s">
        <v>241</v>
      </c>
      <c r="D366" s="20" t="s">
        <v>236</v>
      </c>
      <c r="E366" s="21" t="s">
        <v>600</v>
      </c>
      <c r="F366" s="22" t="str">
        <f>IF(OR(E366="",E366="!!!"),"",IF(NOT(ISNA(VLOOKUP(E366,E$1:E365,1,FALSE()))),"OLD",IF(AND(E366&lt;&gt;"",E366&lt;&gt;"!!!"),"NEW","")))</f>
        <v>OLD</v>
      </c>
      <c r="G366" s="23" t="s">
        <v>603</v>
      </c>
      <c r="H366" s="24" t="str">
        <f t="shared" ca="1" si="43"/>
        <v/>
      </c>
      <c r="I366" s="25" t="str">
        <f>IF(OR(E366="",E366="!!!",F366="NEW"),"",INDEX(B$2:B365,-1+SUMPRODUCT(MAX(ROW(E$2:E365)*(E366=E$2:E365)))))</f>
        <v>SBJ</v>
      </c>
      <c r="J366" s="25">
        <f ca="1">IF(OR(E366="",E366="!!!",F366="NEW"),"",COUNTBLANK(OFFSET(A$1,,,SUMPRODUCT(MAX(ROW(E$2:E366)*(E366=E$2:E366)))))-COUNTBLANK(OFFSET(A$1,,,SUMPRODUCT(MAX(ROW(E$1:E365)*(E2=E$1:E365))))))</f>
        <v>0</v>
      </c>
      <c r="K366" s="25">
        <f ca="1">IF(OR(E366="",E366="!!!",F366="NEW"),"",INDEX(J$1:J365,SUMPRODUCT(MAX(ROW(E$1:E365)*(E366=E$1:E365)))))</f>
        <v>0</v>
      </c>
      <c r="L366" s="26"/>
    </row>
    <row r="367" spans="1:12" x14ac:dyDescent="0.3">
      <c r="A367" t="s">
        <v>417</v>
      </c>
      <c r="B367" s="20" t="s">
        <v>207</v>
      </c>
      <c r="C367" s="20" t="s">
        <v>241</v>
      </c>
      <c r="D367" s="20" t="s">
        <v>236</v>
      </c>
      <c r="E367" s="21"/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43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 t="s">
        <v>628</v>
      </c>
    </row>
    <row r="368" spans="1:12" x14ac:dyDescent="0.3">
      <c r="A368" t="s">
        <v>418</v>
      </c>
      <c r="E368" s="21" t="str">
        <f t="shared" si="42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3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419</v>
      </c>
      <c r="B369" s="20" t="s">
        <v>214</v>
      </c>
      <c r="C369" s="20" t="s">
        <v>262</v>
      </c>
      <c r="E369" s="21" t="str">
        <f t="shared" si="42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3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420</v>
      </c>
      <c r="E370" s="21" t="str">
        <f t="shared" si="42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3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205</v>
      </c>
      <c r="E371" s="21" t="str">
        <f t="shared" si="42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3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237</v>
      </c>
      <c r="E372" s="21" t="str">
        <f t="shared" si="42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3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4" spans="1:12" x14ac:dyDescent="0.3">
      <c r="A374" t="s">
        <v>421</v>
      </c>
    </row>
    <row r="375" spans="1:12" x14ac:dyDescent="0.3">
      <c r="A375" t="s">
        <v>257</v>
      </c>
      <c r="E375" s="21" t="str">
        <f t="shared" ref="E375:E393" si="44">IF(D375="?OLD","!!!","")</f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ref="H375:H393" ca="1" si="45">IF(J375&lt;&gt;1,"",IF(I375="SBJ","CB","?"))</f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385</v>
      </c>
      <c r="E376" s="21" t="s">
        <v>600</v>
      </c>
      <c r="F376" s="22" t="str">
        <f>IF(OR(E376="",E376="!!!"),"",IF(NOT(ISNA(VLOOKUP(E376,E$1:E375,1,FALSE()))),"OLD",IF(AND(E376&lt;&gt;"",E376&lt;&gt;"!!!"),"NEW","")))</f>
        <v>OLD</v>
      </c>
      <c r="G376" s="23" t="s">
        <v>603</v>
      </c>
      <c r="H376" s="24" t="s">
        <v>197</v>
      </c>
      <c r="I376" s="25" t="str">
        <f>IF(OR(E376="",E376="!!!",F376="NEW"),"",INDEX(B$2:B375,-1+SUMPRODUCT(MAX(ROW(E$2:E375)*(E376=E$2:E375)))))</f>
        <v>SBJ_2</v>
      </c>
      <c r="J376" s="25">
        <f ca="1">IF(OR(E376="",E376="!!!",F376="NEW"),"",COUNTBLANK(OFFSET(A$1,,,SUMPRODUCT(MAX(ROW(E$2:E376)*(E376=E$2:E376)))))-COUNTBLANK(OFFSET(A$1,,,SUMPRODUCT(MAX(ROW(E$1:E375)*(E2=E$1:E375))))))</f>
        <v>0</v>
      </c>
      <c r="K376" s="25">
        <f ca="1">IF(OR(E376="",E376="!!!",F376="NEW"),"",INDEX(J$1:J375,SUMPRODUCT(MAX(ROW(E$1:E375)*(E376=E$1:E375)))))</f>
        <v>0</v>
      </c>
      <c r="L376" s="26" t="s">
        <v>607</v>
      </c>
    </row>
    <row r="377" spans="1:12" x14ac:dyDescent="0.3">
      <c r="A377" t="s">
        <v>422</v>
      </c>
      <c r="B377" s="20" t="s">
        <v>232</v>
      </c>
      <c r="C377" s="20" t="s">
        <v>277</v>
      </c>
      <c r="E377" s="21" t="s">
        <v>629</v>
      </c>
      <c r="F377" s="22" t="str">
        <f>IF(OR(E377="",E377="!!!"),"",IF(NOT(ISNA(VLOOKUP(E377,E$1:E376,1,FALSE()))),"OLD",IF(AND(E377&lt;&gt;"",E377&lt;&gt;"!!!"),"NEW","")))</f>
        <v>NEW</v>
      </c>
      <c r="G377" s="23" t="s">
        <v>670</v>
      </c>
      <c r="H377" s="24" t="str">
        <f t="shared" ca="1" si="45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33</v>
      </c>
      <c r="E378" s="21" t="str">
        <f t="shared" si="44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45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240</v>
      </c>
      <c r="B379" s="20" t="s">
        <v>211</v>
      </c>
      <c r="C379" s="20" t="s">
        <v>241</v>
      </c>
      <c r="D379" s="20" t="s">
        <v>236</v>
      </c>
      <c r="E379" s="21" t="s">
        <v>600</v>
      </c>
      <c r="F379" s="22" t="str">
        <f>IF(OR(E379="",E379="!!!"),"",IF(NOT(ISNA(VLOOKUP(E379,E$1:E378,1,FALSE()))),"OLD",IF(AND(E379&lt;&gt;"",E379&lt;&gt;"!!!"),"NEW","")))</f>
        <v>OLD</v>
      </c>
      <c r="G379" s="23" t="s">
        <v>603</v>
      </c>
      <c r="H379" s="24" t="str">
        <f t="shared" ca="1" si="45"/>
        <v/>
      </c>
      <c r="I379" s="25">
        <f>IF(OR(E379="",E379="!!!",F379="NEW"),"",INDEX(B$2:B378,-1+SUMPRODUCT(MAX(ROW(E$2:E378)*(E379=E$2:E378)))))</f>
        <v>0</v>
      </c>
      <c r="J379" s="25">
        <f ca="1">IF(OR(E379="",E379="!!!",F379="NEW"),"",COUNTBLANK(OFFSET(A$1,,,SUMPRODUCT(MAX(ROW(E$2:E379)*(E379=E$2:E379)))))-COUNTBLANK(OFFSET(A$1,,,SUMPRODUCT(MAX(ROW(E$1:E378)*(E2=E$1:E378))))))</f>
        <v>0</v>
      </c>
      <c r="K379" s="25">
        <f ca="1">IF(OR(E379="",E379="!!!",F379="NEW"),"",INDEX(J$1:J378,SUMPRODUCT(MAX(ROW(E$1:E378)*(E379=E$1:E378)))))</f>
        <v>0</v>
      </c>
      <c r="L379" s="26"/>
    </row>
    <row r="380" spans="1:12" x14ac:dyDescent="0.3">
      <c r="A380" t="s">
        <v>423</v>
      </c>
      <c r="B380" s="20" t="s">
        <v>214</v>
      </c>
      <c r="C380" s="20" t="s">
        <v>203</v>
      </c>
      <c r="E380" s="21" t="s">
        <v>630</v>
      </c>
      <c r="F380" s="22" t="str">
        <f>IF(OR(E380="",E380="!!!"),"",IF(NOT(ISNA(VLOOKUP(E380,E$1:E379,1,FALSE()))),"OLD",IF(AND(E380&lt;&gt;"",E380&lt;&gt;"!!!"),"NEW","")))</f>
        <v>NEW</v>
      </c>
      <c r="G380" s="23" t="s">
        <v>195</v>
      </c>
      <c r="H380" s="24" t="str">
        <f t="shared" ca="1" si="45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 t="s">
        <v>654</v>
      </c>
    </row>
    <row r="381" spans="1:12" x14ac:dyDescent="0.3">
      <c r="A381" t="s">
        <v>215</v>
      </c>
      <c r="E381" s="21" t="str">
        <f t="shared" si="44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5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216</v>
      </c>
      <c r="E382" s="21"/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5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217</v>
      </c>
      <c r="B383" s="20" t="s">
        <v>207</v>
      </c>
      <c r="C383" s="20" t="s">
        <v>203</v>
      </c>
      <c r="E383" s="21" t="s">
        <v>605</v>
      </c>
      <c r="F383" s="22" t="str">
        <f>IF(OR(E383="",E383="!!!"),"",IF(NOT(ISNA(VLOOKUP(E383,E$1:E382,1,FALSE()))),"OLD",IF(AND(E383&lt;&gt;"",E383&lt;&gt;"!!!"),"NEW","")))</f>
        <v>OLD</v>
      </c>
      <c r="G383" s="23" t="s">
        <v>604</v>
      </c>
      <c r="H383" s="24" t="str">
        <f t="shared" ca="1" si="45"/>
        <v/>
      </c>
      <c r="I383" s="25" t="str">
        <f>IF(OR(E383="",E383="!!!",F383="NEW"),"",INDEX(B$2:B382,-1+SUMPRODUCT(MAX(ROW(E$2:E382)*(E383=E$2:E382)))))</f>
        <v>other_3</v>
      </c>
      <c r="J383" s="25">
        <f ca="1">IF(OR(E383="",E383="!!!",F383="NEW"),"",COUNTBLANK(OFFSET(A$1,,,SUMPRODUCT(MAX(ROW(E$2:E383)*(E383=E$2:E383)))))-COUNTBLANK(OFFSET(A$1,,,SUMPRODUCT(MAX(ROW(E$1:E382)*(E2=E$1:E382))))))</f>
        <v>0</v>
      </c>
      <c r="K383" s="25">
        <f ca="1">IF(OR(E383="",E383="!!!",F383="NEW"),"",INDEX(J$1:J382,SUMPRODUCT(MAX(ROW(E$1:E382)*(E383=E$1:E382)))))</f>
        <v>0</v>
      </c>
      <c r="L383" s="26"/>
    </row>
    <row r="384" spans="1:12" x14ac:dyDescent="0.3">
      <c r="A384" t="s">
        <v>224</v>
      </c>
      <c r="E384" s="21" t="str">
        <f t="shared" si="44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5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424</v>
      </c>
      <c r="B385" s="20" t="s">
        <v>345</v>
      </c>
      <c r="C385" s="20" t="s">
        <v>203</v>
      </c>
      <c r="E385" s="21" t="str">
        <f t="shared" si="44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5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224</v>
      </c>
      <c r="E386" s="21" t="str">
        <f t="shared" si="44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5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425</v>
      </c>
      <c r="B387" s="20" t="s">
        <v>345</v>
      </c>
      <c r="C387" s="20" t="s">
        <v>203</v>
      </c>
      <c r="E387" s="21" t="str">
        <f t="shared" si="44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45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224</v>
      </c>
      <c r="E388" s="21" t="str">
        <f t="shared" si="44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5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426</v>
      </c>
      <c r="B389" s="20" t="s">
        <v>345</v>
      </c>
      <c r="C389" s="20" t="s">
        <v>203</v>
      </c>
      <c r="E389" s="21" t="str">
        <f t="shared" si="44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5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399</v>
      </c>
      <c r="E390" s="21" t="str">
        <f t="shared" si="44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45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427</v>
      </c>
      <c r="B391" s="20" t="s">
        <v>345</v>
      </c>
      <c r="C391" s="20" t="s">
        <v>203</v>
      </c>
      <c r="E391" s="21" t="str">
        <f t="shared" si="44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5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386</v>
      </c>
      <c r="E392" s="21" t="str">
        <f t="shared" si="44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45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237</v>
      </c>
      <c r="E393" s="21" t="str">
        <f t="shared" si="44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5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5" spans="1:12" x14ac:dyDescent="0.3">
      <c r="A395" t="s">
        <v>428</v>
      </c>
    </row>
    <row r="396" spans="1:12" x14ac:dyDescent="0.3">
      <c r="A396" t="s">
        <v>429</v>
      </c>
      <c r="B396" s="20" t="s">
        <v>220</v>
      </c>
      <c r="C396" s="20" t="s">
        <v>430</v>
      </c>
      <c r="D396" s="20" t="s">
        <v>236</v>
      </c>
      <c r="E396" s="21" t="s">
        <v>630</v>
      </c>
      <c r="F396" s="22" t="str">
        <f>IF(OR(E396="",E396="!!!"),"",IF(NOT(ISNA(VLOOKUP(E396,E$1:E395,1,FALSE()))),"OLD",IF(AND(E396&lt;&gt;"",E396&lt;&gt;"!!!"),"NEW","")))</f>
        <v>OLD</v>
      </c>
      <c r="G396" s="23" t="s">
        <v>669</v>
      </c>
      <c r="H396" s="24" t="str">
        <f ca="1">IF(J396&lt;&gt;1,"",IF(I396="SBJ","CB","?"))</f>
        <v/>
      </c>
      <c r="I396" s="25" t="str">
        <f>IF(OR(E396="",E396="!!!",F396="NEW"),"",INDEX(B$2:B395,-1+SUMPRODUCT(MAX(ROW(E$2:E395)*(E396=E$2:E395)))))</f>
        <v>OBJ_2</v>
      </c>
      <c r="J396" s="25">
        <f ca="1">IF(OR(E396="",E396="!!!",F396="NEW"),"",COUNTBLANK(OFFSET(A$1,,,SUMPRODUCT(MAX(ROW(E$2:E396)*(E396=E$2:E396)))))-COUNTBLANK(OFFSET(A$1,,,SUMPRODUCT(MAX(ROW(E$1:E395)*(E2=E$1:E395))))))</f>
        <v>0</v>
      </c>
      <c r="K396" s="25" t="str">
        <f ca="1">IF(OR(E396="",E396="!!!",F396="NEW"),"",INDEX(J$1:J395,SUMPRODUCT(MAX(ROW(E$1:E395)*(E396=E$1:E395)))))</f>
        <v/>
      </c>
      <c r="L396" s="26"/>
    </row>
    <row r="397" spans="1:12" x14ac:dyDescent="0.3">
      <c r="A397" t="s">
        <v>431</v>
      </c>
      <c r="E397" s="21" t="str">
        <f>IF(D397="?OLD","!!!","")</f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ca="1">IF(J397&lt;&gt;1,"",IF(I397="SBJ","CB","?"))</f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240</v>
      </c>
      <c r="B398" s="20" t="s">
        <v>255</v>
      </c>
      <c r="C398" s="20" t="s">
        <v>241</v>
      </c>
      <c r="D398" s="20" t="s">
        <v>236</v>
      </c>
      <c r="E398" s="21" t="s">
        <v>600</v>
      </c>
      <c r="F398" s="22" t="str">
        <f>IF(OR(E398="",E398="!!!"),"",IF(NOT(ISNA(VLOOKUP(E398,E$1:E397,1,FALSE()))),"OLD",IF(AND(E398&lt;&gt;"",E398&lt;&gt;"!!!"),"NEW","")))</f>
        <v>OLD</v>
      </c>
      <c r="G398" s="23" t="s">
        <v>603</v>
      </c>
      <c r="H398" s="24" t="s">
        <v>197</v>
      </c>
      <c r="I398" s="25" t="str">
        <f>IF(OR(E398="",E398="!!!",F398="NEW"),"",INDEX(B$2:B397,-1+SUMPRODUCT(MAX(ROW(E$2:E397)*(E398=E$2:E397)))))</f>
        <v>SBJ_2</v>
      </c>
      <c r="J398" s="25">
        <f ca="1">IF(OR(E398="",E398="!!!",F398="NEW"),"",COUNTBLANK(OFFSET(A$1,,,SUMPRODUCT(MAX(ROW(E$2:E398)*(E398=E$2:E398)))))-COUNTBLANK(OFFSET(A$1,,,SUMPRODUCT(MAX(ROW(E$1:E397)*(E2=E$1:E397))))))</f>
        <v>0</v>
      </c>
      <c r="K398" s="25">
        <f ca="1">IF(OR(E398="",E398="!!!",F398="NEW"),"",INDEX(J$1:J397,SUMPRODUCT(MAX(ROW(E$1:E397)*(E398=E$1:E397)))))</f>
        <v>0</v>
      </c>
      <c r="L398" s="26"/>
    </row>
    <row r="399" spans="1:12" x14ac:dyDescent="0.3">
      <c r="A399" t="s">
        <v>432</v>
      </c>
      <c r="E399" s="21" t="str">
        <f>IF(D399="?OLD","!!!","")</f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ca="1">IF(J399&lt;&gt;1,"",IF(I399="SBJ","CB","?"))</f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237</v>
      </c>
      <c r="E400" s="21" t="str">
        <f>IF(D400="?OLD","!!!","")</f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ca="1">IF(J400&lt;&gt;1,"",IF(I400="SBJ","CB","?"))</f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2" spans="1:12" x14ac:dyDescent="0.3">
      <c r="A402" t="s">
        <v>433</v>
      </c>
    </row>
    <row r="403" spans="1:12" x14ac:dyDescent="0.3">
      <c r="A403" t="s">
        <v>434</v>
      </c>
      <c r="E403" s="21" t="str">
        <f t="shared" ref="E403:E409" si="46">IF(D403="?OLD","!!!","")</f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ref="H403:H409" ca="1" si="47">IF(J403&lt;&gt;1,"",IF(I403="SBJ","CB","?"))</f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332</v>
      </c>
      <c r="E404" s="21" t="str">
        <f t="shared" si="46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7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12</v>
      </c>
      <c r="B405" s="20" t="s">
        <v>202</v>
      </c>
      <c r="C405" s="20" t="s">
        <v>235</v>
      </c>
      <c r="D405" s="20" t="s">
        <v>236</v>
      </c>
      <c r="E405" s="21" t="s">
        <v>627</v>
      </c>
      <c r="F405" s="22" t="str">
        <f>IF(OR(E405="",E405="!!!"),"",IF(NOT(ISNA(VLOOKUP(E405,E$1:E404,1,FALSE()))),"OLD",IF(AND(E405&lt;&gt;"",E405&lt;&gt;"!!!"),"NEW","")))</f>
        <v>OLD</v>
      </c>
      <c r="G405" s="23" t="s">
        <v>604</v>
      </c>
      <c r="H405" s="24" t="str">
        <f t="shared" ca="1" si="47"/>
        <v/>
      </c>
      <c r="I405" s="25" t="str">
        <f>IF(OR(E405="",E405="!!!",F405="NEW"),"",INDEX(B$2:B404,-1+SUMPRODUCT(MAX(ROW(E$2:E404)*(E405=E$2:E404)))))</f>
        <v>other</v>
      </c>
      <c r="J405" s="25">
        <f ca="1">IF(OR(E405="",E405="!!!",F405="NEW"),"",COUNTBLANK(OFFSET(A$1,,,SUMPRODUCT(MAX(ROW(E$2:E405)*(E405=E$2:E405)))))-COUNTBLANK(OFFSET(A$1,,,SUMPRODUCT(MAX(ROW(E$1:E404)*(E2=E$1:E404))))))</f>
        <v>0</v>
      </c>
      <c r="K405" s="25">
        <f ca="1">IF(OR(E405="",E405="!!!",F405="NEW"),"",INDEX(J$1:J404,SUMPRODUCT(MAX(ROW(E$1:E404)*(E405=E$1:E404)))))</f>
        <v>0</v>
      </c>
      <c r="L405" s="26"/>
    </row>
    <row r="406" spans="1:12" x14ac:dyDescent="0.3">
      <c r="A406" t="s">
        <v>435</v>
      </c>
      <c r="E406" s="21" t="str">
        <f t="shared" si="46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7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267</v>
      </c>
      <c r="B407" s="20" t="s">
        <v>220</v>
      </c>
      <c r="C407" s="20" t="s">
        <v>430</v>
      </c>
      <c r="D407" s="20" t="s">
        <v>236</v>
      </c>
      <c r="E407" s="21" t="s">
        <v>630</v>
      </c>
      <c r="F407" s="22" t="str">
        <f>IF(OR(E407="",E407="!!!"),"",IF(NOT(ISNA(VLOOKUP(E407,E$1:E406,1,FALSE()))),"OLD",IF(AND(E407&lt;&gt;"",E407&lt;&gt;"!!!"),"NEW","")))</f>
        <v>OLD</v>
      </c>
      <c r="G407" s="23" t="s">
        <v>669</v>
      </c>
      <c r="H407" s="24" t="s">
        <v>197</v>
      </c>
      <c r="I407" s="25" t="str">
        <f>IF(OR(E407="",E407="!!!",F407="NEW"),"",INDEX(B$2:B406,-1+SUMPRODUCT(MAX(ROW(E$2:E406)*(E407=E$2:E406)))))</f>
        <v>SBJ</v>
      </c>
      <c r="J407" s="25">
        <f ca="1">IF(OR(E407="",E407="!!!",F407="NEW"),"",COUNTBLANK(OFFSET(A$1,,,SUMPRODUCT(MAX(ROW(E$2:E407)*(E407=E$2:E407)))))-COUNTBLANK(OFFSET(A$1,,,SUMPRODUCT(MAX(ROW(E$1:E406)*(E2=E$1:E406))))))</f>
        <v>0</v>
      </c>
      <c r="K407" s="25">
        <f ca="1">IF(OR(E407="",E407="!!!",F407="NEW"),"",INDEX(J$1:J406,SUMPRODUCT(MAX(ROW(E$1:E406)*(E407=E$1:E406)))))</f>
        <v>0</v>
      </c>
      <c r="L407" s="26"/>
    </row>
    <row r="408" spans="1:12" x14ac:dyDescent="0.3">
      <c r="A408" t="s">
        <v>436</v>
      </c>
      <c r="E408" s="21" t="str">
        <f t="shared" si="46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7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237</v>
      </c>
      <c r="E409" s="21" t="str">
        <f t="shared" si="46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7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1" spans="1:12" x14ac:dyDescent="0.3">
      <c r="A411" t="s">
        <v>378</v>
      </c>
      <c r="E411" s="21" t="str">
        <f>IF(D411="?OLD","!!!","")</f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ca="1">IF(J411&lt;&gt;1,"",IF(I411="SBJ","CB","?"))</f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437</v>
      </c>
    </row>
    <row r="413" spans="1:12" x14ac:dyDescent="0.3">
      <c r="A413" t="s">
        <v>205</v>
      </c>
      <c r="E413" s="21" t="str">
        <f t="shared" ref="E413:E435" si="48">IF(D413="?OLD","!!!","")</f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ref="H413:H435" ca="1" si="49">IF(J413&lt;&gt;1,"",IF(I413="SBJ","CB","?"))</f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438</v>
      </c>
      <c r="E414" s="21" t="str">
        <f t="shared" si="48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9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439</v>
      </c>
      <c r="B415" s="20" t="s">
        <v>211</v>
      </c>
      <c r="C415" s="20" t="s">
        <v>203</v>
      </c>
      <c r="E415" s="21"/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9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231</v>
      </c>
      <c r="B416" s="20" t="s">
        <v>207</v>
      </c>
      <c r="C416" s="20" t="s">
        <v>208</v>
      </c>
      <c r="E416" s="21" t="str">
        <f t="shared" si="48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9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233</v>
      </c>
      <c r="E417" s="21" t="str">
        <f t="shared" si="48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9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440</v>
      </c>
      <c r="B418" s="20" t="s">
        <v>232</v>
      </c>
      <c r="C418" s="20" t="s">
        <v>235</v>
      </c>
      <c r="D418" s="20" t="s">
        <v>236</v>
      </c>
      <c r="E418" s="21"/>
      <c r="F418" s="22" t="s">
        <v>601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9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222</v>
      </c>
      <c r="E419" s="21" t="str">
        <f t="shared" si="48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9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441</v>
      </c>
      <c r="E420" s="21" t="str">
        <f t="shared" si="48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9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442</v>
      </c>
      <c r="B421" s="20" t="s">
        <v>232</v>
      </c>
      <c r="C421" s="20" t="s">
        <v>252</v>
      </c>
      <c r="E421" s="21" t="str">
        <f t="shared" si="48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49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443</v>
      </c>
      <c r="B422" s="20" t="s">
        <v>207</v>
      </c>
      <c r="C422" s="20" t="s">
        <v>203</v>
      </c>
      <c r="E422" s="21" t="str">
        <f t="shared" si="48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9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441</v>
      </c>
      <c r="E423" s="21" t="str">
        <f t="shared" si="48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9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444</v>
      </c>
      <c r="E424" s="21" t="str">
        <f t="shared" si="48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9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445</v>
      </c>
      <c r="B425" s="20" t="s">
        <v>214</v>
      </c>
      <c r="C425" s="20" t="s">
        <v>252</v>
      </c>
      <c r="E425" s="21" t="str">
        <f t="shared" si="48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9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171</v>
      </c>
      <c r="E426" s="21" t="str">
        <f t="shared" si="48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9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224</v>
      </c>
      <c r="E427" s="21" t="str">
        <f t="shared" si="48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9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271</v>
      </c>
      <c r="E428" s="21" t="str">
        <f t="shared" si="48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9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368</v>
      </c>
      <c r="B429" s="20" t="s">
        <v>207</v>
      </c>
      <c r="C429" s="20" t="s">
        <v>241</v>
      </c>
      <c r="D429" s="20" t="s">
        <v>236</v>
      </c>
      <c r="E429" s="21"/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9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 t="s">
        <v>628</v>
      </c>
    </row>
    <row r="430" spans="1:12" x14ac:dyDescent="0.3">
      <c r="A430" t="s">
        <v>446</v>
      </c>
      <c r="B430" s="20" t="s">
        <v>211</v>
      </c>
      <c r="C430" s="20" t="s">
        <v>262</v>
      </c>
      <c r="E430" s="21" t="str">
        <f t="shared" si="48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9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205</v>
      </c>
      <c r="E431" s="21" t="str">
        <f t="shared" si="48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9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224</v>
      </c>
      <c r="E432" s="21" t="str">
        <f t="shared" si="48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9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387</v>
      </c>
      <c r="E433" s="21" t="str">
        <f t="shared" si="48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9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314</v>
      </c>
      <c r="B434" s="20" t="s">
        <v>220</v>
      </c>
      <c r="C434" s="20" t="s">
        <v>203</v>
      </c>
      <c r="E434" s="21" t="s">
        <v>610</v>
      </c>
      <c r="F434" s="22" t="str">
        <f>IF(OR(E434="",E434="!!!"),"",IF(NOT(ISNA(VLOOKUP(E434,E$1:E433,1,FALSE()))),"OLD",IF(AND(E434&lt;&gt;"",E434&lt;&gt;"!!!"),"NEW","")))</f>
        <v>OLD</v>
      </c>
      <c r="G434" s="23" t="s">
        <v>604</v>
      </c>
      <c r="H434" s="24" t="str">
        <f t="shared" ca="1" si="49"/>
        <v/>
      </c>
      <c r="I434" s="25" t="str">
        <f>IF(OR(E434="",E434="!!!",F434="NEW"),"",INDEX(B$2:B433,-1+SUMPRODUCT(MAX(ROW(E$2:E433)*(E434=E$2:E433)))))</f>
        <v>OBJ</v>
      </c>
      <c r="J434" s="25">
        <f ca="1">IF(OR(E434="",E434="!!!",F434="NEW"),"",COUNTBLANK(OFFSET(A$1,,,SUMPRODUCT(MAX(ROW(E$2:E434)*(E434=E$2:E434)))))-COUNTBLANK(OFFSET(A$1,,,SUMPRODUCT(MAX(ROW(E$1:E433)*(E2=E$1:E433))))))</f>
        <v>0</v>
      </c>
      <c r="K434" s="25">
        <f ca="1">IF(OR(E434="",E434="!!!",F434="NEW"),"",INDEX(J$1:J433,SUMPRODUCT(MAX(ROW(E$1:E433)*(E434=E$1:E433)))))</f>
        <v>0</v>
      </c>
      <c r="L434" s="26"/>
    </row>
    <row r="435" spans="1:12" x14ac:dyDescent="0.3">
      <c r="A435" t="s">
        <v>237</v>
      </c>
      <c r="E435" s="21" t="str">
        <f t="shared" si="48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49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7" spans="1:12" x14ac:dyDescent="0.3">
      <c r="A437" t="s">
        <v>447</v>
      </c>
    </row>
    <row r="438" spans="1:12" x14ac:dyDescent="0.3">
      <c r="A438" t="s">
        <v>448</v>
      </c>
      <c r="E438" s="21" t="str">
        <f t="shared" ref="E438:E451" si="50">IF(D438="?OLD","!!!","")</f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ref="H438:H451" ca="1" si="51">IF(J438&lt;&gt;1,"",IF(I438="SBJ","CB","?"))</f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225</v>
      </c>
      <c r="E439" s="21" t="str">
        <f t="shared" si="50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51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223</v>
      </c>
      <c r="B440" s="20" t="s">
        <v>220</v>
      </c>
      <c r="C440" s="20" t="s">
        <v>235</v>
      </c>
      <c r="D440" s="20" t="s">
        <v>236</v>
      </c>
      <c r="E440" s="21" t="s">
        <v>658</v>
      </c>
      <c r="F440" s="22" t="str">
        <f>IF(OR(E440="",E440="!!!"),"",IF(NOT(ISNA(VLOOKUP(E440,E$1:E439,1,FALSE()))),"OLD",IF(AND(E440&lt;&gt;"",E440&lt;&gt;"!!!"),"NEW","")))</f>
        <v>OLD</v>
      </c>
      <c r="G440" s="23" t="s">
        <v>604</v>
      </c>
      <c r="H440" s="24" t="str">
        <f t="shared" ca="1" si="51"/>
        <v/>
      </c>
      <c r="I440" s="25">
        <f>IF(OR(E440="",E440="!!!",F440="NEW"),"",INDEX(B$2:B439,-1+SUMPRODUCT(MAX(ROW(E$2:E439)*(E440=E$2:E439)))))</f>
        <v>0</v>
      </c>
      <c r="J440" s="25">
        <f ca="1">IF(OR(E440="",E440="!!!",F440="NEW"),"",COUNTBLANK(OFFSET(A$1,,,SUMPRODUCT(MAX(ROW(E$2:E440)*(E440=E$2:E440)))))-COUNTBLANK(OFFSET(A$1,,,SUMPRODUCT(MAX(ROW(E$1:E439)*(E2=E$1:E439))))))</f>
        <v>0</v>
      </c>
      <c r="K440" s="25">
        <f ca="1">IF(OR(E440="",E440="!!!",F440="NEW"),"",INDEX(J$1:J439,SUMPRODUCT(MAX(ROW(E$1:E439)*(E440=E$1:E439)))))</f>
        <v>0</v>
      </c>
      <c r="L440" s="26"/>
    </row>
    <row r="441" spans="1:12" x14ac:dyDescent="0.3">
      <c r="A441" t="s">
        <v>246</v>
      </c>
      <c r="E441" s="21" t="str">
        <f t="shared" si="50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51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227</v>
      </c>
      <c r="E442" s="21" t="str">
        <f t="shared" si="50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51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224</v>
      </c>
      <c r="E443" s="21" t="str">
        <f t="shared" si="50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51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240</v>
      </c>
      <c r="B444" s="20" t="s">
        <v>211</v>
      </c>
      <c r="C444" s="20" t="s">
        <v>241</v>
      </c>
      <c r="D444" s="20" t="s">
        <v>236</v>
      </c>
      <c r="E444" s="21" t="s">
        <v>658</v>
      </c>
      <c r="F444" s="22" t="str">
        <f>IF(OR(E444="",E444="!!!"),"",IF(NOT(ISNA(VLOOKUP(E444,E$1:E443,1,FALSE()))),"OLD",IF(AND(E444&lt;&gt;"",E444&lt;&gt;"!!!"),"NEW","")))</f>
        <v>OLD</v>
      </c>
      <c r="G444" s="23" t="s">
        <v>603</v>
      </c>
      <c r="H444" s="24" t="str">
        <f t="shared" ca="1" si="51"/>
        <v/>
      </c>
      <c r="I444" s="25" t="str">
        <f>IF(OR(E444="",E444="!!!",F444="NEW"),"",INDEX(B$2:B443,-1+SUMPRODUCT(MAX(ROW(E$2:E443)*(E444=E$2:E443)))))</f>
        <v>SBJ</v>
      </c>
      <c r="J444" s="25">
        <f ca="1">IF(OR(E444="",E444="!!!",F444="NEW"),"",COUNTBLANK(OFFSET(A$1,,,SUMPRODUCT(MAX(ROW(E$2:E444)*(E444=E$2:E444)))))-COUNTBLANK(OFFSET(A$1,,,SUMPRODUCT(MAX(ROW(E$1:E443)*(E2=E$1:E443))))))</f>
        <v>0</v>
      </c>
      <c r="K444" s="25">
        <f ca="1">IF(OR(E444="",E444="!!!",F444="NEW"),"",INDEX(J$1:J443,SUMPRODUCT(MAX(ROW(E$1:E443)*(E444=E$1:E443)))))</f>
        <v>0</v>
      </c>
      <c r="L444" s="26"/>
    </row>
    <row r="445" spans="1:12" x14ac:dyDescent="0.3">
      <c r="A445" t="s">
        <v>394</v>
      </c>
      <c r="E445" s="21" t="str">
        <f t="shared" si="50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51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370</v>
      </c>
      <c r="E446" s="21" t="str">
        <f t="shared" si="50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51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320</v>
      </c>
      <c r="E447" s="21" t="str">
        <f t="shared" si="50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51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274</v>
      </c>
      <c r="E448" s="21" t="s">
        <v>658</v>
      </c>
      <c r="F448" s="22" t="str">
        <f>IF(OR(E448="",E448="!!!"),"",IF(NOT(ISNA(VLOOKUP(E448,E$1:E447,1,FALSE()))),"OLD",IF(AND(E448&lt;&gt;"",E448&lt;&gt;"!!!"),"NEW","")))</f>
        <v>OLD</v>
      </c>
      <c r="G448" s="23" t="s">
        <v>603</v>
      </c>
      <c r="H448" s="24" t="str">
        <f t="shared" ca="1" si="51"/>
        <v/>
      </c>
      <c r="I448" s="25" t="str">
        <f>IF(OR(E448="",E448="!!!",F448="NEW"),"",INDEX(B$2:B447,-1+SUMPRODUCT(MAX(ROW(E$2:E447)*(E448=E$2:E447)))))</f>
        <v>SBJ_2</v>
      </c>
      <c r="J448" s="25">
        <f ca="1">IF(OR(E448="",E448="!!!",F448="NEW"),"",COUNTBLANK(OFFSET(A$1,,,SUMPRODUCT(MAX(ROW(E$2:E448)*(E448=E$2:E448)))))-COUNTBLANK(OFFSET(A$1,,,SUMPRODUCT(MAX(ROW(E$1:E447)*(E2=E$1:E447))))))</f>
        <v>0</v>
      </c>
      <c r="K448" s="25">
        <f ca="1">IF(OR(E448="",E448="!!!",F448="NEW"),"",INDEX(J$1:J447,SUMPRODUCT(MAX(ROW(E$1:E447)*(E448=E$1:E447)))))</f>
        <v>0</v>
      </c>
      <c r="L448" s="26" t="s">
        <v>607</v>
      </c>
    </row>
    <row r="449" spans="1:12" x14ac:dyDescent="0.3">
      <c r="A449" t="s">
        <v>403</v>
      </c>
      <c r="B449" s="20" t="s">
        <v>232</v>
      </c>
      <c r="C449" s="20" t="s">
        <v>277</v>
      </c>
      <c r="E449" s="21" t="s">
        <v>664</v>
      </c>
      <c r="F449" s="22" t="str">
        <f>IF(OR(E449="",E449="!!!"),"",IF(NOT(ISNA(VLOOKUP(E449,E$1:E448,1,FALSE()))),"OLD",IF(AND(E449&lt;&gt;"",E449&lt;&gt;"!!!"),"NEW","")))</f>
        <v>NEW</v>
      </c>
      <c r="G449" s="23" t="s">
        <v>670</v>
      </c>
      <c r="H449" s="24" t="str">
        <f t="shared" ca="1" si="51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449</v>
      </c>
      <c r="E450" s="21" t="str">
        <f t="shared" si="50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51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237</v>
      </c>
      <c r="E451" s="21" t="str">
        <f t="shared" si="50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51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3" spans="1:12" x14ac:dyDescent="0.3">
      <c r="A453" t="s">
        <v>450</v>
      </c>
    </row>
    <row r="454" spans="1:12" x14ac:dyDescent="0.3">
      <c r="A454" t="s">
        <v>451</v>
      </c>
      <c r="B454" s="20" t="s">
        <v>220</v>
      </c>
      <c r="C454" s="20" t="s">
        <v>452</v>
      </c>
      <c r="E454" s="21" t="str">
        <f t="shared" ref="E454:E471" si="52">IF(D454="?OLD","!!!","")</f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ref="H454:H471" ca="1" si="53">IF(J454&lt;&gt;1,"",IF(I454="SBJ","CB","?"))</f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453</v>
      </c>
      <c r="E455" s="21" t="str">
        <f t="shared" si="52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53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224</v>
      </c>
      <c r="E456" s="21" t="str">
        <f t="shared" si="52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53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296</v>
      </c>
      <c r="E457" s="21" t="str">
        <f t="shared" si="52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53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267</v>
      </c>
      <c r="B458" s="20" t="s">
        <v>211</v>
      </c>
      <c r="E458" s="21" t="s">
        <v>630</v>
      </c>
      <c r="F458" s="22" t="str">
        <f>IF(OR(E458="",E458="!!!"),"",IF(NOT(ISNA(VLOOKUP(E458,E$1:E457,1,FALSE()))),"OLD",IF(AND(E458&lt;&gt;"",E458&lt;&gt;"!!!"),"NEW","")))</f>
        <v>OLD</v>
      </c>
      <c r="G458" s="23" t="s">
        <v>604</v>
      </c>
      <c r="H458" s="24" t="str">
        <f t="shared" ca="1" si="53"/>
        <v/>
      </c>
      <c r="I458" s="25" t="str">
        <f>IF(OR(E458="",E458="!!!",F458="NEW"),"",INDEX(B$2:B457,-1+SUMPRODUCT(MAX(ROW(E$2:E457)*(E458=E$2:E457)))))</f>
        <v>SBJ</v>
      </c>
      <c r="J458" s="25">
        <f ca="1">IF(OR(E458="",E458="!!!",F458="NEW"),"",COUNTBLANK(OFFSET(A$1,,,SUMPRODUCT(MAX(ROW(E$2:E458)*(E458=E$2:E458)))))-COUNTBLANK(OFFSET(A$1,,,SUMPRODUCT(MAX(ROW(E$1:E457)*(E2=E$1:E457))))))</f>
        <v>0</v>
      </c>
      <c r="K458" s="25">
        <f ca="1">IF(OR(E458="",E458="!!!",F458="NEW"),"",INDEX(J$1:J457,SUMPRODUCT(MAX(ROW(E$1:E457)*(E458=E$1:E457)))))</f>
        <v>0</v>
      </c>
      <c r="L458" s="26" t="s">
        <v>607</v>
      </c>
    </row>
    <row r="459" spans="1:12" x14ac:dyDescent="0.3">
      <c r="A459" t="s">
        <v>454</v>
      </c>
      <c r="E459" s="21" t="str">
        <f t="shared" si="52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53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224</v>
      </c>
      <c r="E460" s="21" t="str">
        <f t="shared" si="52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53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455</v>
      </c>
      <c r="E461" s="21" t="str">
        <f t="shared" si="52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53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240</v>
      </c>
      <c r="B462" s="20" t="s">
        <v>398</v>
      </c>
      <c r="C462" s="20" t="s">
        <v>241</v>
      </c>
      <c r="D462" s="20" t="s">
        <v>236</v>
      </c>
      <c r="E462" s="21" t="s">
        <v>658</v>
      </c>
      <c r="F462" s="22" t="str">
        <f>IF(OR(E462="",E462="!!!"),"",IF(NOT(ISNA(VLOOKUP(E462,E$1:E461,1,FALSE()))),"OLD",IF(AND(E462&lt;&gt;"",E462&lt;&gt;"!!!"),"NEW","")))</f>
        <v>OLD</v>
      </c>
      <c r="G462" s="23" t="s">
        <v>603</v>
      </c>
      <c r="H462" s="24" t="s">
        <v>197</v>
      </c>
      <c r="I462" s="25">
        <f>IF(OR(E462="",E462="!!!",F462="NEW"),"",INDEX(B$2:B461,-1+SUMPRODUCT(MAX(ROW(E$2:E461)*(E462=E$2:E461)))))</f>
        <v>0</v>
      </c>
      <c r="J462" s="25">
        <f ca="1">IF(OR(E462="",E462="!!!",F462="NEW"),"",COUNTBLANK(OFFSET(A$1,,,SUMPRODUCT(MAX(ROW(E$2:E462)*(E462=E$2:E462)))))-COUNTBLANK(OFFSET(A$1,,,SUMPRODUCT(MAX(ROW(E$1:E461)*(E2=E$1:E461))))))</f>
        <v>0</v>
      </c>
      <c r="K462" s="25">
        <f ca="1">IF(OR(E462="",E462="!!!",F462="NEW"),"",INDEX(J$1:J461,SUMPRODUCT(MAX(ROW(E$1:E461)*(E462=E$1:E461)))))</f>
        <v>0</v>
      </c>
      <c r="L462" s="26"/>
    </row>
    <row r="463" spans="1:12" x14ac:dyDescent="0.3">
      <c r="A463" t="s">
        <v>242</v>
      </c>
      <c r="E463" s="21" t="str">
        <f t="shared" si="52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53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243</v>
      </c>
      <c r="B464" s="20" t="s">
        <v>345</v>
      </c>
      <c r="C464" s="20" t="s">
        <v>244</v>
      </c>
      <c r="D464" s="20" t="s">
        <v>236</v>
      </c>
      <c r="E464" s="21" t="s">
        <v>602</v>
      </c>
      <c r="F464" s="22" t="str">
        <f>IF(OR(E464="",E464="!!!"),"",IF(NOT(ISNA(VLOOKUP(E464,E$1:E463,1,FALSE()))),"OLD",IF(AND(E464&lt;&gt;"",E464&lt;&gt;"!!!"),"NEW","")))</f>
        <v>OLD</v>
      </c>
      <c r="G464" s="23" t="s">
        <v>604</v>
      </c>
      <c r="H464" s="24" t="str">
        <f t="shared" ca="1" si="53"/>
        <v/>
      </c>
      <c r="I464" s="25" t="str">
        <f>IF(OR(E464="",E464="!!!",F464="NEW"),"",INDEX(B$2:B463,-1+SUMPRODUCT(MAX(ROW(E$2:E463)*(E464=E$2:E463)))))</f>
        <v>other_2</v>
      </c>
      <c r="J464" s="25">
        <f ca="1">IF(OR(E464="",E464="!!!",F464="NEW"),"",COUNTBLANK(OFFSET(A$1,,,SUMPRODUCT(MAX(ROW(E$2:E464)*(E464=E$2:E464)))))-COUNTBLANK(OFFSET(A$1,,,SUMPRODUCT(MAX(ROW(E$1:E463)*(E2=E$1:E463))))))</f>
        <v>0</v>
      </c>
      <c r="K464" s="25" t="str">
        <f ca="1">IF(OR(E464="",E464="!!!",F464="NEW"),"",INDEX(J$1:J463,SUMPRODUCT(MAX(ROW(E$1:E463)*(E464=E$1:E463)))))</f>
        <v/>
      </c>
      <c r="L464" s="26"/>
    </row>
    <row r="465" spans="1:12" x14ac:dyDescent="0.3">
      <c r="A465" t="s">
        <v>456</v>
      </c>
      <c r="E465" s="21" t="str">
        <f t="shared" si="52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53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224</v>
      </c>
      <c r="E466" s="21" t="str">
        <f t="shared" si="52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53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457</v>
      </c>
      <c r="E467" s="21" t="str">
        <f t="shared" si="52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53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224</v>
      </c>
      <c r="E468" s="21" t="str">
        <f t="shared" si="52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53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408</v>
      </c>
      <c r="E469" s="21" t="str">
        <f t="shared" si="52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53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314</v>
      </c>
      <c r="B470" s="20" t="s">
        <v>211</v>
      </c>
      <c r="C470" s="20" t="s">
        <v>203</v>
      </c>
      <c r="E470" s="21" t="s">
        <v>610</v>
      </c>
      <c r="F470" s="22" t="str">
        <f>IF(OR(E470="",E470="!!!"),"",IF(NOT(ISNA(VLOOKUP(E470,E$1:E469,1,FALSE()))),"OLD",IF(AND(E470&lt;&gt;"",E470&lt;&gt;"!!!"),"NEW","")))</f>
        <v>OLD</v>
      </c>
      <c r="G470" s="23" t="s">
        <v>604</v>
      </c>
      <c r="H470" s="24" t="str">
        <f t="shared" ca="1" si="53"/>
        <v/>
      </c>
      <c r="I470" s="25" t="str">
        <f>IF(OR(E470="",E470="!!!",F470="NEW"),"",INDEX(B$2:B469,-1+SUMPRODUCT(MAX(ROW(E$2:E469)*(E470=E$2:E469)))))</f>
        <v>SBJ</v>
      </c>
      <c r="J470" s="25">
        <f ca="1">IF(OR(E470="",E470="!!!",F470="NEW"),"",COUNTBLANK(OFFSET(A$1,,,SUMPRODUCT(MAX(ROW(E$2:E470)*(E470=E$2:E470)))))-COUNTBLANK(OFFSET(A$1,,,SUMPRODUCT(MAX(ROW(E$1:E469)*(E2=E$1:E469))))))</f>
        <v>0</v>
      </c>
      <c r="K470" s="25">
        <f ca="1">IF(OR(E470="",E470="!!!",F470="NEW"),"",INDEX(J$1:J469,SUMPRODUCT(MAX(ROW(E$1:E469)*(E470=E$1:E469)))))</f>
        <v>0</v>
      </c>
      <c r="L470" s="26" t="s">
        <v>607</v>
      </c>
    </row>
    <row r="471" spans="1:12" x14ac:dyDescent="0.3">
      <c r="A471" t="s">
        <v>237</v>
      </c>
      <c r="E471" s="21" t="str">
        <f t="shared" si="52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53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3" spans="1:12" x14ac:dyDescent="0.3">
      <c r="A473" t="s">
        <v>458</v>
      </c>
    </row>
    <row r="474" spans="1:12" x14ac:dyDescent="0.3">
      <c r="A474" t="s">
        <v>459</v>
      </c>
      <c r="E474" s="21" t="str">
        <f t="shared" ref="E474:E488" si="54">IF(D474="?OLD","!!!","")</f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ref="H474:H488" ca="1" si="55">IF(J474&lt;&gt;1,"",IF(I474="SBJ","CB","?"))</f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383</v>
      </c>
      <c r="E475" s="21" t="s">
        <v>602</v>
      </c>
      <c r="F475" s="22" t="str">
        <f>IF(OR(E475="",E475="!!!"),"",IF(NOT(ISNA(VLOOKUP(E475,E$1:E474,1,FALSE()))),"OLD",IF(AND(E475&lt;&gt;"",E475&lt;&gt;"!!!"),"NEW","")))</f>
        <v>OLD</v>
      </c>
      <c r="G475" s="23" t="s">
        <v>669</v>
      </c>
      <c r="H475" s="24" t="s">
        <v>197</v>
      </c>
      <c r="I475" s="25" t="str">
        <f>IF(OR(E475="",E475="!!!",F475="NEW"),"",INDEX(B$2:B474,-1+SUMPRODUCT(MAX(ROW(E$2:E474)*(E475=E$2:E474)))))</f>
        <v>other_4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>
        <f ca="1">IF(OR(E475="",E475="!!!",F475="NEW"),"",INDEX(J$1:J474,SUMPRODUCT(MAX(ROW(E$1:E474)*(E475=E$1:E474)))))</f>
        <v>0</v>
      </c>
      <c r="L475" s="26"/>
    </row>
    <row r="476" spans="1:12" x14ac:dyDescent="0.3">
      <c r="A476" t="s">
        <v>460</v>
      </c>
      <c r="E476" s="21" t="str">
        <f t="shared" si="54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5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461</v>
      </c>
      <c r="E477" s="21" t="str">
        <f t="shared" si="54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5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223</v>
      </c>
      <c r="B478" s="20" t="s">
        <v>220</v>
      </c>
      <c r="C478" s="20" t="s">
        <v>203</v>
      </c>
      <c r="E478" s="21" t="s">
        <v>658</v>
      </c>
      <c r="F478" s="22" t="str">
        <f>IF(OR(E478="",E478="!!!"),"",IF(NOT(ISNA(VLOOKUP(E478,E$1:E477,1,FALSE()))),"OLD",IF(AND(E478&lt;&gt;"",E478&lt;&gt;"!!!"),"NEW","")))</f>
        <v>OLD</v>
      </c>
      <c r="G478" s="23" t="s">
        <v>604</v>
      </c>
      <c r="H478" s="24" t="str">
        <f t="shared" ca="1" si="55"/>
        <v/>
      </c>
      <c r="I478" s="25" t="str">
        <f>IF(OR(E478="",E478="!!!",F478="NEW"),"",INDEX(B$2:B477,-1+SUMPRODUCT(MAX(ROW(E$2:E477)*(E478=E$2:E477)))))</f>
        <v>SBJ_4</v>
      </c>
      <c r="J478" s="25">
        <f ca="1">IF(OR(E478="",E478="!!!",F478="NEW"),"",COUNTBLANK(OFFSET(A$1,,,SUMPRODUCT(MAX(ROW(E$2:E478)*(E478=E$2:E478)))))-COUNTBLANK(OFFSET(A$1,,,SUMPRODUCT(MAX(ROW(E$1:E477)*(E2=E$1:E477))))))</f>
        <v>0</v>
      </c>
      <c r="K478" s="25">
        <f ca="1">IF(OR(E478="",E478="!!!",F478="NEW"),"",INDEX(J$1:J477,SUMPRODUCT(MAX(ROW(E$1:E477)*(E478=E$1:E477)))))</f>
        <v>0</v>
      </c>
      <c r="L478" s="26"/>
    </row>
    <row r="479" spans="1:12" x14ac:dyDescent="0.3">
      <c r="A479" t="s">
        <v>242</v>
      </c>
      <c r="E479" s="21" t="str">
        <f t="shared" si="54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5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462</v>
      </c>
      <c r="B480" s="20" t="s">
        <v>232</v>
      </c>
      <c r="C480" s="20" t="s">
        <v>203</v>
      </c>
      <c r="E480" s="21" t="str">
        <f t="shared" si="54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5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247</v>
      </c>
      <c r="E481" s="21" t="str">
        <f t="shared" si="54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55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371</v>
      </c>
      <c r="E482" s="21" t="str">
        <f t="shared" si="54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5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463</v>
      </c>
      <c r="E483" s="21" t="str">
        <f t="shared" si="54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5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464</v>
      </c>
      <c r="E484" s="21" t="str">
        <f t="shared" si="54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5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303</v>
      </c>
      <c r="E485" s="21" t="str">
        <f t="shared" si="54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5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465</v>
      </c>
      <c r="E486" s="21" t="str">
        <f t="shared" si="54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55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466</v>
      </c>
      <c r="E487" s="21" t="s">
        <v>631</v>
      </c>
      <c r="F487" s="22" t="str">
        <f>IF(OR(E487="",E487="!!!"),"",IF(NOT(ISNA(VLOOKUP(E487,E$1:E486,1,FALSE()))),"OLD",IF(AND(E487&lt;&gt;"",E487&lt;&gt;"!!!"),"NEW","")))</f>
        <v>NEW</v>
      </c>
      <c r="G487" s="23" t="s">
        <v>670</v>
      </c>
      <c r="H487" s="24" t="str">
        <f t="shared" ca="1" si="55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 t="s">
        <v>632</v>
      </c>
    </row>
    <row r="488" spans="1:12" x14ac:dyDescent="0.3">
      <c r="A488" t="s">
        <v>237</v>
      </c>
      <c r="E488" s="21" t="str">
        <f t="shared" si="54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55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90" spans="1:12" x14ac:dyDescent="0.3">
      <c r="A490" t="s">
        <v>467</v>
      </c>
    </row>
    <row r="491" spans="1:12" x14ac:dyDescent="0.3">
      <c r="A491" t="s">
        <v>429</v>
      </c>
      <c r="B491" s="20" t="s">
        <v>220</v>
      </c>
      <c r="C491" s="20" t="s">
        <v>430</v>
      </c>
      <c r="D491" s="20" t="s">
        <v>236</v>
      </c>
      <c r="E491" s="21" t="s">
        <v>631</v>
      </c>
      <c r="F491" s="22" t="str">
        <f>IF(OR(E491="",E491="!!!"),"",IF(NOT(ISNA(VLOOKUP(E491,E$1:E490,1,FALSE()))),"OLD",IF(AND(E491&lt;&gt;"",E491&lt;&gt;"!!!"),"NEW","")))</f>
        <v>OLD</v>
      </c>
      <c r="G491" s="23" t="s">
        <v>669</v>
      </c>
      <c r="H491" s="24" t="s">
        <v>197</v>
      </c>
      <c r="I491" s="25">
        <f>IF(OR(E491="",E491="!!!",F491="NEW"),"",INDEX(B$2:B490,-1+SUMPRODUCT(MAX(ROW(E$2:E490)*(E491=E$2:E490)))))</f>
        <v>0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 t="str">
        <f ca="1">IF(OR(E491="",E491="!!!",F491="NEW"),"",INDEX(J$1:J490,SUMPRODUCT(MAX(ROW(E$1:E490)*(E491=E$1:E490)))))</f>
        <v/>
      </c>
      <c r="L491" s="26"/>
    </row>
    <row r="492" spans="1:12" x14ac:dyDescent="0.3">
      <c r="A492" t="s">
        <v>468</v>
      </c>
      <c r="E492" s="21" t="str">
        <f t="shared" ref="E492:E517" si="56">IF(D492="?OLD","!!!","")</f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ref="H492:H517" ca="1" si="57">IF(J492&lt;&gt;1,"",IF(I492="SBJ","CB","?"))</f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469</v>
      </c>
      <c r="E493" s="21" t="str">
        <f t="shared" si="56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7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224</v>
      </c>
      <c r="E494" s="21" t="str">
        <f t="shared" si="56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57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296</v>
      </c>
      <c r="E495" s="21" t="str">
        <f t="shared" si="56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7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363</v>
      </c>
      <c r="E496" s="21" t="str">
        <f t="shared" si="56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7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470</v>
      </c>
      <c r="E497" s="21" t="str">
        <f t="shared" si="56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57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471</v>
      </c>
      <c r="B498" s="20" t="s">
        <v>211</v>
      </c>
      <c r="C498" s="20" t="s">
        <v>262</v>
      </c>
      <c r="E498" s="21" t="str">
        <f t="shared" si="56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7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332</v>
      </c>
      <c r="E499" s="21" t="str">
        <f t="shared" si="56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7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223</v>
      </c>
      <c r="B500" s="20" t="s">
        <v>207</v>
      </c>
      <c r="C500" s="20" t="s">
        <v>235</v>
      </c>
      <c r="D500" s="20" t="s">
        <v>236</v>
      </c>
      <c r="E500" s="21" t="s">
        <v>633</v>
      </c>
      <c r="F500" s="22" t="str">
        <f>IF(OR(E500="",E500="!!!"),"",IF(NOT(ISNA(VLOOKUP(E500,E$1:E499,1,FALSE()))),"OLD",IF(AND(E500&lt;&gt;"",E500&lt;&gt;"!!!"),"NEW","")))</f>
        <v>OLD</v>
      </c>
      <c r="G500" s="23" t="s">
        <v>604</v>
      </c>
      <c r="H500" s="24" t="str">
        <f t="shared" ca="1" si="57"/>
        <v/>
      </c>
      <c r="I500" s="25">
        <f>IF(OR(E500="",E500="!!!",F500="NEW"),"",INDEX(B$2:B499,-1+SUMPRODUCT(MAX(ROW(E$2:E499)*(E500=E$2:E499)))))</f>
        <v>0</v>
      </c>
      <c r="J500" s="25">
        <f ca="1">IF(OR(E500="",E500="!!!",F500="NEW"),"",COUNTBLANK(OFFSET(A$1,,,SUMPRODUCT(MAX(ROW(E$2:E500)*(E500=E$2:E500)))))-COUNTBLANK(OFFSET(A$1,,,SUMPRODUCT(MAX(ROW(E$1:E499)*(E2=E$1:E499))))))</f>
        <v>0</v>
      </c>
      <c r="K500" s="25">
        <f ca="1">IF(OR(E500="",E500="!!!",F500="NEW"),"",INDEX(J$1:J499,SUMPRODUCT(MAX(ROW(E$1:E499)*(E500=E$1:E499)))))</f>
        <v>0</v>
      </c>
      <c r="L500" s="26"/>
    </row>
    <row r="501" spans="1:12" x14ac:dyDescent="0.3">
      <c r="A501" t="s">
        <v>224</v>
      </c>
      <c r="E501" s="21" t="str">
        <f t="shared" si="56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57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225</v>
      </c>
      <c r="B502" s="20" t="s">
        <v>398</v>
      </c>
      <c r="E502" s="21" t="str">
        <f t="shared" si="56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57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242</v>
      </c>
      <c r="E503" s="21" t="str">
        <f t="shared" si="56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7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332</v>
      </c>
      <c r="E504" s="21" t="str">
        <f t="shared" si="56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7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472</v>
      </c>
      <c r="B505" s="20" t="s">
        <v>345</v>
      </c>
      <c r="C505" s="20" t="s">
        <v>235</v>
      </c>
      <c r="D505" s="20" t="s">
        <v>236</v>
      </c>
      <c r="E505" s="21" t="s">
        <v>616</v>
      </c>
      <c r="F505" s="22" t="str">
        <f>IF(OR(E505="",E505="!!!"),"",IF(NOT(ISNA(VLOOKUP(E505,E$1:E504,1,FALSE()))),"OLD",IF(AND(E505&lt;&gt;"",E505&lt;&gt;"!!!"),"NEW","")))</f>
        <v>OLD</v>
      </c>
      <c r="G505" s="23" t="s">
        <v>604</v>
      </c>
      <c r="H505" s="24" t="str">
        <f t="shared" ca="1" si="57"/>
        <v/>
      </c>
      <c r="I505" s="25">
        <f>IF(OR(E505="",E505="!!!",F505="NEW"),"",INDEX(B$2:B504,-1+SUMPRODUCT(MAX(ROW(E$2:E504)*(E505=E$2:E504)))))</f>
        <v>0</v>
      </c>
      <c r="J505" s="25">
        <f ca="1">IF(OR(E505="",E505="!!!",F505="NEW"),"",COUNTBLANK(OFFSET(A$1,,,SUMPRODUCT(MAX(ROW(E$2:E505)*(E505=E$2:E505)))))-COUNTBLANK(OFFSET(A$1,,,SUMPRODUCT(MAX(ROW(E$1:E504)*(E2=E$1:E504))))))</f>
        <v>0</v>
      </c>
      <c r="K505" s="25">
        <f ca="1">IF(OR(E505="",E505="!!!",F505="NEW"),"",INDEX(J$1:J504,SUMPRODUCT(MAX(ROW(E$1:E504)*(E505=E$1:E504)))))</f>
        <v>0</v>
      </c>
      <c r="L505" s="26"/>
    </row>
    <row r="506" spans="1:12" x14ac:dyDescent="0.3">
      <c r="A506" t="s">
        <v>242</v>
      </c>
      <c r="E506" s="21" t="str">
        <f t="shared" si="56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7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233</v>
      </c>
      <c r="E507" s="21" t="str">
        <f t="shared" si="56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57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337</v>
      </c>
      <c r="E508" s="21" t="str">
        <f t="shared" si="56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7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338</v>
      </c>
      <c r="B509" s="20" t="s">
        <v>401</v>
      </c>
      <c r="C509" s="20" t="s">
        <v>244</v>
      </c>
      <c r="D509" s="20" t="s">
        <v>236</v>
      </c>
      <c r="E509" s="21" t="s">
        <v>615</v>
      </c>
      <c r="F509" s="22" t="str">
        <f>IF(OR(E509="",E509="!!!"),"",IF(NOT(ISNA(VLOOKUP(E509,E$1:E508,1,FALSE()))),"OLD",IF(AND(E509&lt;&gt;"",E509&lt;&gt;"!!!"),"NEW","")))</f>
        <v>OLD</v>
      </c>
      <c r="G509" s="23" t="s">
        <v>604</v>
      </c>
      <c r="H509" s="24" t="str">
        <f t="shared" ca="1" si="57"/>
        <v/>
      </c>
      <c r="I509" s="25" t="str">
        <f>IF(OR(E509="",E509="!!!",F509="NEW"),"",INDEX(B$2:B508,-1+SUMPRODUCT(MAX(ROW(E$2:E508)*(E509=E$2:E508)))))</f>
        <v>other</v>
      </c>
      <c r="J509" s="25">
        <f ca="1">IF(OR(E509="",E509="!!!",F509="NEW"),"",COUNTBLANK(OFFSET(A$1,,,SUMPRODUCT(MAX(ROW(E$2:E509)*(E509=E$2:E509)))))-COUNTBLANK(OFFSET(A$1,,,SUMPRODUCT(MAX(ROW(E$1:E508)*(E2=E$1:E508))))))</f>
        <v>0</v>
      </c>
      <c r="K509" s="25" t="str">
        <f ca="1">IF(OR(E509="",E509="!!!",F509="NEW"),"",INDEX(J$1:J508,SUMPRODUCT(MAX(ROW(E$1:E508)*(E509=E$1:E508)))))</f>
        <v/>
      </c>
      <c r="L509" s="26"/>
    </row>
    <row r="510" spans="1:12" x14ac:dyDescent="0.3">
      <c r="A510" t="s">
        <v>473</v>
      </c>
      <c r="E510" s="21" t="str">
        <f t="shared" si="56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57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224</v>
      </c>
      <c r="E511" s="21" t="str">
        <f t="shared" si="56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7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248</v>
      </c>
      <c r="E512" s="21" t="str">
        <f t="shared" si="56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7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246</v>
      </c>
      <c r="E513" s="21" t="str">
        <f t="shared" si="56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7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224</v>
      </c>
      <c r="E514" s="21" t="str">
        <f t="shared" si="56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7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474</v>
      </c>
      <c r="E515" s="21" t="str">
        <f t="shared" si="56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57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240</v>
      </c>
      <c r="B516" s="20" t="s">
        <v>214</v>
      </c>
      <c r="C516" s="20" t="s">
        <v>241</v>
      </c>
      <c r="D516" s="20" t="s">
        <v>236</v>
      </c>
      <c r="E516" s="21" t="s">
        <v>610</v>
      </c>
      <c r="F516" s="22" t="str">
        <f>IF(OR(E516="",E516="!!!"),"",IF(NOT(ISNA(VLOOKUP(E516,E$1:E515,1,FALSE()))),"OLD",IF(AND(E516&lt;&gt;"",E516&lt;&gt;"!!!"),"NEW","")))</f>
        <v>OLD</v>
      </c>
      <c r="G516" s="23" t="s">
        <v>669</v>
      </c>
      <c r="H516" s="24" t="str">
        <f t="shared" ca="1" si="57"/>
        <v/>
      </c>
      <c r="I516" s="25" t="str">
        <f>IF(OR(E516="",E516="!!!",F516="NEW"),"",INDEX(B$2:B515,-1+SUMPRODUCT(MAX(ROW(E$2:E515)*(E516=E$2:E515)))))</f>
        <v>SBJ_2</v>
      </c>
      <c r="J516" s="25">
        <f ca="1">IF(OR(E516="",E516="!!!",F516="NEW"),"",COUNTBLANK(OFFSET(A$1,,,SUMPRODUCT(MAX(ROW(E$2:E516)*(E516=E$2:E516)))))-COUNTBLANK(OFFSET(A$1,,,SUMPRODUCT(MAX(ROW(E$1:E515)*(E2=E$1:E515))))))</f>
        <v>0</v>
      </c>
      <c r="K516" s="25">
        <f ca="1">IF(OR(E516="",E516="!!!",F516="NEW"),"",INDEX(J$1:J515,SUMPRODUCT(MAX(ROW(E$1:E515)*(E516=E$1:E515)))))</f>
        <v>0</v>
      </c>
      <c r="L516" s="26"/>
    </row>
    <row r="517" spans="1:12" x14ac:dyDescent="0.3">
      <c r="A517" t="s">
        <v>237</v>
      </c>
      <c r="E517" s="21" t="str">
        <f t="shared" si="56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7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9" spans="1:12" x14ac:dyDescent="0.3">
      <c r="A519" t="s">
        <v>378</v>
      </c>
      <c r="E519" s="21" t="str">
        <f>IF(D519="?OLD","!!!","")</f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ca="1">IF(J519&lt;&gt;1,"",IF(I519="SBJ","CB","?"))</f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475</v>
      </c>
    </row>
    <row r="521" spans="1:12" x14ac:dyDescent="0.3">
      <c r="A521" t="s">
        <v>205</v>
      </c>
      <c r="E521" s="21" t="str">
        <f t="shared" ref="E521:E531" si="58">IF(D521="?OLD","!!!","")</f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ref="H521:H531" ca="1" si="59">IF(J521&lt;&gt;1,"",IF(I521="SBJ","CB","?"))</f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476</v>
      </c>
      <c r="B522" s="20" t="s">
        <v>220</v>
      </c>
      <c r="C522" s="20" t="s">
        <v>208</v>
      </c>
      <c r="E522" s="21" t="str">
        <f t="shared" si="58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9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332</v>
      </c>
      <c r="E523" s="21" t="str">
        <f t="shared" si="58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59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344</v>
      </c>
      <c r="B524" s="20" t="s">
        <v>232</v>
      </c>
      <c r="C524" s="20" t="s">
        <v>235</v>
      </c>
      <c r="D524" s="20" t="s">
        <v>236</v>
      </c>
      <c r="E524" s="21" t="s">
        <v>659</v>
      </c>
      <c r="F524" s="22" t="str">
        <f>IF(OR(E524="",E524="!!!"),"",IF(NOT(ISNA(VLOOKUP(E524,E$1:E523,1,FALSE()))),"OLD",IF(AND(E524&lt;&gt;"",E524&lt;&gt;"!!!"),"NEW","")))</f>
        <v>NEW</v>
      </c>
      <c r="G524" s="23" t="s">
        <v>670</v>
      </c>
      <c r="H524" s="24" t="str">
        <f t="shared" ca="1" si="59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246</v>
      </c>
      <c r="E525" s="21" t="str">
        <f t="shared" si="58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59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477</v>
      </c>
      <c r="E526" s="21" t="str">
        <f t="shared" si="58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59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370</v>
      </c>
      <c r="E527" s="21" t="str">
        <f t="shared" si="58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59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478</v>
      </c>
      <c r="E528" s="21" t="str">
        <f t="shared" si="58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9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479</v>
      </c>
      <c r="E529" s="21" t="str">
        <f t="shared" si="58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9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205</v>
      </c>
      <c r="E530" s="21" t="str">
        <f t="shared" si="58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9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237</v>
      </c>
      <c r="E531" s="21" t="str">
        <f t="shared" si="58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9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3" spans="1:12" x14ac:dyDescent="0.3">
      <c r="A533" t="s">
        <v>480</v>
      </c>
    </row>
    <row r="534" spans="1:12" x14ac:dyDescent="0.3">
      <c r="A534" t="s">
        <v>414</v>
      </c>
      <c r="B534" s="20" t="s">
        <v>232</v>
      </c>
      <c r="C534" s="20" t="s">
        <v>241</v>
      </c>
      <c r="D534" s="20" t="s">
        <v>236</v>
      </c>
      <c r="E534" s="21"/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ref="H534:H545" ca="1" si="60">IF(J534&lt;&gt;1,"",IF(I534="SBJ","CB","?"))</f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223</v>
      </c>
      <c r="B535" s="20" t="s">
        <v>220</v>
      </c>
      <c r="C535" s="20" t="s">
        <v>262</v>
      </c>
      <c r="E535" s="21" t="s">
        <v>634</v>
      </c>
      <c r="F535" s="22" t="str">
        <f>IF(OR(E535="",E535="!!!"),"",IF(NOT(ISNA(VLOOKUP(E535,E$1:E534,1,FALSE()))),"OLD",IF(AND(E535&lt;&gt;"",E535&lt;&gt;"!!!"),"NEW","")))</f>
        <v>NEW</v>
      </c>
      <c r="G535" s="23" t="s">
        <v>670</v>
      </c>
      <c r="H535" s="24" t="str">
        <f t="shared" ca="1" si="60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 t="s">
        <v>635</v>
      </c>
    </row>
    <row r="536" spans="1:12" x14ac:dyDescent="0.3">
      <c r="A536" t="s">
        <v>481</v>
      </c>
      <c r="E536" s="21" t="str">
        <f t="shared" ref="E536:E545" si="61">IF(D536="?OLD","!!!","")</f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60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367</v>
      </c>
      <c r="E537" s="21" t="str">
        <f t="shared" si="61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60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482</v>
      </c>
      <c r="E538" s="21" t="str">
        <f t="shared" si="61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60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483</v>
      </c>
      <c r="E539" s="21" t="str">
        <f t="shared" si="61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60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224</v>
      </c>
      <c r="E540" s="21" t="str">
        <f t="shared" si="61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60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296</v>
      </c>
      <c r="E541" s="21" t="str">
        <f t="shared" si="61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60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240</v>
      </c>
      <c r="B542" s="20" t="s">
        <v>211</v>
      </c>
      <c r="C542" s="20" t="s">
        <v>241</v>
      </c>
      <c r="D542" s="20" t="s">
        <v>236</v>
      </c>
      <c r="E542" s="21" t="s">
        <v>634</v>
      </c>
      <c r="F542" s="22" t="str">
        <f>IF(OR(E542="",E542="!!!"),"",IF(NOT(ISNA(VLOOKUP(E542,E$1:E541,1,FALSE()))),"OLD",IF(AND(E542&lt;&gt;"",E542&lt;&gt;"!!!"),"NEW","")))</f>
        <v>OLD</v>
      </c>
      <c r="G542" s="23" t="s">
        <v>603</v>
      </c>
      <c r="H542" s="24" t="str">
        <f t="shared" ca="1" si="60"/>
        <v/>
      </c>
      <c r="I542" s="25" t="str">
        <f>IF(OR(E542="",E542="!!!",F542="NEW"),"",INDEX(B$2:B541,-1+SUMPRODUCT(MAX(ROW(E$2:E541)*(E542=E$2:E541)))))</f>
        <v>SBJ</v>
      </c>
      <c r="J542" s="25">
        <f ca="1">IF(OR(E542="",E542="!!!",F542="NEW"),"",COUNTBLANK(OFFSET(A$1,,,SUMPRODUCT(MAX(ROW(E$2:E542)*(E542=E$2:E542)))))-COUNTBLANK(OFFSET(A$1,,,SUMPRODUCT(MAX(ROW(E$1:E541)*(E2=E$1:E541))))))</f>
        <v>0</v>
      </c>
      <c r="K542" s="25" t="str">
        <f ca="1">IF(OR(E542="",E542="!!!",F542="NEW"),"",INDEX(J$1:J541,SUMPRODUCT(MAX(ROW(E$1:E541)*(E542=E$1:E541)))))</f>
        <v/>
      </c>
      <c r="L542" s="26"/>
    </row>
    <row r="543" spans="1:12" x14ac:dyDescent="0.3">
      <c r="A543" t="s">
        <v>484</v>
      </c>
      <c r="B543" s="20" t="s">
        <v>214</v>
      </c>
      <c r="C543" s="20" t="s">
        <v>241</v>
      </c>
      <c r="D543" s="20" t="s">
        <v>236</v>
      </c>
      <c r="E543" s="21"/>
      <c r="F543" s="22" t="s">
        <v>621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60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92</v>
      </c>
      <c r="E544" s="21" t="str">
        <f t="shared" si="61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60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237</v>
      </c>
      <c r="E545" s="21" t="str">
        <f t="shared" si="61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60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7" spans="1:12" x14ac:dyDescent="0.3">
      <c r="A547" t="s">
        <v>378</v>
      </c>
      <c r="E547" s="21" t="str">
        <f>IF(D547="?OLD","!!!","")</f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ca="1">IF(J547&lt;&gt;1,"",IF(I547="SBJ","CB","?"))</f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485</v>
      </c>
    </row>
    <row r="549" spans="1:12" x14ac:dyDescent="0.3">
      <c r="A549" t="s">
        <v>205</v>
      </c>
      <c r="E549" s="21" t="str">
        <f t="shared" ref="E549:E570" si="62">IF(D549="?OLD","!!!","")</f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ref="H549:H570" ca="1" si="63">IF(J549&lt;&gt;1,"",IF(I549="SBJ","CB","?"))</f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486</v>
      </c>
      <c r="E550" s="21" t="str">
        <f t="shared" si="62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63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240</v>
      </c>
      <c r="B551" s="20" t="s">
        <v>220</v>
      </c>
      <c r="C551" s="20" t="s">
        <v>241</v>
      </c>
      <c r="D551" s="20" t="s">
        <v>236</v>
      </c>
      <c r="E551" s="21" t="s">
        <v>634</v>
      </c>
      <c r="F551" s="22" t="str">
        <f>IF(OR(E551="",E551="!!!"),"",IF(NOT(ISNA(VLOOKUP(E551,E$1:E550,1,FALSE()))),"OLD",IF(AND(E551&lt;&gt;"",E551&lt;&gt;"!!!"),"NEW","")))</f>
        <v>OLD</v>
      </c>
      <c r="G551" s="23" t="s">
        <v>603</v>
      </c>
      <c r="H551" s="24" t="s">
        <v>197</v>
      </c>
      <c r="I551" s="25" t="str">
        <f>IF(OR(E551="",E551="!!!",F551="NEW"),"",INDEX(B$2:B550,-1+SUMPRODUCT(MAX(ROW(E$2:E550)*(E551=E$2:E550)))))</f>
        <v>SBJ_2</v>
      </c>
      <c r="J551" s="25">
        <f ca="1">IF(OR(E551="",E551="!!!",F551="NEW"),"",COUNTBLANK(OFFSET(A$1,,,SUMPRODUCT(MAX(ROW(E$2:E551)*(E551=E$2:E551)))))-COUNTBLANK(OFFSET(A$1,,,SUMPRODUCT(MAX(ROW(E$1:E550)*(E2=E$1:E550))))))</f>
        <v>0</v>
      </c>
      <c r="K551" s="25">
        <f ca="1">IF(OR(E551="",E551="!!!",F551="NEW"),"",INDEX(J$1:J550,SUMPRODUCT(MAX(ROW(E$1:E550)*(E551=E$1:E550)))))</f>
        <v>0</v>
      </c>
      <c r="L551" s="26"/>
    </row>
    <row r="552" spans="1:12" x14ac:dyDescent="0.3">
      <c r="A552" t="s">
        <v>142</v>
      </c>
      <c r="E552" s="21" t="str">
        <f t="shared" si="62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63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328</v>
      </c>
      <c r="B553" s="20" t="s">
        <v>255</v>
      </c>
      <c r="E553" s="21" t="str">
        <f t="shared" si="62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63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370</v>
      </c>
      <c r="E554" s="21" t="str">
        <f t="shared" si="62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63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224</v>
      </c>
      <c r="E555" s="21" t="str">
        <f t="shared" si="62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63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487</v>
      </c>
      <c r="E556" s="21" t="str">
        <f t="shared" si="62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63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488</v>
      </c>
      <c r="E557" s="21" t="str">
        <f t="shared" si="62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63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267</v>
      </c>
      <c r="E558" s="21" t="str">
        <f t="shared" si="62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63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489</v>
      </c>
      <c r="B559" s="20" t="s">
        <v>232</v>
      </c>
      <c r="C559" s="20" t="s">
        <v>235</v>
      </c>
      <c r="D559" s="20" t="s">
        <v>236</v>
      </c>
      <c r="E559" s="21" t="s">
        <v>630</v>
      </c>
      <c r="F559" s="22" t="str">
        <f>IF(OR(E559="",E559="!!!"),"",IF(NOT(ISNA(VLOOKUP(E559,E$1:E558,1,FALSE()))),"OLD",IF(AND(E559&lt;&gt;"",E559&lt;&gt;"!!!"),"NEW","")))</f>
        <v>OLD</v>
      </c>
      <c r="G559" s="23" t="s">
        <v>604</v>
      </c>
      <c r="H559" s="24" t="str">
        <f t="shared" ca="1" si="63"/>
        <v/>
      </c>
      <c r="I559" s="25" t="str">
        <f>IF(OR(E559="",E559="!!!",F559="NEW"),"",INDEX(B$2:B558,-1+SUMPRODUCT(MAX(ROW(E$2:E558)*(E559=E$2:E558)))))</f>
        <v>SBJ_2</v>
      </c>
      <c r="J559" s="25">
        <f ca="1">IF(OR(E559="",E559="!!!",F559="NEW"),"",COUNTBLANK(OFFSET(A$1,,,SUMPRODUCT(MAX(ROW(E$2:E559)*(E559=E$2:E559)))))-COUNTBLANK(OFFSET(A$1,,,SUMPRODUCT(MAX(ROW(E$1:E558)*(E2=E$1:E558))))))</f>
        <v>0</v>
      </c>
      <c r="K559" s="25">
        <f ca="1">IF(OR(E559="",E559="!!!",F559="NEW"),"",INDEX(J$1:J558,SUMPRODUCT(MAX(ROW(E$1:E558)*(E559=E$1:E558)))))</f>
        <v>0</v>
      </c>
      <c r="L559" s="26"/>
    </row>
    <row r="560" spans="1:12" x14ac:dyDescent="0.3">
      <c r="A560" t="s">
        <v>231</v>
      </c>
      <c r="E560" s="21" t="str">
        <f t="shared" si="62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63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60</v>
      </c>
      <c r="E561" s="21" t="str">
        <f t="shared" si="62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63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224</v>
      </c>
      <c r="E562" s="21" t="str">
        <f t="shared" si="62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63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391</v>
      </c>
      <c r="E563" s="21" t="str">
        <f t="shared" si="62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63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225</v>
      </c>
      <c r="E564" s="21" t="str">
        <f t="shared" si="62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63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490</v>
      </c>
      <c r="B565" s="20" t="s">
        <v>211</v>
      </c>
      <c r="C565" s="20" t="s">
        <v>235</v>
      </c>
      <c r="D565" s="20" t="s">
        <v>236</v>
      </c>
      <c r="E565" s="21"/>
      <c r="F565" s="22" t="s">
        <v>621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63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231</v>
      </c>
      <c r="E566" s="21" t="str">
        <f t="shared" si="62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63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491</v>
      </c>
      <c r="E567" s="21" t="str">
        <f t="shared" si="62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63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271</v>
      </c>
      <c r="E568" s="21" t="str">
        <f t="shared" si="62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63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205</v>
      </c>
      <c r="E569" s="21" t="str">
        <f t="shared" si="62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63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237</v>
      </c>
      <c r="E570" s="21" t="str">
        <f t="shared" si="62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63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2" spans="1:12" x14ac:dyDescent="0.3">
      <c r="A572" t="s">
        <v>492</v>
      </c>
    </row>
    <row r="573" spans="1:12" x14ac:dyDescent="0.3">
      <c r="A573" t="s">
        <v>493</v>
      </c>
      <c r="E573" s="21" t="str">
        <f t="shared" ref="E573:E592" si="64">IF(D573="?OLD","!!!","")</f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ref="H573:H592" ca="1" si="65">IF(J573&lt;&gt;1,"",IF(I573="SBJ","CB","?"))</f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240</v>
      </c>
      <c r="B574" s="20" t="s">
        <v>211</v>
      </c>
      <c r="C574" s="20" t="s">
        <v>241</v>
      </c>
      <c r="D574" s="20" t="s">
        <v>236</v>
      </c>
      <c r="E574" s="21" t="s">
        <v>634</v>
      </c>
      <c r="F574" s="22" t="str">
        <f>IF(OR(E574="",E574="!!!"),"",IF(NOT(ISNA(VLOOKUP(E574,E$1:E573,1,FALSE()))),"OLD",IF(AND(E574&lt;&gt;"",E574&lt;&gt;"!!!"),"NEW","")))</f>
        <v>OLD</v>
      </c>
      <c r="G574" s="23" t="s">
        <v>603</v>
      </c>
      <c r="H574" s="24" t="s">
        <v>197</v>
      </c>
      <c r="I574" s="25" t="str">
        <f>IF(OR(E574="",E574="!!!",F574="NEW"),"",INDEX(B$2:B573,-1+SUMPRODUCT(MAX(ROW(E$2:E573)*(E574=E$2:E573)))))</f>
        <v>SBJ</v>
      </c>
      <c r="J574" s="25">
        <f ca="1">IF(OR(E574="",E574="!!!",F574="NEW"),"",COUNTBLANK(OFFSET(A$1,,,SUMPRODUCT(MAX(ROW(E$2:E574)*(E574=E$2:E574)))))-COUNTBLANK(OFFSET(A$1,,,SUMPRODUCT(MAX(ROW(E$1:E573)*(E2=E$1:E573))))))</f>
        <v>0</v>
      </c>
      <c r="K574" s="25">
        <f ca="1">IF(OR(E574="",E574="!!!",F574="NEW"),"",INDEX(J$1:J573,SUMPRODUCT(MAX(ROW(E$1:E573)*(E574=E$1:E573)))))</f>
        <v>0</v>
      </c>
      <c r="L574" s="26"/>
    </row>
    <row r="575" spans="1:12" x14ac:dyDescent="0.3">
      <c r="A575" t="s">
        <v>328</v>
      </c>
      <c r="B575" s="20" t="s">
        <v>214</v>
      </c>
      <c r="E575" s="21" t="str">
        <f t="shared" si="64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65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247</v>
      </c>
      <c r="E576" s="21" t="str">
        <f t="shared" si="64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65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370</v>
      </c>
      <c r="E577" s="21" t="str">
        <f t="shared" si="64"/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65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231</v>
      </c>
      <c r="E578" s="21" t="str">
        <f t="shared" si="64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65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494</v>
      </c>
      <c r="E579" s="21" t="str">
        <f t="shared" si="64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65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495</v>
      </c>
      <c r="E580" s="21" t="str">
        <f t="shared" si="64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65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224</v>
      </c>
      <c r="E581" s="21" t="str">
        <f t="shared" si="64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65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496</v>
      </c>
      <c r="E582" s="21" t="str">
        <f t="shared" si="64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65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367</v>
      </c>
      <c r="B583" s="20" t="s">
        <v>220</v>
      </c>
      <c r="C583" s="20" t="s">
        <v>283</v>
      </c>
      <c r="D583" s="20" t="s">
        <v>236</v>
      </c>
      <c r="E583" s="21"/>
      <c r="F583" s="22" t="s">
        <v>636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65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497</v>
      </c>
      <c r="E584" s="21" t="str">
        <f t="shared" si="64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65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341</v>
      </c>
      <c r="B585" s="20" t="s">
        <v>255</v>
      </c>
      <c r="C585" s="20" t="s">
        <v>203</v>
      </c>
      <c r="E585" s="21" t="str">
        <f t="shared" si="64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5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498</v>
      </c>
      <c r="E586" s="21" t="str">
        <f t="shared" si="64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5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222</v>
      </c>
      <c r="E587" s="21" t="str">
        <f t="shared" si="64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65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240</v>
      </c>
      <c r="B588" s="20" t="s">
        <v>232</v>
      </c>
      <c r="C588" s="20" t="s">
        <v>241</v>
      </c>
      <c r="D588" s="20" t="s">
        <v>236</v>
      </c>
      <c r="E588" s="21" t="s">
        <v>634</v>
      </c>
      <c r="F588" s="22" t="str">
        <f>IF(OR(E588="",E588="!!!"),"",IF(NOT(ISNA(VLOOKUP(E588,E$1:E587,1,FALSE()))),"OLD",IF(AND(E588&lt;&gt;"",E588&lt;&gt;"!!!"),"NEW","")))</f>
        <v>OLD</v>
      </c>
      <c r="G588" s="23" t="s">
        <v>603</v>
      </c>
      <c r="H588" s="24" t="str">
        <f t="shared" ca="1" si="65"/>
        <v/>
      </c>
      <c r="I588" s="25" t="str">
        <f>IF(OR(E588="",E588="!!!",F588="NEW"),"",INDEX(B$2:B587,-1+SUMPRODUCT(MAX(ROW(E$2:E587)*(E588=E$2:E587)))))</f>
        <v>SBJ_2</v>
      </c>
      <c r="J588" s="25">
        <f ca="1">IF(OR(E588="",E588="!!!",F588="NEW"),"",COUNTBLANK(OFFSET(A$1,,,SUMPRODUCT(MAX(ROW(E$2:E588)*(E588=E$2:E588)))))-COUNTBLANK(OFFSET(A$1,,,SUMPRODUCT(MAX(ROW(E$1:E587)*(E2=E$1:E587))))))</f>
        <v>0</v>
      </c>
      <c r="K588" s="25">
        <f ca="1">IF(OR(E588="",E588="!!!",F588="NEW"),"",INDEX(J$1:J587,SUMPRODUCT(MAX(ROW(E$1:E587)*(E588=E$1:E587)))))</f>
        <v>0</v>
      </c>
      <c r="L588" s="26"/>
    </row>
    <row r="589" spans="1:12" x14ac:dyDescent="0.3">
      <c r="A589" t="s">
        <v>224</v>
      </c>
      <c r="E589" s="21" t="str">
        <f t="shared" si="64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5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499</v>
      </c>
      <c r="E590" s="21" t="str">
        <f t="shared" si="64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5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314</v>
      </c>
      <c r="B591" s="20" t="s">
        <v>214</v>
      </c>
      <c r="C591" s="20" t="s">
        <v>203</v>
      </c>
      <c r="E591" s="21" t="s">
        <v>610</v>
      </c>
      <c r="F591" s="22" t="str">
        <f>IF(OR(E591="",E591="!!!"),"",IF(NOT(ISNA(VLOOKUP(E591,E$1:E590,1,FALSE()))),"OLD",IF(AND(E591&lt;&gt;"",E591&lt;&gt;"!!!"),"NEW","")))</f>
        <v>OLD</v>
      </c>
      <c r="G591" s="23" t="s">
        <v>604</v>
      </c>
      <c r="H591" s="24" t="str">
        <f t="shared" ca="1" si="65"/>
        <v/>
      </c>
      <c r="I591" s="25" t="str">
        <f>IF(OR(E591="",E591="!!!",F591="NEW"),"",INDEX(B$2:B590,-1+SUMPRODUCT(MAX(ROW(E$2:E590)*(E591=E$2:E590)))))</f>
        <v>OBJ_2</v>
      </c>
      <c r="J591" s="25">
        <f ca="1">IF(OR(E591="",E591="!!!",F591="NEW"),"",COUNTBLANK(OFFSET(A$1,,,SUMPRODUCT(MAX(ROW(E$2:E591)*(E591=E$2:E591)))))-COUNTBLANK(OFFSET(A$1,,,SUMPRODUCT(MAX(ROW(E$1:E590)*(E2=E$1:E590))))))</f>
        <v>0</v>
      </c>
      <c r="K591" s="25">
        <f ca="1">IF(OR(E591="",E591="!!!",F591="NEW"),"",INDEX(J$1:J590,SUMPRODUCT(MAX(ROW(E$1:E590)*(E591=E$1:E590)))))</f>
        <v>0</v>
      </c>
      <c r="L591" s="26" t="s">
        <v>607</v>
      </c>
    </row>
    <row r="592" spans="1:12" x14ac:dyDescent="0.3">
      <c r="A592" t="s">
        <v>237</v>
      </c>
      <c r="E592" s="21" t="str">
        <f t="shared" si="64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65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500</v>
      </c>
    </row>
    <row r="595" spans="1:12" x14ac:dyDescent="0.3">
      <c r="A595" t="s">
        <v>257</v>
      </c>
      <c r="E595" s="21" t="str">
        <f t="shared" ref="E595:E607" si="66">IF(D595="?OLD","!!!","")</f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ref="H595:H607" ca="1" si="67">IF(J595&lt;&gt;1,"",IF(I595="SBJ","CB","?"))</f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326</v>
      </c>
      <c r="B596" s="20" t="s">
        <v>202</v>
      </c>
      <c r="C596" s="20" t="s">
        <v>244</v>
      </c>
      <c r="D596" s="20" t="s">
        <v>236</v>
      </c>
      <c r="E596" s="21" t="s">
        <v>614</v>
      </c>
      <c r="F596" s="22" t="str">
        <f>IF(OR(E596="",E596="!!!"),"",IF(NOT(ISNA(VLOOKUP(E596,E$1:E595,1,FALSE()))),"OLD",IF(AND(E596&lt;&gt;"",E596&lt;&gt;"!!!"),"NEW","")))</f>
        <v>OLD</v>
      </c>
      <c r="G596" s="23" t="s">
        <v>604</v>
      </c>
      <c r="H596" s="24" t="str">
        <f t="shared" ca="1" si="67"/>
        <v/>
      </c>
      <c r="I596" s="25" t="str">
        <f>IF(OR(E596="",E596="!!!",F596="NEW"),"",INDEX(B$2:B595,-1+SUMPRODUCT(MAX(ROW(E$2:E595)*(E596=E$2:E595)))))</f>
        <v>other_4</v>
      </c>
      <c r="J596" s="25">
        <f ca="1">IF(OR(E596="",E596="!!!",F596="NEW"),"",COUNTBLANK(OFFSET(A$1,,,SUMPRODUCT(MAX(ROW(E$2:E596)*(E596=E$2:E596)))))-COUNTBLANK(OFFSET(A$1,,,SUMPRODUCT(MAX(ROW(E$1:E595)*(E2=E$1:E595))))))</f>
        <v>0</v>
      </c>
      <c r="K596" s="25">
        <f ca="1">IF(OR(E596="",E596="!!!",F596="NEW"),"",INDEX(J$1:J595,SUMPRODUCT(MAX(ROW(E$1:E595)*(E596=E$1:E595)))))</f>
        <v>0</v>
      </c>
      <c r="L596" s="26"/>
    </row>
    <row r="597" spans="1:12" x14ac:dyDescent="0.3">
      <c r="A597" t="s">
        <v>246</v>
      </c>
      <c r="E597" s="21" t="str">
        <f t="shared" si="66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7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225</v>
      </c>
      <c r="E598" s="21" t="str">
        <f t="shared" si="66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7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501</v>
      </c>
      <c r="E599" s="21" t="str">
        <f t="shared" si="66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67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502</v>
      </c>
      <c r="B600" s="20" t="s">
        <v>220</v>
      </c>
      <c r="C600" s="20" t="s">
        <v>334</v>
      </c>
      <c r="D600" s="20" t="s">
        <v>236</v>
      </c>
      <c r="E600" s="21" t="s">
        <v>637</v>
      </c>
      <c r="F600" s="22" t="str">
        <f>IF(OR(E600="",E600="!!!"),"",IF(NOT(ISNA(VLOOKUP(E600,E$1:E599,1,FALSE()))),"OLD",IF(AND(E600&lt;&gt;"",E600&lt;&gt;"!!!"),"NEW","")))</f>
        <v>NEW</v>
      </c>
      <c r="G600" s="23" t="s">
        <v>670</v>
      </c>
      <c r="H600" s="24" t="str">
        <f t="shared" ca="1" si="67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222</v>
      </c>
      <c r="E601" s="21" t="str">
        <f t="shared" si="66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7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225</v>
      </c>
      <c r="E602" s="21" t="str">
        <f t="shared" si="66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7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503</v>
      </c>
      <c r="B603" s="20" t="s">
        <v>232</v>
      </c>
      <c r="C603" s="20" t="s">
        <v>235</v>
      </c>
      <c r="D603" s="20" t="s">
        <v>236</v>
      </c>
      <c r="E603" s="21" t="s">
        <v>639</v>
      </c>
      <c r="F603" s="22" t="str">
        <f>IF(OR(E603="",E603="!!!"),"",IF(NOT(ISNA(VLOOKUP(E603,E$1:E602,1,FALSE()))),"OLD",IF(AND(E603&lt;&gt;"",E603&lt;&gt;"!!!"),"NEW","")))</f>
        <v>NEW</v>
      </c>
      <c r="G603" s="23" t="s">
        <v>670</v>
      </c>
      <c r="H603" s="24" t="str">
        <f t="shared" ca="1" si="67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320</v>
      </c>
      <c r="E604" s="21" t="str">
        <f t="shared" si="66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7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504</v>
      </c>
      <c r="B605" s="20" t="s">
        <v>207</v>
      </c>
      <c r="C605" s="20" t="s">
        <v>244</v>
      </c>
      <c r="D605" s="20" t="s">
        <v>236</v>
      </c>
      <c r="E605" s="21" t="s">
        <v>638</v>
      </c>
      <c r="F605" s="22" t="str">
        <f>IF(OR(E605="",E605="!!!"),"",IF(NOT(ISNA(VLOOKUP(E605,E$1:E604,1,FALSE()))),"OLD",IF(AND(E605&lt;&gt;"",E605&lt;&gt;"!!!"),"NEW","")))</f>
        <v>NEW</v>
      </c>
      <c r="G605" s="23" t="s">
        <v>604</v>
      </c>
      <c r="H605" s="24" t="str">
        <f t="shared" ca="1" si="67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505</v>
      </c>
      <c r="E606" s="21" t="str">
        <f t="shared" si="66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7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237</v>
      </c>
      <c r="E607" s="21" t="str">
        <f t="shared" si="66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7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9" spans="1:12" x14ac:dyDescent="0.3">
      <c r="A609" t="s">
        <v>506</v>
      </c>
    </row>
    <row r="610" spans="1:12" x14ac:dyDescent="0.3">
      <c r="A610" t="s">
        <v>434</v>
      </c>
      <c r="E610" s="21" t="str">
        <f t="shared" ref="E610:E632" si="68">IF(D610="?OLD","!!!","")</f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ref="H610:H632" ca="1" si="69">IF(J610&lt;&gt;1,"",IF(I610="SBJ","CB","?"))</f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225</v>
      </c>
      <c r="E611" s="21" t="str">
        <f t="shared" si="68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69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154</v>
      </c>
      <c r="B612" s="20" t="s">
        <v>202</v>
      </c>
      <c r="C612" s="20" t="s">
        <v>235</v>
      </c>
      <c r="D612" s="20" t="s">
        <v>236</v>
      </c>
      <c r="E612" s="21" t="s">
        <v>640</v>
      </c>
      <c r="F612" s="22" t="str">
        <f>IF(OR(E612="",E612="!!!"),"",IF(NOT(ISNA(VLOOKUP(E612,E$1:E611,1,FALSE()))),"OLD",IF(AND(E612&lt;&gt;"",E612&lt;&gt;"!!!"),"NEW","")))</f>
        <v>NEW</v>
      </c>
      <c r="G612" s="23" t="s">
        <v>673</v>
      </c>
      <c r="H612" s="24" t="str">
        <f t="shared" ca="1" si="69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224</v>
      </c>
      <c r="E613" s="21" t="str">
        <f t="shared" si="68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69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507</v>
      </c>
      <c r="E614" s="21" t="str">
        <f t="shared" si="68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69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240</v>
      </c>
      <c r="B615" s="20" t="s">
        <v>211</v>
      </c>
      <c r="C615" s="20" t="s">
        <v>241</v>
      </c>
      <c r="D615" s="20" t="s">
        <v>236</v>
      </c>
      <c r="E615" s="21" t="s">
        <v>637</v>
      </c>
      <c r="F615" s="22" t="str">
        <f>IF(OR(E615="",E615="!!!"),"",IF(NOT(ISNA(VLOOKUP(E615,E$1:E614,1,FALSE()))),"OLD",IF(AND(E615&lt;&gt;"",E615&lt;&gt;"!!!"),"NEW","")))</f>
        <v>OLD</v>
      </c>
      <c r="G615" s="23" t="s">
        <v>603</v>
      </c>
      <c r="H615" s="24" t="s">
        <v>197</v>
      </c>
      <c r="I615" s="25" t="str">
        <f>IF(OR(E615="",E615="!!!",F615="NEW"),"",INDEX(B$2:B614,-1+SUMPRODUCT(MAX(ROW(E$2:E614)*(E615=E$2:E614)))))</f>
        <v>SBJ</v>
      </c>
      <c r="J615" s="25">
        <f ca="1">IF(OR(E615="",E615="!!!",F615="NEW"),"",COUNTBLANK(OFFSET(A$1,,,SUMPRODUCT(MAX(ROW(E$2:E615)*(E615=E$2:E615)))))-COUNTBLANK(OFFSET(A$1,,,SUMPRODUCT(MAX(ROW(E$1:E614)*(E2=E$1:E614))))))</f>
        <v>0</v>
      </c>
      <c r="K615" s="25" t="str">
        <f ca="1">IF(OR(E615="",E615="!!!",F615="NEW"),"",INDEX(J$1:J614,SUMPRODUCT(MAX(ROW(E$1:E614)*(E615=E$1:E614)))))</f>
        <v/>
      </c>
      <c r="L615" s="26"/>
    </row>
    <row r="616" spans="1:12" x14ac:dyDescent="0.3">
      <c r="A616" t="s">
        <v>320</v>
      </c>
      <c r="E616" s="21" t="str">
        <f t="shared" si="68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69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322</v>
      </c>
      <c r="E617" s="21" t="str">
        <f t="shared" si="68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69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508</v>
      </c>
      <c r="E618" s="21" t="str">
        <f t="shared" si="68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69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509</v>
      </c>
      <c r="B619" s="20" t="s">
        <v>232</v>
      </c>
      <c r="C619" s="20" t="s">
        <v>252</v>
      </c>
      <c r="E619" s="21" t="str">
        <f t="shared" si="68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69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510</v>
      </c>
      <c r="E620" s="21" t="str">
        <f t="shared" si="68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69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242</v>
      </c>
      <c r="E621" s="21" t="str">
        <f t="shared" si="68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69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511</v>
      </c>
      <c r="B622" s="20" t="s">
        <v>207</v>
      </c>
      <c r="C622" s="20" t="s">
        <v>244</v>
      </c>
      <c r="D622" s="20" t="s">
        <v>236</v>
      </c>
      <c r="E622" s="21" t="s">
        <v>641</v>
      </c>
      <c r="F622" s="22" t="str">
        <f>IF(OR(E622="",E622="!!!"),"",IF(NOT(ISNA(VLOOKUP(E622,E$1:E621,1,FALSE()))),"OLD",IF(AND(E622&lt;&gt;"",E622&lt;&gt;"!!!"),"NEW","")))</f>
        <v>NEW</v>
      </c>
      <c r="G622" s="23" t="s">
        <v>604</v>
      </c>
      <c r="H622" s="24" t="str">
        <f t="shared" ca="1" si="69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242</v>
      </c>
      <c r="E623" s="21" t="str">
        <f t="shared" si="68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69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512</v>
      </c>
      <c r="E624" s="21" t="s">
        <v>637</v>
      </c>
      <c r="F624" s="22" t="str">
        <f>IF(OR(E624="",E624="!!!"),"",IF(NOT(ISNA(VLOOKUP(E624,E$1:E623,1,FALSE()))),"OLD",IF(AND(E624&lt;&gt;"",E624&lt;&gt;"!!!"),"NEW","")))</f>
        <v>OLD</v>
      </c>
      <c r="G624" s="23" t="s">
        <v>603</v>
      </c>
      <c r="H624" s="24" t="str">
        <f t="shared" ca="1" si="69"/>
        <v/>
      </c>
      <c r="I624" s="25" t="str">
        <f>IF(OR(E624="",E624="!!!",F624="NEW"),"",INDEX(B$2:B623,-1+SUMPRODUCT(MAX(ROW(E$2:E623)*(E624=E$2:E623)))))</f>
        <v>SBJ_2</v>
      </c>
      <c r="J624" s="25">
        <f ca="1">IF(OR(E624="",E624="!!!",F624="NEW"),"",COUNTBLANK(OFFSET(A$1,,,SUMPRODUCT(MAX(ROW(E$2:E624)*(E624=E$2:E624)))))-COUNTBLANK(OFFSET(A$1,,,SUMPRODUCT(MAX(ROW(E$1:E623)*(E2=E$1:E623))))))</f>
        <v>0</v>
      </c>
      <c r="K624" s="25">
        <f ca="1">IF(OR(E624="",E624="!!!",F624="NEW"),"",INDEX(J$1:J623,SUMPRODUCT(MAX(ROW(E$1:E623)*(E624=E$1:E623)))))</f>
        <v>0</v>
      </c>
      <c r="L624" s="26" t="s">
        <v>607</v>
      </c>
    </row>
    <row r="625" spans="1:12" x14ac:dyDescent="0.3">
      <c r="A625" t="s">
        <v>513</v>
      </c>
      <c r="B625" s="20" t="s">
        <v>232</v>
      </c>
      <c r="C625" s="20" t="s">
        <v>277</v>
      </c>
      <c r="E625" s="21" t="s">
        <v>660</v>
      </c>
      <c r="F625" s="22" t="str">
        <f>IF(OR(E625="",E625="!!!"),"",IF(NOT(ISNA(VLOOKUP(E625,E$1:E624,1,FALSE()))),"OLD",IF(AND(E625&lt;&gt;"",E625&lt;&gt;"!!!"),"NEW","")))</f>
        <v>NEW</v>
      </c>
      <c r="G625" s="23" t="s">
        <v>670</v>
      </c>
      <c r="H625" s="24" t="str">
        <f t="shared" ca="1" si="69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495</v>
      </c>
      <c r="E626" s="21" t="str">
        <f t="shared" si="68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69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224</v>
      </c>
      <c r="E627" s="21" t="str">
        <f t="shared" si="68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69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514</v>
      </c>
      <c r="E628" s="21" t="str">
        <f t="shared" si="68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69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515</v>
      </c>
      <c r="B629" s="20" t="s">
        <v>214</v>
      </c>
      <c r="C629" s="20" t="s">
        <v>208</v>
      </c>
      <c r="E629" s="21" t="str">
        <f t="shared" si="68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69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215</v>
      </c>
      <c r="E630" s="21" t="str">
        <f t="shared" si="68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69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516</v>
      </c>
      <c r="B631" s="20" t="s">
        <v>207</v>
      </c>
      <c r="C631" s="20" t="s">
        <v>244</v>
      </c>
      <c r="D631" s="20" t="s">
        <v>236</v>
      </c>
      <c r="E631" s="21"/>
      <c r="F631" s="22" t="s">
        <v>621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69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237</v>
      </c>
      <c r="E632" s="21" t="str">
        <f t="shared" si="68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69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4" spans="1:12" x14ac:dyDescent="0.3">
      <c r="A634" t="s">
        <v>517</v>
      </c>
    </row>
    <row r="635" spans="1:12" x14ac:dyDescent="0.3">
      <c r="A635" t="s">
        <v>257</v>
      </c>
      <c r="E635" s="21" t="str">
        <f t="shared" ref="E635:E650" si="70">IF(D635="?OLD","!!!","")</f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ref="H635:H650" ca="1" si="71">IF(J635&lt;&gt;1,"",IF(I635="SBJ","CB","?"))</f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332</v>
      </c>
      <c r="E636" s="21" t="str">
        <f t="shared" si="70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71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518</v>
      </c>
      <c r="B637" s="20" t="s">
        <v>202</v>
      </c>
      <c r="C637" s="20" t="s">
        <v>235</v>
      </c>
      <c r="D637" s="20" t="s">
        <v>236</v>
      </c>
      <c r="E637" s="21" t="s">
        <v>642</v>
      </c>
      <c r="F637" s="22" t="str">
        <f>IF(OR(E637="",E637="!!!"),"",IF(NOT(ISNA(VLOOKUP(E637,E$1:E636,1,FALSE()))),"OLD",IF(AND(E637&lt;&gt;"",E637&lt;&gt;"!!!"),"NEW","")))</f>
        <v>NEW</v>
      </c>
      <c r="G637" s="23" t="s">
        <v>604</v>
      </c>
      <c r="H637" s="24" t="str">
        <f t="shared" ca="1" si="71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303</v>
      </c>
      <c r="E638" s="21" t="str">
        <f t="shared" si="70"/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71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519</v>
      </c>
      <c r="B639" s="20" t="s">
        <v>232</v>
      </c>
      <c r="C639" s="20" t="s">
        <v>203</v>
      </c>
      <c r="E639" s="21" t="str">
        <f t="shared" si="70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71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363</v>
      </c>
      <c r="E640" s="21" t="str">
        <f t="shared" si="70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71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366</v>
      </c>
      <c r="E641" s="21" t="str">
        <f t="shared" si="70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71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367</v>
      </c>
      <c r="E642" s="21" t="str">
        <f t="shared" si="70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71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482</v>
      </c>
      <c r="E643" s="21" t="str">
        <f t="shared" si="70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71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520</v>
      </c>
      <c r="E644" s="21" t="str">
        <f t="shared" si="70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71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242</v>
      </c>
      <c r="E645" s="21" t="str">
        <f t="shared" si="70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71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521</v>
      </c>
      <c r="B646" s="20" t="s">
        <v>202</v>
      </c>
      <c r="C646" s="20" t="s">
        <v>203</v>
      </c>
      <c r="E646" s="21" t="str">
        <f t="shared" si="70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71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332</v>
      </c>
      <c r="E647" s="21" t="str">
        <f t="shared" si="70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71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522</v>
      </c>
      <c r="B648" s="20" t="s">
        <v>232</v>
      </c>
      <c r="C648" s="20" t="s">
        <v>235</v>
      </c>
      <c r="D648" s="20" t="s">
        <v>236</v>
      </c>
      <c r="E648" s="21" t="s">
        <v>665</v>
      </c>
      <c r="F648" s="22" t="str">
        <f>IF(OR(E648="",E648="!!!"),"",IF(NOT(ISNA(VLOOKUP(E648,E$1:E647,1,FALSE()))),"OLD",IF(AND(E648&lt;&gt;"",E648&lt;&gt;"!!!"),"NEW","")))</f>
        <v>NEW</v>
      </c>
      <c r="G648" s="23" t="s">
        <v>670</v>
      </c>
      <c r="H648" s="24" t="str">
        <f t="shared" ca="1" si="71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370</v>
      </c>
      <c r="E649" s="21" t="str">
        <f t="shared" si="70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71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237</v>
      </c>
      <c r="E650" s="21" t="str">
        <f t="shared" si="70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71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2" spans="1:12" x14ac:dyDescent="0.3">
      <c r="A652" t="s">
        <v>523</v>
      </c>
    </row>
    <row r="653" spans="1:12" x14ac:dyDescent="0.3">
      <c r="A653" t="s">
        <v>459</v>
      </c>
      <c r="E653" s="21" t="str">
        <f t="shared" ref="E653:E673" si="72">IF(D653="?OLD","!!!","")</f>
        <v/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ref="H653:H673" ca="1" si="73">IF(J653&lt;&gt;1,"",IF(I653="SBJ","CB","?"))</f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242</v>
      </c>
      <c r="E654" s="21" t="str">
        <f t="shared" si="72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73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524</v>
      </c>
      <c r="B655" s="20" t="s">
        <v>232</v>
      </c>
      <c r="C655" s="20" t="s">
        <v>203</v>
      </c>
      <c r="E655" s="21" t="s">
        <v>643</v>
      </c>
      <c r="F655" s="22" t="str">
        <f>IF(OR(E655="",E655="!!!"),"",IF(NOT(ISNA(VLOOKUP(E655,E$1:E654,1,FALSE()))),"OLD",IF(AND(E655&lt;&gt;"",E655&lt;&gt;"!!!"),"NEW","")))</f>
        <v>NEW</v>
      </c>
      <c r="G655" s="23" t="s">
        <v>604</v>
      </c>
      <c r="H655" s="24" t="str">
        <f t="shared" ca="1" si="73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394</v>
      </c>
      <c r="E656" s="21" t="str">
        <f t="shared" si="72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73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525</v>
      </c>
      <c r="E657" s="21" t="str">
        <f t="shared" si="72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73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209</v>
      </c>
      <c r="E658" s="21" t="str">
        <f t="shared" si="72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73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223</v>
      </c>
      <c r="B659" s="20" t="s">
        <v>211</v>
      </c>
      <c r="C659" s="20" t="s">
        <v>203</v>
      </c>
      <c r="E659" s="21" t="s">
        <v>658</v>
      </c>
      <c r="F659" s="22" t="str">
        <f>IF(OR(E659="",E659="!!!"),"",IF(NOT(ISNA(VLOOKUP(E659,E$1:E658,1,FALSE()))),"OLD",IF(AND(E659&lt;&gt;"",E659&lt;&gt;"!!!"),"NEW","")))</f>
        <v>OLD</v>
      </c>
      <c r="G659" s="23" t="s">
        <v>604</v>
      </c>
      <c r="H659" s="24" t="str">
        <f t="shared" ca="1" si="73"/>
        <v/>
      </c>
      <c r="I659" s="25" t="str">
        <f>IF(OR(E659="",E659="!!!",F659="NEW"),"",INDEX(B$2:B658,-1+SUMPRODUCT(MAX(ROW(E$2:E658)*(E659=E$2:E658)))))</f>
        <v>SBJ</v>
      </c>
      <c r="J659" s="25">
        <f ca="1">IF(OR(E659="",E659="!!!",F659="NEW"),"",COUNTBLANK(OFFSET(A$1,,,SUMPRODUCT(MAX(ROW(E$2:E659)*(E659=E$2:E659)))))-COUNTBLANK(OFFSET(A$1,,,SUMPRODUCT(MAX(ROW(E$1:E658)*(E2=E$1:E658))))))</f>
        <v>0</v>
      </c>
      <c r="K659" s="25">
        <f ca="1">IF(OR(E659="",E659="!!!",F659="NEW"),"",INDEX(J$1:J658,SUMPRODUCT(MAX(ROW(E$1:E658)*(E659=E$1:E658)))))</f>
        <v>0</v>
      </c>
      <c r="L659" s="26"/>
    </row>
    <row r="660" spans="1:12" x14ac:dyDescent="0.3">
      <c r="A660" t="s">
        <v>370</v>
      </c>
      <c r="E660" s="21" t="str">
        <f t="shared" si="72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73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526</v>
      </c>
      <c r="E661" s="21" t="str">
        <f t="shared" si="72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73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527</v>
      </c>
      <c r="E662" s="21" t="str">
        <f t="shared" si="72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73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224</v>
      </c>
      <c r="E663" s="21" t="str">
        <f t="shared" si="72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73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387</v>
      </c>
      <c r="E664" s="21" t="str">
        <f t="shared" si="72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73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528</v>
      </c>
      <c r="B665" s="20" t="s">
        <v>220</v>
      </c>
      <c r="C665" s="20" t="s">
        <v>244</v>
      </c>
      <c r="D665" s="20" t="s">
        <v>236</v>
      </c>
      <c r="E665" s="21" t="s">
        <v>644</v>
      </c>
      <c r="F665" s="22" t="str">
        <f>IF(OR(E665="",E665="!!!"),"",IF(NOT(ISNA(VLOOKUP(E665,E$1:E664,1,FALSE()))),"OLD",IF(AND(E665&lt;&gt;"",E665&lt;&gt;"!!!"),"NEW","")))</f>
        <v>NEW</v>
      </c>
      <c r="G665" s="23" t="s">
        <v>673</v>
      </c>
      <c r="H665" s="24" t="str">
        <f t="shared" ca="1" si="73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11</v>
      </c>
      <c r="E666" s="21" t="str">
        <f t="shared" si="72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73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529</v>
      </c>
      <c r="E667" s="21" t="str">
        <f t="shared" si="72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73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530</v>
      </c>
      <c r="E668" s="21" t="str">
        <f t="shared" si="72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73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224</v>
      </c>
      <c r="E669" s="21" t="str">
        <f t="shared" si="72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73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531</v>
      </c>
      <c r="B670" s="20" t="s">
        <v>232</v>
      </c>
      <c r="C670" s="20" t="s">
        <v>203</v>
      </c>
      <c r="E670" s="21" t="str">
        <f t="shared" si="72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73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332</v>
      </c>
      <c r="E671" s="21" t="str">
        <f t="shared" si="72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73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532</v>
      </c>
      <c r="B672" s="20" t="s">
        <v>207</v>
      </c>
      <c r="C672" s="20" t="s">
        <v>235</v>
      </c>
      <c r="D672" s="20" t="s">
        <v>236</v>
      </c>
      <c r="E672" s="21" t="s">
        <v>661</v>
      </c>
      <c r="F672" s="22" t="str">
        <f>IF(OR(E672="",E672="!!!"),"",IF(NOT(ISNA(VLOOKUP(E672,E$1:E671,1,FALSE()))),"OLD",IF(AND(E672&lt;&gt;"",E672&lt;&gt;"!!!"),"NEW","")))</f>
        <v>NEW</v>
      </c>
      <c r="G672" s="23" t="s">
        <v>670</v>
      </c>
      <c r="H672" s="24" t="str">
        <f t="shared" ca="1" si="73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237</v>
      </c>
      <c r="E673" s="21" t="str">
        <f t="shared" si="72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73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5" spans="1:12" x14ac:dyDescent="0.3">
      <c r="A675" t="s">
        <v>533</v>
      </c>
    </row>
    <row r="676" spans="1:12" x14ac:dyDescent="0.3">
      <c r="A676" t="s">
        <v>257</v>
      </c>
      <c r="E676" s="21" t="str">
        <f t="shared" ref="E676:E699" si="74">IF(D676="?OLD","!!!","")</f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ref="H676:H699" ca="1" si="75">IF(J676&lt;&gt;1,"",IF(I676="SBJ","CB","?"))</f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534</v>
      </c>
      <c r="B677" s="20" t="s">
        <v>202</v>
      </c>
      <c r="C677" s="20" t="s">
        <v>203</v>
      </c>
      <c r="E677" s="21" t="s">
        <v>645</v>
      </c>
      <c r="F677" s="22" t="str">
        <f>IF(OR(E677="",E677="!!!"),"",IF(NOT(ISNA(VLOOKUP(E677,E$1:E676,1,FALSE()))),"OLD",IF(AND(E677&lt;&gt;"",E677&lt;&gt;"!!!"),"NEW","")))</f>
        <v>NEW</v>
      </c>
      <c r="G677" s="23" t="s">
        <v>604</v>
      </c>
      <c r="H677" s="24" t="str">
        <f t="shared" ca="1" si="75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224</v>
      </c>
      <c r="E678" s="21" t="str">
        <f t="shared" si="74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75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535</v>
      </c>
      <c r="B679" s="20" t="s">
        <v>232</v>
      </c>
      <c r="C679" s="20" t="s">
        <v>203</v>
      </c>
      <c r="E679" s="21" t="str">
        <f t="shared" si="74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75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11</v>
      </c>
      <c r="E680" s="21" t="str">
        <f t="shared" si="74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75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303</v>
      </c>
      <c r="E681" s="21" t="str">
        <f t="shared" si="74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75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536</v>
      </c>
      <c r="B682" s="20" t="s">
        <v>207</v>
      </c>
      <c r="C682" s="20" t="s">
        <v>203</v>
      </c>
      <c r="E682" s="21" t="str">
        <f t="shared" si="74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75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366</v>
      </c>
      <c r="E683" s="21" t="str">
        <f t="shared" si="74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75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367</v>
      </c>
      <c r="E684" s="21" t="str">
        <f t="shared" si="74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75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242</v>
      </c>
      <c r="E685" s="21" t="str">
        <f t="shared" si="74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75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537</v>
      </c>
      <c r="B686" s="20" t="s">
        <v>232</v>
      </c>
      <c r="C686" s="20" t="s">
        <v>208</v>
      </c>
      <c r="E686" s="21" t="str">
        <f t="shared" si="74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75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538</v>
      </c>
      <c r="B687" s="20" t="s">
        <v>202</v>
      </c>
      <c r="C687" s="20" t="s">
        <v>262</v>
      </c>
      <c r="E687" s="21" t="str">
        <f t="shared" si="74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75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539</v>
      </c>
      <c r="B688" s="20" t="s">
        <v>232</v>
      </c>
      <c r="C688" s="20" t="s">
        <v>244</v>
      </c>
      <c r="D688" s="20" t="s">
        <v>236</v>
      </c>
      <c r="E688" s="21"/>
      <c r="F688" s="22" t="s">
        <v>621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75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399</v>
      </c>
      <c r="E689" s="21" t="str">
        <f t="shared" si="74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75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540</v>
      </c>
      <c r="E690" s="21" t="str">
        <f t="shared" si="74"/>
        <v/>
      </c>
      <c r="F690" s="22" t="str">
        <f>IF(OR(E690="",E690="!!!"),"",IF(NOT(ISNA(VLOOKUP(E690,E$1:E689,1,FALSE()))),"OLD",IF(AND(E690&lt;&gt;"",E690&lt;&gt;"!!!"),"NEW","")))</f>
        <v/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75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541</v>
      </c>
      <c r="B691" s="20" t="s">
        <v>207</v>
      </c>
      <c r="C691" s="20" t="s">
        <v>203</v>
      </c>
      <c r="E691" s="21" t="str">
        <f t="shared" si="74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75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498</v>
      </c>
      <c r="E692" s="21" t="str">
        <f t="shared" si="74"/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ca="1" si="75"/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222</v>
      </c>
      <c r="E693" s="21" t="str">
        <f t="shared" si="74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75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461</v>
      </c>
      <c r="E694" s="21" t="str">
        <f t="shared" si="74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75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223</v>
      </c>
      <c r="B695" s="20" t="s">
        <v>202</v>
      </c>
      <c r="C695" s="20" t="s">
        <v>203</v>
      </c>
      <c r="E695" s="21" t="s">
        <v>646</v>
      </c>
      <c r="F695" s="22" t="str">
        <f>IF(OR(E695="",E695="!!!"),"",IF(NOT(ISNA(VLOOKUP(E695,E$1:E694,1,FALSE()))),"OLD",IF(AND(E695&lt;&gt;"",E695&lt;&gt;"!!!"),"NEW","")))</f>
        <v>NEW</v>
      </c>
      <c r="G695" s="23" t="s">
        <v>604</v>
      </c>
      <c r="H695" s="24" t="str">
        <f t="shared" ca="1" si="75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 t="s">
        <v>667</v>
      </c>
    </row>
    <row r="696" spans="1:12" x14ac:dyDescent="0.3">
      <c r="A696" t="s">
        <v>303</v>
      </c>
      <c r="E696" s="21" t="str">
        <f t="shared" si="74"/>
        <v/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75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542</v>
      </c>
      <c r="B697" s="20" t="s">
        <v>207</v>
      </c>
      <c r="C697" s="20" t="s">
        <v>543</v>
      </c>
      <c r="D697" s="20" t="s">
        <v>236</v>
      </c>
      <c r="E697" s="21" t="s">
        <v>646</v>
      </c>
      <c r="F697" s="22" t="str">
        <f>IF(OR(E697="",E697="!!!"),"",IF(NOT(ISNA(VLOOKUP(E697,E$1:E696,1,FALSE()))),"OLD",IF(AND(E697&lt;&gt;"",E697&lt;&gt;"!!!"),"NEW","")))</f>
        <v>OLD</v>
      </c>
      <c r="G697" s="23" t="s">
        <v>603</v>
      </c>
      <c r="H697" s="24" t="str">
        <f t="shared" ca="1" si="75"/>
        <v/>
      </c>
      <c r="I697" s="25" t="str">
        <f>IF(OR(E697="",E697="!!!",F697="NEW"),"",INDEX(B$2:B696,-1+SUMPRODUCT(MAX(ROW(E$2:E696)*(E697=E$2:E696)))))</f>
        <v>other</v>
      </c>
      <c r="J697" s="25">
        <f ca="1">IF(OR(E697="",E697="!!!",F697="NEW"),"",COUNTBLANK(OFFSET(A$1,,,SUMPRODUCT(MAX(ROW(E$2:E697)*(E697=E$2:E697)))))-COUNTBLANK(OFFSET(A$1,,,SUMPRODUCT(MAX(ROW(E$1:E696)*(E2=E$1:E696))))))</f>
        <v>0</v>
      </c>
      <c r="K697" s="25" t="str">
        <f ca="1">IF(OR(E697="",E697="!!!",F697="NEW"),"",INDEX(J$1:J696,SUMPRODUCT(MAX(ROW(E$1:E696)*(E697=E$1:E696)))))</f>
        <v/>
      </c>
      <c r="L697" s="26"/>
    </row>
    <row r="698" spans="1:12" x14ac:dyDescent="0.3">
      <c r="A698" t="s">
        <v>344</v>
      </c>
      <c r="B698" s="20" t="s">
        <v>232</v>
      </c>
      <c r="C698" s="20" t="s">
        <v>319</v>
      </c>
      <c r="D698" s="20" t="s">
        <v>236</v>
      </c>
      <c r="E698" s="21" t="s">
        <v>666</v>
      </c>
      <c r="F698" s="22" t="str">
        <f>IF(OR(E698="",E698="!!!"),"",IF(NOT(ISNA(VLOOKUP(E698,E$1:E697,1,FALSE()))),"OLD",IF(AND(E698&lt;&gt;"",E698&lt;&gt;"!!!"),"NEW","")))</f>
        <v>NEW</v>
      </c>
      <c r="G698" s="23" t="s">
        <v>670</v>
      </c>
      <c r="H698" s="24" t="str">
        <f t="shared" ca="1" si="75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237</v>
      </c>
      <c r="E699" s="21" t="str">
        <f t="shared" si="74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75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1" spans="1:12" x14ac:dyDescent="0.3">
      <c r="A701" t="s">
        <v>544</v>
      </c>
    </row>
    <row r="702" spans="1:12" x14ac:dyDescent="0.3">
      <c r="A702" t="s">
        <v>307</v>
      </c>
      <c r="E702" s="21" t="str">
        <f t="shared" ref="E702:E716" si="76">IF(D702="?OLD","!!!","")</f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ref="H702:H716" ca="1" si="77">IF(J702&lt;&gt;1,"",IF(I702="SBJ","CB","?"))</f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374</v>
      </c>
      <c r="B703" s="20" t="s">
        <v>220</v>
      </c>
      <c r="C703" s="20" t="s">
        <v>235</v>
      </c>
      <c r="D703" s="20" t="s">
        <v>236</v>
      </c>
      <c r="E703" s="21" t="s">
        <v>648</v>
      </c>
      <c r="F703" s="22" t="str">
        <f>IF(OR(E703="",E703="!!!"),"",IF(NOT(ISNA(VLOOKUP(E703,E$1:E702,1,FALSE()))),"OLD",IF(AND(E703&lt;&gt;"",E703&lt;&gt;"!!!"),"NEW","")))</f>
        <v>NEW</v>
      </c>
      <c r="G703" s="23" t="s">
        <v>604</v>
      </c>
      <c r="H703" s="24" t="str">
        <f t="shared" ca="1" si="77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271</v>
      </c>
      <c r="E704" s="21" t="str">
        <f t="shared" si="76"/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77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545</v>
      </c>
      <c r="B705" s="20" t="s">
        <v>202</v>
      </c>
      <c r="C705" s="20" t="s">
        <v>244</v>
      </c>
      <c r="D705" s="20" t="s">
        <v>236</v>
      </c>
      <c r="E705" s="21"/>
      <c r="F705" s="22" t="s">
        <v>612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77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224</v>
      </c>
      <c r="E706" s="21" t="str">
        <f t="shared" si="76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77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7" spans="1:12" x14ac:dyDescent="0.3">
      <c r="A707" t="s">
        <v>362</v>
      </c>
      <c r="E707" s="21" t="s">
        <v>648</v>
      </c>
      <c r="F707" s="22" t="str">
        <f>IF(OR(E707="",E707="!!!"),"",IF(NOT(ISNA(VLOOKUP(E707,E$1:E706,1,FALSE()))),"OLD",IF(AND(E707&lt;&gt;"",E707&lt;&gt;"!!!"),"NEW","")))</f>
        <v>OLD</v>
      </c>
      <c r="G707" s="23" t="s">
        <v>603</v>
      </c>
      <c r="H707" s="24" t="str">
        <f t="shared" ca="1" si="77"/>
        <v/>
      </c>
      <c r="I707" s="25" t="str">
        <f>IF(OR(E707="",E707="!!!",F707="NEW"),"",INDEX(B$2:B706,-1+SUMPRODUCT(MAX(ROW(E$2:E706)*(E707=E$2:E706)))))</f>
        <v>SBJ</v>
      </c>
      <c r="J707" s="25">
        <f ca="1">IF(OR(E707="",E707="!!!",F707="NEW"),"",COUNTBLANK(OFFSET(A$1,,,SUMPRODUCT(MAX(ROW(E$2:E707)*(E707=E$2:E707)))))-COUNTBLANK(OFFSET(A$1,,,SUMPRODUCT(MAX(ROW(E$1:E706)*(E2=E$1:E706))))))</f>
        <v>0</v>
      </c>
      <c r="K707" s="25" t="str">
        <f ca="1">IF(OR(E707="",E707="!!!",F707="NEW"),"",INDEX(J$1:J706,SUMPRODUCT(MAX(ROW(E$1:E706)*(E707=E$1:E706)))))</f>
        <v/>
      </c>
      <c r="L707" s="26" t="s">
        <v>607</v>
      </c>
    </row>
    <row r="708" spans="1:12" x14ac:dyDescent="0.3">
      <c r="A708" t="s">
        <v>366</v>
      </c>
      <c r="E708" s="21" t="str">
        <f t="shared" si="76"/>
        <v/>
      </c>
      <c r="F708" s="22" t="str">
        <f>IF(OR(E708="",E708="!!!"),"",IF(NOT(ISNA(VLOOKUP(E708,E$1:E707,1,FALSE()))),"OLD",IF(AND(E708&lt;&gt;"",E708&lt;&gt;"!!!"),"NEW","")))</f>
        <v/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t="shared" ca="1" si="77"/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367</v>
      </c>
      <c r="E709" s="21" t="str">
        <f t="shared" si="76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77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546</v>
      </c>
      <c r="E710" s="21" t="str">
        <f t="shared" si="76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77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547</v>
      </c>
      <c r="E711" s="21" t="str">
        <f t="shared" si="76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77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341</v>
      </c>
      <c r="B712" s="20" t="s">
        <v>214</v>
      </c>
      <c r="C712" s="20" t="s">
        <v>262</v>
      </c>
      <c r="E712" s="21" t="str">
        <f t="shared" si="76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77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548</v>
      </c>
      <c r="E713" s="21" t="str">
        <f t="shared" si="76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77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222</v>
      </c>
      <c r="E714" s="21" t="str">
        <f t="shared" si="76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77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223</v>
      </c>
      <c r="B715" s="20" t="s">
        <v>232</v>
      </c>
      <c r="C715" s="20" t="s">
        <v>203</v>
      </c>
      <c r="E715" s="21" t="s">
        <v>650</v>
      </c>
      <c r="F715" s="22" t="s">
        <v>668</v>
      </c>
      <c r="G715" s="23" t="s">
        <v>604</v>
      </c>
      <c r="H715" s="24" t="str">
        <f t="shared" ca="1" si="77"/>
        <v/>
      </c>
      <c r="I715" s="25" t="str">
        <f>IF(OR(E715="",E715="!!!",F715="NEW"),"",INDEX(B$2:B714,-1+SUMPRODUCT(MAX(ROW(E$2:E714)*(E715=E$2:E714)))))</f>
        <v>other</v>
      </c>
      <c r="J715" s="25">
        <f ca="1">IF(OR(E715="",E715="!!!",F715="NEW"),"",COUNTBLANK(OFFSET(A$1,,,SUMPRODUCT(MAX(ROW(E$2:E715)*(E715=E$2:E715)))))-COUNTBLANK(OFFSET(A$1,,,SUMPRODUCT(MAX(ROW(E$1:E714)*(E2=E$1:E714))))))</f>
        <v>0</v>
      </c>
      <c r="K715" s="25">
        <f ca="1">IF(OR(E715="",E715="!!!",F715="NEW"),"",INDEX(J$1:J714,SUMPRODUCT(MAX(ROW(E$1:E714)*(E715=E$1:E714)))))</f>
        <v>0</v>
      </c>
      <c r="L715" s="26"/>
    </row>
    <row r="716" spans="1:12" x14ac:dyDescent="0.3">
      <c r="A716" t="s">
        <v>237</v>
      </c>
      <c r="E716" s="21" t="str">
        <f t="shared" si="76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77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8" spans="1:12" x14ac:dyDescent="0.3">
      <c r="A718" t="s">
        <v>378</v>
      </c>
      <c r="E718" s="21" t="str">
        <f>IF(D718="?OLD","!!!","")</f>
        <v/>
      </c>
      <c r="F718" s="22" t="str">
        <f>IF(OR(E718="",E718="!!!"),"",IF(NOT(ISNA(VLOOKUP(E718,E$1:E717,1,FALSE()))),"OLD",IF(AND(E718&lt;&gt;"",E718&lt;&gt;"!!!"),"NEW","")))</f>
        <v/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4" t="str">
        <f ca="1">IF(J718&lt;&gt;1,"",IF(I718="SBJ","CB","?"))</f>
        <v/>
      </c>
      <c r="I718" s="25" t="str">
        <f>IF(OR(E718="",E718="!!!",F718="NEW"),"",INDEX(B$2:B717,-1+SUMPRODUCT(MAX(ROW(E$2:E717)*(E718=E$2:E717)))))</f>
        <v/>
      </c>
      <c r="J718" s="25" t="str">
        <f ca="1">IF(OR(E718="",E718="!!!",F718="NEW"),"",COUNTBLANK(OFFSET(A$1,,,SUMPRODUCT(MAX(ROW(E$2:E718)*(E718=E$2:E718)))))-COUNTBLANK(OFFSET(A$1,,,SUMPRODUCT(MAX(ROW(E$1:E717)*(E2=E$1:E717))))))</f>
        <v/>
      </c>
      <c r="K718" s="25" t="str">
        <f>IF(OR(E718="",E718="!!!",F718="NEW"),"",INDEX(J$1:J717,SUMPRODUCT(MAX(ROW(E$1:E717)*(E718=E$1:E717)))))</f>
        <v/>
      </c>
      <c r="L718" s="26"/>
    </row>
    <row r="719" spans="1:12" x14ac:dyDescent="0.3">
      <c r="A719" t="s">
        <v>549</v>
      </c>
    </row>
    <row r="720" spans="1:12" x14ac:dyDescent="0.3">
      <c r="A720" t="s">
        <v>459</v>
      </c>
      <c r="E720" s="21" t="str">
        <f t="shared" ref="E720:E745" si="78">IF(D720="?OLD","!!!","")</f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ref="H720:H745" ca="1" si="79">IF(J720&lt;&gt;1,"",IF(I720="SBJ","CB","?"))</f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332</v>
      </c>
      <c r="E721" s="21" t="str">
        <f t="shared" si="78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79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550</v>
      </c>
      <c r="B722" s="20" t="s">
        <v>220</v>
      </c>
      <c r="C722" s="20" t="s">
        <v>235</v>
      </c>
      <c r="D722" s="20" t="s">
        <v>236</v>
      </c>
      <c r="E722" s="21" t="s">
        <v>652</v>
      </c>
      <c r="F722" s="22" t="str">
        <f>IF(OR(E722="",E722="!!!"),"",IF(NOT(ISNA(VLOOKUP(E722,E$1:E721,1,FALSE()))),"OLD",IF(AND(E722&lt;&gt;"",E722&lt;&gt;"!!!"),"NEW","")))</f>
        <v>NEW</v>
      </c>
      <c r="G722" s="23" t="s">
        <v>195</v>
      </c>
      <c r="H722" s="24" t="str">
        <f t="shared" ca="1" si="79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205</v>
      </c>
      <c r="E723" s="21" t="str">
        <f t="shared" si="78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79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551</v>
      </c>
      <c r="B724" s="20" t="s">
        <v>232</v>
      </c>
      <c r="C724" s="20" t="s">
        <v>203</v>
      </c>
      <c r="E724" s="21" t="str">
        <f t="shared" si="78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79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332</v>
      </c>
      <c r="E725" s="21" t="str">
        <f t="shared" si="78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79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210</v>
      </c>
      <c r="B726" s="20" t="s">
        <v>207</v>
      </c>
      <c r="C726" s="20" t="s">
        <v>235</v>
      </c>
      <c r="D726" s="20" t="s">
        <v>236</v>
      </c>
      <c r="E726" s="21"/>
      <c r="F726" s="22" t="s">
        <v>612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79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303</v>
      </c>
      <c r="E727" s="21" t="str">
        <f t="shared" si="78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79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552</v>
      </c>
      <c r="B728" s="20" t="s">
        <v>207</v>
      </c>
      <c r="C728" s="20" t="s">
        <v>203</v>
      </c>
      <c r="E728" s="21" t="str">
        <f t="shared" si="78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79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332</v>
      </c>
      <c r="E729" s="21" t="str">
        <f t="shared" si="78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79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553</v>
      </c>
      <c r="B730" s="20" t="s">
        <v>207</v>
      </c>
      <c r="C730" s="20" t="s">
        <v>235</v>
      </c>
      <c r="D730" s="20" t="s">
        <v>236</v>
      </c>
      <c r="E730" s="21"/>
      <c r="F730" s="22" t="s">
        <v>612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79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205</v>
      </c>
      <c r="E731" s="21" t="str">
        <f t="shared" si="78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79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242</v>
      </c>
      <c r="E732" s="21" t="str">
        <f t="shared" si="78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79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233</v>
      </c>
      <c r="E733" s="21" t="str">
        <f t="shared" si="78"/>
        <v/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79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554</v>
      </c>
      <c r="B734" s="20" t="s">
        <v>202</v>
      </c>
      <c r="C734" s="20" t="s">
        <v>235</v>
      </c>
      <c r="D734" s="20" t="s">
        <v>236</v>
      </c>
      <c r="E734" s="21" t="s">
        <v>649</v>
      </c>
      <c r="F734" s="22" t="str">
        <f>IF(OR(E734="",E734="!!!"),"",IF(NOT(ISNA(VLOOKUP(E734,E$1:E733,1,FALSE()))),"OLD",IF(AND(E734&lt;&gt;"",E734&lt;&gt;"!!!"),"NEW","")))</f>
        <v>NEW</v>
      </c>
      <c r="G734" s="23" t="s">
        <v>604</v>
      </c>
      <c r="H734" s="24" t="str">
        <f t="shared" ca="1" si="79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499</v>
      </c>
      <c r="E735" s="21" t="str">
        <f t="shared" si="78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79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224</v>
      </c>
      <c r="E736" s="21" t="str">
        <f t="shared" si="78"/>
        <v/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79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7" spans="1:12" x14ac:dyDescent="0.3">
      <c r="A737" t="s">
        <v>296</v>
      </c>
      <c r="E737" s="21" t="str">
        <f t="shared" si="78"/>
        <v/>
      </c>
      <c r="F737" s="22" t="str">
        <f>IF(OR(E737="",E737="!!!"),"",IF(NOT(ISNA(VLOOKUP(E737,E$1:E736,1,FALSE()))),"OLD",IF(AND(E737&lt;&gt;"",E737&lt;&gt;"!!!"),"NEW","")))</f>
        <v/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t="shared" ca="1" si="79"/>
        <v/>
      </c>
      <c r="I737" s="25" t="str">
        <f>IF(OR(E737="",E737="!!!",F737="NEW"),"",INDEX(B$2:B736,-1+SUMPRODUCT(MAX(ROW(E$2:E736)*(E737=E$2:E736)))))</f>
        <v/>
      </c>
      <c r="J737" s="25" t="str">
        <f ca="1">IF(OR(E737="",E737="!!!",F737="NEW"),"",COUNTBLANK(OFFSET(A$1,,,SUMPRODUCT(MAX(ROW(E$2:E737)*(E737=E$2:E737)))))-COUNTBLANK(OFFSET(A$1,,,SUMPRODUCT(MAX(ROW(E$1:E736)*(E2=E$1:E736))))))</f>
        <v/>
      </c>
      <c r="K737" s="25" t="str">
        <f>IF(OR(E737="",E737="!!!",F737="NEW"),"",INDEX(J$1:J736,SUMPRODUCT(MAX(ROW(E$1:E736)*(E737=E$1:E736)))))</f>
        <v/>
      </c>
      <c r="L737" s="26"/>
    </row>
    <row r="738" spans="1:12" x14ac:dyDescent="0.3">
      <c r="A738" t="s">
        <v>223</v>
      </c>
      <c r="B738" s="20" t="s">
        <v>211</v>
      </c>
      <c r="C738" s="20" t="s">
        <v>203</v>
      </c>
      <c r="E738" s="21" t="s">
        <v>650</v>
      </c>
      <c r="F738" s="22" t="str">
        <f>IF(OR(E738="",E738="!!!"),"",IF(NOT(ISNA(VLOOKUP(E738,E$1:E737,1,FALSE()))),"OLD",IF(AND(E738&lt;&gt;"",E738&lt;&gt;"!!!"),"NEW","")))</f>
        <v>OLD</v>
      </c>
      <c r="G738" s="23" t="s">
        <v>669</v>
      </c>
      <c r="H738" s="24" t="s">
        <v>197</v>
      </c>
      <c r="I738" s="25" t="str">
        <f>IF(OR(E738="",E738="!!!",F738="NEW"),"",INDEX(B$2:B737,-1+SUMPRODUCT(MAX(ROW(E$2:E737)*(E738=E$2:E737)))))</f>
        <v>other_2</v>
      </c>
      <c r="J738" s="25">
        <f ca="1">IF(OR(E738="",E738="!!!",F738="NEW"),"",COUNTBLANK(OFFSET(A$1,,,SUMPRODUCT(MAX(ROW(E$2:E738)*(E738=E$2:E738)))))-COUNTBLANK(OFFSET(A$1,,,SUMPRODUCT(MAX(ROW(E$1:E737)*(E2=E$1:E737))))))</f>
        <v>0</v>
      </c>
      <c r="K738" s="25">
        <f ca="1">IF(OR(E738="",E738="!!!",F738="NEW"),"",INDEX(J$1:J737,SUMPRODUCT(MAX(ROW(E$1:E737)*(E738=E$1:E737)))))</f>
        <v>0</v>
      </c>
      <c r="L738" s="26"/>
    </row>
    <row r="739" spans="1:12" x14ac:dyDescent="0.3">
      <c r="A739" t="s">
        <v>526</v>
      </c>
      <c r="E739" s="21" t="str">
        <f t="shared" si="78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79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320</v>
      </c>
      <c r="E740" s="21" t="str">
        <f t="shared" si="78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79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555</v>
      </c>
      <c r="B741" s="20" t="s">
        <v>232</v>
      </c>
      <c r="C741" s="20" t="s">
        <v>203</v>
      </c>
      <c r="E741" s="21" t="s">
        <v>622</v>
      </c>
      <c r="F741" s="22" t="str">
        <f>IF(OR(E741="",E741="!!!"),"",IF(NOT(ISNA(VLOOKUP(E741,E$1:E740,1,FALSE()))),"OLD",IF(AND(E741&lt;&gt;"",E741&lt;&gt;"!!!"),"NEW","")))</f>
        <v>OLD</v>
      </c>
      <c r="G741" s="23" t="s">
        <v>604</v>
      </c>
      <c r="H741" s="24" t="str">
        <f t="shared" ca="1" si="79"/>
        <v/>
      </c>
      <c r="I741" s="25" t="str">
        <f>IF(OR(E741="",E741="!!!",F741="NEW"),"",INDEX(B$2:B740,-1+SUMPRODUCT(MAX(ROW(E$2:E740)*(E741=E$2:E740)))))</f>
        <v>SBJ_5</v>
      </c>
      <c r="J741" s="25">
        <f ca="1">IF(OR(E741="",E741="!!!",F741="NEW"),"",COUNTBLANK(OFFSET(A$1,,,SUMPRODUCT(MAX(ROW(E$2:E741)*(E741=E$2:E741)))))-COUNTBLANK(OFFSET(A$1,,,SUMPRODUCT(MAX(ROW(E$1:E740)*(E2=E$1:E740))))))</f>
        <v>0</v>
      </c>
      <c r="K741" s="25">
        <f ca="1">IF(OR(E741="",E741="!!!",F741="NEW"),"",INDEX(J$1:J740,SUMPRODUCT(MAX(ROW(E$1:E740)*(E741=E$1:E740)))))</f>
        <v>0</v>
      </c>
      <c r="L741" s="26"/>
    </row>
    <row r="742" spans="1:12" x14ac:dyDescent="0.3">
      <c r="A742" t="s">
        <v>527</v>
      </c>
      <c r="E742" s="21" t="str">
        <f t="shared" si="78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79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394</v>
      </c>
      <c r="E743" s="21" t="str">
        <f t="shared" si="78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79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556</v>
      </c>
      <c r="E744" s="21" t="str">
        <f t="shared" si="78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79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237</v>
      </c>
      <c r="E745" s="21" t="str">
        <f t="shared" si="78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79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7" spans="1:12" x14ac:dyDescent="0.3">
      <c r="A747" t="s">
        <v>378</v>
      </c>
      <c r="E747" s="21" t="str">
        <f>IF(D747="?OLD","!!!","")</f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ca="1">IF(J747&lt;&gt;1,"",IF(I747="SBJ","CB","?"))</f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557</v>
      </c>
    </row>
    <row r="749" spans="1:12" x14ac:dyDescent="0.3">
      <c r="A749" t="s">
        <v>257</v>
      </c>
      <c r="E749" s="21" t="str">
        <f t="shared" ref="E749:E777" si="80">IF(D749="?OLD","!!!","")</f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ref="H749:H777" ca="1" si="81">IF(J749&lt;&gt;1,"",IF(I749="SBJ","CB","?"))</f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0" spans="1:12" x14ac:dyDescent="0.3">
      <c r="A750" t="s">
        <v>258</v>
      </c>
      <c r="E750" s="21" t="str">
        <f t="shared" si="80"/>
        <v/>
      </c>
      <c r="F750" s="22" t="str">
        <f>IF(OR(E750="",E750="!!!"),"",IF(NOT(ISNA(VLOOKUP(E750,E$1:E749,1,FALSE()))),"OLD",IF(AND(E750&lt;&gt;"",E750&lt;&gt;"!!!"),"NEW","")))</f>
        <v/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4" t="str">
        <f t="shared" ca="1" si="81"/>
        <v/>
      </c>
      <c r="I750" s="25" t="str">
        <f>IF(OR(E750="",E750="!!!",F750="NEW"),"",INDEX(B$2:B749,-1+SUMPRODUCT(MAX(ROW(E$2:E749)*(E750=E$2:E749)))))</f>
        <v/>
      </c>
      <c r="J750" s="25" t="str">
        <f ca="1">IF(OR(E750="",E750="!!!",F750="NEW"),"",COUNTBLANK(OFFSET(A$1,,,SUMPRODUCT(MAX(ROW(E$2:E750)*(E750=E$2:E750)))))-COUNTBLANK(OFFSET(A$1,,,SUMPRODUCT(MAX(ROW(E$1:E749)*(E2=E$1:E749))))))</f>
        <v/>
      </c>
      <c r="K750" s="25" t="str">
        <f>IF(OR(E750="",E750="!!!",F750="NEW"),"",INDEX(J$1:J749,SUMPRODUCT(MAX(ROW(E$1:E749)*(E750=E$1:E749)))))</f>
        <v/>
      </c>
      <c r="L750" s="26"/>
    </row>
    <row r="751" spans="1:12" x14ac:dyDescent="0.3">
      <c r="A751" t="s">
        <v>558</v>
      </c>
      <c r="B751" s="20" t="s">
        <v>202</v>
      </c>
      <c r="C751" s="20" t="s">
        <v>252</v>
      </c>
      <c r="E751" s="21" t="s">
        <v>651</v>
      </c>
      <c r="F751" s="22" t="str">
        <f>IF(OR(E751="",E751="!!!"),"",IF(NOT(ISNA(VLOOKUP(E751,E$1:E750,1,FALSE()))),"OLD",IF(AND(E751&lt;&gt;"",E751&lt;&gt;"!!!"),"NEW","")))</f>
        <v>NEW</v>
      </c>
      <c r="G751" s="23" t="s">
        <v>195</v>
      </c>
      <c r="H751" s="24" t="str">
        <f t="shared" ca="1" si="81"/>
        <v/>
      </c>
      <c r="I751" s="25" t="str">
        <f>IF(OR(E751="",E751="!!!",F751="NEW"),"",INDEX(B$2:B750,-1+SUMPRODUCT(MAX(ROW(E$2:E750)*(E751=E$2:E750)))))</f>
        <v/>
      </c>
      <c r="J751" s="25" t="str">
        <f ca="1">IF(OR(E751="",E751="!!!",F751="NEW"),"",COUNTBLANK(OFFSET(A$1,,,SUMPRODUCT(MAX(ROW(E$2:E751)*(E751=E$2:E751)))))-COUNTBLANK(OFFSET(A$1,,,SUMPRODUCT(MAX(ROW(E$1:E750)*(E2=E$1:E750))))))</f>
        <v/>
      </c>
      <c r="K751" s="25" t="str">
        <f>IF(OR(E751="",E751="!!!",F751="NEW"),"",INDEX(J$1:J750,SUMPRODUCT(MAX(ROW(E$1:E750)*(E751=E$1:E750)))))</f>
        <v/>
      </c>
      <c r="L751" s="26" t="s">
        <v>607</v>
      </c>
    </row>
    <row r="752" spans="1:12" x14ac:dyDescent="0.3">
      <c r="A752" t="s">
        <v>224</v>
      </c>
      <c r="E752" s="21" t="str">
        <f t="shared" si="80"/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ca="1" si="81"/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225</v>
      </c>
      <c r="B753" s="20" t="s">
        <v>226</v>
      </c>
      <c r="E753" s="21" t="str">
        <f t="shared" si="80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81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222</v>
      </c>
      <c r="E754" s="21" t="str">
        <f t="shared" si="80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81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278</v>
      </c>
      <c r="E755" s="21" t="str">
        <f t="shared" si="80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81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550</v>
      </c>
      <c r="B756" s="20" t="s">
        <v>207</v>
      </c>
      <c r="C756" s="20" t="s">
        <v>235</v>
      </c>
      <c r="D756" s="20" t="s">
        <v>236</v>
      </c>
      <c r="E756" s="21" t="s">
        <v>652</v>
      </c>
      <c r="F756" s="22" t="str">
        <f>IF(OR(E756="",E756="!!!"),"",IF(NOT(ISNA(VLOOKUP(E756,E$1:E755,1,FALSE()))),"OLD",IF(AND(E756&lt;&gt;"",E756&lt;&gt;"!!!"),"NEW","")))</f>
        <v>OLD</v>
      </c>
      <c r="G756" s="23" t="s">
        <v>603</v>
      </c>
      <c r="H756" s="24" t="s">
        <v>197</v>
      </c>
      <c r="I756" s="25" t="str">
        <f>IF(OR(E756="",E756="!!!",F756="NEW"),"",INDEX(B$2:B755,-1+SUMPRODUCT(MAX(ROW(E$2:E755)*(E756=E$2:E755)))))</f>
        <v>SBJ</v>
      </c>
      <c r="J756" s="25">
        <f ca="1">IF(OR(E756="",E756="!!!",F756="NEW"),"",COUNTBLANK(OFFSET(A$1,,,SUMPRODUCT(MAX(ROW(E$2:E756)*(E756=E$2:E756)))))-COUNTBLANK(OFFSET(A$1,,,SUMPRODUCT(MAX(ROW(E$1:E755)*(E2=E$1:E755))))))</f>
        <v>0</v>
      </c>
      <c r="K756" s="25" t="str">
        <f ca="1">IF(OR(E756="",E756="!!!",F756="NEW"),"",INDEX(J$1:J755,SUMPRODUCT(MAX(ROW(E$1:E755)*(E756=E$1:E755)))))</f>
        <v/>
      </c>
      <c r="L756" s="26"/>
    </row>
    <row r="757" spans="1:12" x14ac:dyDescent="0.3">
      <c r="A757" t="s">
        <v>559</v>
      </c>
      <c r="E757" s="21" t="str">
        <f t="shared" si="80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81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356</v>
      </c>
      <c r="E758" s="21" t="str">
        <f t="shared" si="80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81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224</v>
      </c>
      <c r="E759" s="21" t="str">
        <f t="shared" si="80"/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81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560</v>
      </c>
      <c r="E760" s="21" t="str">
        <f t="shared" si="80"/>
        <v/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81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367</v>
      </c>
      <c r="E761" s="21" t="str">
        <f t="shared" si="80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81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204</v>
      </c>
      <c r="E762" s="21" t="str">
        <f t="shared" si="80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81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205</v>
      </c>
      <c r="E763" s="21" t="str">
        <f t="shared" si="80"/>
        <v/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81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380</v>
      </c>
      <c r="B764" s="20" t="s">
        <v>211</v>
      </c>
      <c r="C764" s="20" t="s">
        <v>283</v>
      </c>
      <c r="D764" s="20" t="s">
        <v>236</v>
      </c>
      <c r="E764" s="21"/>
      <c r="F764" s="22" t="s">
        <v>636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81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271</v>
      </c>
      <c r="E765" s="21" t="str">
        <f t="shared" si="80"/>
        <v/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81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561</v>
      </c>
      <c r="E766" s="21" t="str">
        <f t="shared" si="80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81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562</v>
      </c>
      <c r="E767" s="21" t="str">
        <f t="shared" si="80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81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224</v>
      </c>
      <c r="E768" s="21" t="str">
        <f t="shared" si="80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81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296</v>
      </c>
      <c r="E769" s="21" t="str">
        <f t="shared" si="80"/>
        <v/>
      </c>
      <c r="F769" s="22" t="str">
        <f>IF(OR(E769="",E769="!!!"),"",IF(NOT(ISNA(VLOOKUP(E769,E$1:E768,1,FALSE()))),"OLD",IF(AND(E769&lt;&gt;"",E769&lt;&gt;"!!!"),"NEW","")))</f>
        <v/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4" t="str">
        <f t="shared" ca="1" si="81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/>
    </row>
    <row r="770" spans="1:12" x14ac:dyDescent="0.3">
      <c r="A770" t="s">
        <v>365</v>
      </c>
      <c r="B770" s="20" t="s">
        <v>226</v>
      </c>
      <c r="C770" s="20" t="s">
        <v>203</v>
      </c>
      <c r="E770" s="21" t="s">
        <v>622</v>
      </c>
      <c r="F770" s="22" t="str">
        <f>IF(OR(E770="",E770="!!!"),"",IF(NOT(ISNA(VLOOKUP(E770,E$1:E769,1,FALSE()))),"OLD",IF(AND(E770&lt;&gt;"",E770&lt;&gt;"!!!"),"NEW","")))</f>
        <v>OLD</v>
      </c>
      <c r="G770" s="23" t="s">
        <v>669</v>
      </c>
      <c r="H770" s="24" t="str">
        <f t="shared" ca="1" si="81"/>
        <v/>
      </c>
      <c r="I770" s="25" t="str">
        <f>IF(OR(E770="",E770="!!!",F770="NEW"),"",INDEX(B$2:B769,-1+SUMPRODUCT(MAX(ROW(E$2:E769)*(E770=E$2:E769)))))</f>
        <v>other_2</v>
      </c>
      <c r="J770" s="25">
        <f ca="1">IF(OR(E770="",E770="!!!",F770="NEW"),"",COUNTBLANK(OFFSET(A$1,,,SUMPRODUCT(MAX(ROW(E$2:E770)*(E770=E$2:E770)))))-COUNTBLANK(OFFSET(A$1,,,SUMPRODUCT(MAX(ROW(E$1:E769)*(E2=E$1:E769))))))</f>
        <v>0</v>
      </c>
      <c r="K770" s="25">
        <f ca="1">IF(OR(E770="",E770="!!!",F770="NEW"),"",INDEX(J$1:J769,SUMPRODUCT(MAX(ROW(E$1:E769)*(E770=E$1:E769)))))</f>
        <v>0</v>
      </c>
      <c r="L770" s="26"/>
    </row>
    <row r="771" spans="1:12" x14ac:dyDescent="0.3">
      <c r="A771" t="s">
        <v>303</v>
      </c>
      <c r="E771" s="21" t="str">
        <f t="shared" si="80"/>
        <v/>
      </c>
      <c r="F771" s="22" t="str">
        <f>IF(OR(E771="",E771="!!!"),"",IF(NOT(ISNA(VLOOKUP(E771,E$1:E770,1,FALSE()))),"OLD",IF(AND(E771&lt;&gt;"",E771&lt;&gt;"!!!"),"NEW","")))</f>
        <v/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t="shared" ca="1" si="81"/>
        <v/>
      </c>
      <c r="I771" s="25" t="str">
        <f>IF(OR(E771="",E771="!!!",F771="NEW"),"",INDEX(B$2:B770,-1+SUMPRODUCT(MAX(ROW(E$2:E770)*(E771=E$2:E770)))))</f>
        <v/>
      </c>
      <c r="J771" s="25" t="str">
        <f ca="1">IF(OR(E771="",E771="!!!",F771="NEW"),"",COUNTBLANK(OFFSET(A$1,,,SUMPRODUCT(MAX(ROW(E$2:E771)*(E771=E$2:E771)))))-COUNTBLANK(OFFSET(A$1,,,SUMPRODUCT(MAX(ROW(E$1:E770)*(E2=E$1:E770))))))</f>
        <v/>
      </c>
      <c r="K771" s="25" t="str">
        <f>IF(OR(E771="",E771="!!!",F771="NEW"),"",INDEX(J$1:J770,SUMPRODUCT(MAX(ROW(E$1:E770)*(E771=E$1:E770)))))</f>
        <v/>
      </c>
      <c r="L771" s="26"/>
    </row>
    <row r="772" spans="1:12" x14ac:dyDescent="0.3">
      <c r="A772" t="s">
        <v>223</v>
      </c>
      <c r="B772" s="20" t="s">
        <v>345</v>
      </c>
      <c r="C772" s="20" t="s">
        <v>203</v>
      </c>
      <c r="E772" s="21" t="s">
        <v>650</v>
      </c>
      <c r="F772" s="22" t="str">
        <f>IF(OR(E772="",E772="!!!"),"",IF(NOT(ISNA(VLOOKUP(E772,E$1:E771,1,FALSE()))),"OLD",IF(AND(E772&lt;&gt;"",E772&lt;&gt;"!!!"),"NEW","")))</f>
        <v>OLD</v>
      </c>
      <c r="G772" s="23" t="s">
        <v>603</v>
      </c>
      <c r="H772" s="24" t="str">
        <f t="shared" ca="1" si="81"/>
        <v/>
      </c>
      <c r="I772" s="25" t="str">
        <f>IF(OR(E772="",E772="!!!",F772="NEW"),"",INDEX(B$2:B771,-1+SUMPRODUCT(MAX(ROW(E$2:E771)*(E772=E$2:E771)))))</f>
        <v>SBJ_2</v>
      </c>
      <c r="J772" s="25">
        <f ca="1">IF(OR(E772="",E772="!!!",F772="NEW"),"",COUNTBLANK(OFFSET(A$1,,,SUMPRODUCT(MAX(ROW(E$2:E772)*(E772=E$2:E772)))))-COUNTBLANK(OFFSET(A$1,,,SUMPRODUCT(MAX(ROW(E$1:E771)*(E2=E$1:E771))))))</f>
        <v>0</v>
      </c>
      <c r="K772" s="25">
        <f ca="1">IF(OR(E772="",E772="!!!",F772="NEW"),"",INDEX(J$1:J771,SUMPRODUCT(MAX(ROW(E$1:E771)*(E772=E$1:E771)))))</f>
        <v>0</v>
      </c>
      <c r="L772" s="26"/>
    </row>
    <row r="773" spans="1:12" x14ac:dyDescent="0.3">
      <c r="A773" t="s">
        <v>526</v>
      </c>
      <c r="E773" s="21" t="str">
        <f t="shared" si="80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81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563</v>
      </c>
      <c r="E774" s="21" t="str">
        <f t="shared" si="80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81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394</v>
      </c>
      <c r="E775" s="21" t="str">
        <f t="shared" si="80"/>
        <v/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81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237</v>
      </c>
      <c r="E776" s="21" t="str">
        <f t="shared" si="80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81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205</v>
      </c>
      <c r="E777" s="21" t="str">
        <f t="shared" si="80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81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9" spans="1:12" x14ac:dyDescent="0.3">
      <c r="A779" t="s">
        <v>378</v>
      </c>
      <c r="E779" s="21" t="str">
        <f>IF(D779="?OLD","!!!","")</f>
        <v/>
      </c>
      <c r="F779" s="22" t="str">
        <f>IF(OR(E779="",E779="!!!"),"",IF(NOT(ISNA(VLOOKUP(E779,E$1:E778,1,FALSE()))),"OLD",IF(AND(E779&lt;&gt;"",E779&lt;&gt;"!!!"),"NEW","")))</f>
        <v/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4" t="str">
        <f ca="1">IF(J779&lt;&gt;1,"",IF(I779="SBJ","CB","?"))</f>
        <v/>
      </c>
      <c r="I779" s="25" t="str">
        <f>IF(OR(E779="",E779="!!!",F779="NEW"),"",INDEX(B$2:B778,-1+SUMPRODUCT(MAX(ROW(E$2:E778)*(E779=E$2:E778)))))</f>
        <v/>
      </c>
      <c r="J779" s="25" t="str">
        <f ca="1">IF(OR(E779="",E779="!!!",F779="NEW"),"",COUNTBLANK(OFFSET(A$1,,,SUMPRODUCT(MAX(ROW(E$2:E779)*(E779=E$2:E779)))))-COUNTBLANK(OFFSET(A$1,,,SUMPRODUCT(MAX(ROW(E$1:E778)*(E2=E$1:E778))))))</f>
        <v/>
      </c>
      <c r="K779" s="25" t="str">
        <f>IF(OR(E779="",E779="!!!",F779="NEW"),"",INDEX(J$1:J778,SUMPRODUCT(MAX(ROW(E$1:E778)*(E779=E$1:E778)))))</f>
        <v/>
      </c>
      <c r="L779" s="26"/>
    </row>
    <row r="780" spans="1:12" x14ac:dyDescent="0.3">
      <c r="A780" t="s">
        <v>564</v>
      </c>
    </row>
    <row r="781" spans="1:12" x14ac:dyDescent="0.3">
      <c r="A781" t="s">
        <v>205</v>
      </c>
      <c r="E781" s="21" t="str">
        <f t="shared" ref="E781:E804" si="82">IF(D781="?OLD","!!!","")</f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ref="H781:H804" ca="1" si="83">IF(J781&lt;&gt;1,"",IF(I781="SBJ","CB","?"))</f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565</v>
      </c>
      <c r="E782" s="21" t="str">
        <f t="shared" si="82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83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225</v>
      </c>
      <c r="E783" s="21" t="str">
        <f t="shared" si="82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83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566</v>
      </c>
      <c r="B784" s="20" t="s">
        <v>211</v>
      </c>
      <c r="C784" s="20" t="s">
        <v>235</v>
      </c>
      <c r="D784" s="20" t="s">
        <v>236</v>
      </c>
      <c r="E784" s="21"/>
      <c r="F784" s="22" t="s">
        <v>621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83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399</v>
      </c>
      <c r="E785" s="21" t="str">
        <f t="shared" si="82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83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394</v>
      </c>
      <c r="E786" s="21" t="str">
        <f t="shared" si="82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83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365</v>
      </c>
      <c r="B787" s="20" t="s">
        <v>226</v>
      </c>
      <c r="C787" s="20" t="s">
        <v>203</v>
      </c>
      <c r="E787" s="21" t="s">
        <v>622</v>
      </c>
      <c r="F787" s="22" t="str">
        <f>IF(OR(E787="",E787="!!!"),"",IF(NOT(ISNA(VLOOKUP(E787,E$1:E786,1,FALSE()))),"OLD",IF(AND(E787&lt;&gt;"",E787&lt;&gt;"!!!"),"NEW","")))</f>
        <v>OLD</v>
      </c>
      <c r="G787" s="23" t="s">
        <v>603</v>
      </c>
      <c r="H787" s="24" t="str">
        <f t="shared" ca="1" si="83"/>
        <v/>
      </c>
      <c r="I787" s="25" t="str">
        <f>IF(OR(E787="",E787="!!!",F787="NEW"),"",INDEX(B$2:B786,-1+SUMPRODUCT(MAX(ROW(E$2:E786)*(E787=E$2:E786)))))</f>
        <v>SBJ_3</v>
      </c>
      <c r="J787" s="25">
        <f ca="1">IF(OR(E787="",E787="!!!",F787="NEW"),"",COUNTBLANK(OFFSET(A$1,,,SUMPRODUCT(MAX(ROW(E$2:E787)*(E787=E$2:E787)))))-COUNTBLANK(OFFSET(A$1,,,SUMPRODUCT(MAX(ROW(E$1:E786)*(E2=E$1:E786))))))</f>
        <v>0</v>
      </c>
      <c r="K787" s="25">
        <f ca="1">IF(OR(E787="",E787="!!!",F787="NEW"),"",INDEX(J$1:J786,SUMPRODUCT(MAX(ROW(E$1:E786)*(E787=E$1:E786)))))</f>
        <v>0</v>
      </c>
      <c r="L787" s="26"/>
    </row>
    <row r="788" spans="1:12" x14ac:dyDescent="0.3">
      <c r="A788" t="s">
        <v>303</v>
      </c>
      <c r="E788" s="21" t="str">
        <f t="shared" si="82"/>
        <v/>
      </c>
      <c r="F788" s="22" t="str">
        <f>IF(OR(E788="",E788="!!!"),"",IF(NOT(ISNA(VLOOKUP(E788,E$1:E787,1,FALSE()))),"OLD",IF(AND(E788&lt;&gt;"",E788&lt;&gt;"!!!"),"NEW","")))</f>
        <v/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t="shared" ca="1" si="83"/>
        <v/>
      </c>
      <c r="I788" s="25" t="str">
        <f>IF(OR(E788="",E788="!!!",F788="NEW"),"",INDEX(B$2:B787,-1+SUMPRODUCT(MAX(ROW(E$2:E787)*(E788=E$2:E787)))))</f>
        <v/>
      </c>
      <c r="J788" s="25" t="str">
        <f ca="1">IF(OR(E788="",E788="!!!",F788="NEW"),"",COUNTBLANK(OFFSET(A$1,,,SUMPRODUCT(MAX(ROW(E$2:E788)*(E788=E$2:E788)))))-COUNTBLANK(OFFSET(A$1,,,SUMPRODUCT(MAX(ROW(E$1:E787)*(E2=E$1:E787))))))</f>
        <v/>
      </c>
      <c r="K788" s="25" t="str">
        <f>IF(OR(E788="",E788="!!!",F788="NEW"),"",INDEX(J$1:J787,SUMPRODUCT(MAX(ROW(E$1:E787)*(E788=E$1:E787)))))</f>
        <v/>
      </c>
      <c r="L788" s="26"/>
    </row>
    <row r="789" spans="1:12" x14ac:dyDescent="0.3">
      <c r="A789" t="s">
        <v>223</v>
      </c>
      <c r="B789" s="20" t="s">
        <v>345</v>
      </c>
      <c r="C789" s="20" t="s">
        <v>203</v>
      </c>
      <c r="E789" s="21" t="s">
        <v>650</v>
      </c>
      <c r="F789" s="22" t="str">
        <f>IF(OR(E789="",E789="!!!"),"",IF(NOT(ISNA(VLOOKUP(E789,E$1:E788,1,FALSE()))),"OLD",IF(AND(E789&lt;&gt;"",E789&lt;&gt;"!!!"),"NEW","")))</f>
        <v>OLD</v>
      </c>
      <c r="G789" s="23" t="s">
        <v>603</v>
      </c>
      <c r="H789" s="24" t="s">
        <v>197</v>
      </c>
      <c r="I789" s="25" t="str">
        <f>IF(OR(E789="",E789="!!!",F789="NEW"),"",INDEX(B$2:B788,-1+SUMPRODUCT(MAX(ROW(E$2:E788)*(E789=E$2:E788)))))</f>
        <v>other_4</v>
      </c>
      <c r="J789" s="25">
        <f ca="1">IF(OR(E789="",E789="!!!",F789="NEW"),"",COUNTBLANK(OFFSET(A$1,,,SUMPRODUCT(MAX(ROW(E$2:E789)*(E789=E$2:E789)))))-COUNTBLANK(OFFSET(A$1,,,SUMPRODUCT(MAX(ROW(E$1:E788)*(E2=E$1:E788))))))</f>
        <v>0</v>
      </c>
      <c r="K789" s="25">
        <f ca="1">IF(OR(E789="",E789="!!!",F789="NEW"),"",INDEX(J$1:J788,SUMPRODUCT(MAX(ROW(E$1:E788)*(E789=E$1:E788)))))</f>
        <v>0</v>
      </c>
      <c r="L789" s="26"/>
    </row>
    <row r="790" spans="1:12" x14ac:dyDescent="0.3">
      <c r="A790" t="s">
        <v>349</v>
      </c>
      <c r="E790" s="21" t="str">
        <f t="shared" si="82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83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527</v>
      </c>
      <c r="E791" s="21" t="str">
        <f t="shared" si="82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83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224</v>
      </c>
      <c r="E792" s="21" t="str">
        <f t="shared" si="82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83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567</v>
      </c>
      <c r="E793" s="21" t="str">
        <f t="shared" si="82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83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367</v>
      </c>
      <c r="B794" s="20" t="s">
        <v>220</v>
      </c>
      <c r="C794" s="20" t="s">
        <v>283</v>
      </c>
      <c r="D794" s="20" t="s">
        <v>236</v>
      </c>
      <c r="E794" s="21"/>
      <c r="F794" s="22" t="s">
        <v>636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83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231</v>
      </c>
      <c r="B795" s="20" t="s">
        <v>232</v>
      </c>
      <c r="C795" s="20" t="s">
        <v>208</v>
      </c>
      <c r="E795" s="21" t="str">
        <f t="shared" si="82"/>
        <v/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83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6" spans="1:12" x14ac:dyDescent="0.3">
      <c r="A796" t="s">
        <v>11</v>
      </c>
      <c r="E796" s="21" t="str">
        <f t="shared" si="82"/>
        <v/>
      </c>
      <c r="F796" s="22" t="str">
        <f>IF(OR(E796="",E796="!!!"),"",IF(NOT(ISNA(VLOOKUP(E796,E$1:E795,1,FALSE()))),"OLD",IF(AND(E796&lt;&gt;"",E796&lt;&gt;"!!!"),"NEW","")))</f>
        <v/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4" t="str">
        <f t="shared" ca="1" si="83"/>
        <v/>
      </c>
      <c r="I796" s="25" t="str">
        <f>IF(OR(E796="",E796="!!!",F796="NEW"),"",INDEX(B$2:B795,-1+SUMPRODUCT(MAX(ROW(E$2:E795)*(E796=E$2:E795)))))</f>
        <v/>
      </c>
      <c r="J796" s="25" t="str">
        <f ca="1">IF(OR(E796="",E796="!!!",F796="NEW"),"",COUNTBLANK(OFFSET(A$1,,,SUMPRODUCT(MAX(ROW(E$2:E796)*(E796=E$2:E796)))))-COUNTBLANK(OFFSET(A$1,,,SUMPRODUCT(MAX(ROW(E$1:E795)*(E2=E$1:E795))))))</f>
        <v/>
      </c>
      <c r="K796" s="25" t="str">
        <f>IF(OR(E796="",E796="!!!",F796="NEW"),"",INDEX(J$1:J795,SUMPRODUCT(MAX(ROW(E$1:E795)*(E796=E$1:E795)))))</f>
        <v/>
      </c>
      <c r="L796" s="26"/>
    </row>
    <row r="797" spans="1:12" x14ac:dyDescent="0.3">
      <c r="A797" t="s">
        <v>568</v>
      </c>
      <c r="E797" s="21" t="str">
        <f t="shared" si="82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83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11</v>
      </c>
      <c r="E798" s="21" t="str">
        <f t="shared" si="82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83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217</v>
      </c>
      <c r="B799" s="20" t="s">
        <v>202</v>
      </c>
      <c r="C799" s="20" t="s">
        <v>203</v>
      </c>
      <c r="E799" s="21" t="str">
        <f t="shared" si="82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83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569</v>
      </c>
      <c r="E800" s="21" t="str">
        <f t="shared" si="82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83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223</v>
      </c>
      <c r="B801" s="20" t="s">
        <v>232</v>
      </c>
      <c r="C801" s="20" t="s">
        <v>203</v>
      </c>
      <c r="E801" s="21" t="s">
        <v>650</v>
      </c>
      <c r="F801" s="22" t="str">
        <f>IF(OR(E801="",E801="!!!"),"",IF(NOT(ISNA(VLOOKUP(E801,E$1:E800,1,FALSE()))),"OLD",IF(AND(E801&lt;&gt;"",E801&lt;&gt;"!!!"),"NEW","")))</f>
        <v>OLD</v>
      </c>
      <c r="G801" s="23" t="s">
        <v>603</v>
      </c>
      <c r="H801" s="24" t="str">
        <f t="shared" ca="1" si="83"/>
        <v/>
      </c>
      <c r="I801" s="25" t="str">
        <f>IF(OR(E801="",E801="!!!",F801="NEW"),"",INDEX(B$2:B800,-1+SUMPRODUCT(MAX(ROW(E$2:E800)*(E801=E$2:E800)))))</f>
        <v>other_4</v>
      </c>
      <c r="J801" s="25">
        <f ca="1">IF(OR(E801="",E801="!!!",F801="NEW"),"",COUNTBLANK(OFFSET(A$1,,,SUMPRODUCT(MAX(ROW(E$2:E801)*(E801=E$2:E801)))))-COUNTBLANK(OFFSET(A$1,,,SUMPRODUCT(MAX(ROW(E$1:E800)*(E2=E$1:E800))))))</f>
        <v>0</v>
      </c>
      <c r="K801" s="25">
        <f ca="1">IF(OR(E801="",E801="!!!",F801="NEW"),"",INDEX(J$1:J800,SUMPRODUCT(MAX(ROW(E$1:E800)*(E801=E$1:E800)))))</f>
        <v>0</v>
      </c>
      <c r="L801" s="26"/>
    </row>
    <row r="802" spans="1:12" x14ac:dyDescent="0.3">
      <c r="A802" t="s">
        <v>179</v>
      </c>
      <c r="E802" s="21" t="str">
        <f t="shared" si="82"/>
        <v/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83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205</v>
      </c>
      <c r="E803" s="21" t="str">
        <f t="shared" si="82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83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237</v>
      </c>
      <c r="E804" s="21" t="str">
        <f t="shared" si="82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83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6" spans="1:12" x14ac:dyDescent="0.3">
      <c r="A806" t="s">
        <v>570</v>
      </c>
    </row>
    <row r="807" spans="1:12" x14ac:dyDescent="0.3">
      <c r="A807" t="s">
        <v>571</v>
      </c>
      <c r="E807" s="21" t="str">
        <f t="shared" ref="E807:E824" si="84">IF(D807="?OLD","!!!","")</f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ref="H807:H824" ca="1" si="85">IF(J807&lt;&gt;1,"",IF(I807="SBJ","CB","?"))</f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572</v>
      </c>
      <c r="B808" s="20" t="s">
        <v>232</v>
      </c>
      <c r="C808" s="20" t="s">
        <v>208</v>
      </c>
      <c r="E808" s="21" t="str">
        <f t="shared" si="84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85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225</v>
      </c>
      <c r="E809" s="21" t="str">
        <f t="shared" si="84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85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573</v>
      </c>
      <c r="B810" s="20" t="s">
        <v>211</v>
      </c>
      <c r="C810" s="20" t="s">
        <v>235</v>
      </c>
      <c r="D810" s="20" t="s">
        <v>236</v>
      </c>
      <c r="E810" s="21"/>
      <c r="F810" s="22" t="s">
        <v>621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85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574</v>
      </c>
      <c r="E811" s="21" t="str">
        <f t="shared" si="84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85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526</v>
      </c>
      <c r="E812" s="21" t="str">
        <f t="shared" si="84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85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303</v>
      </c>
      <c r="E813" s="21" t="str">
        <f t="shared" si="84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85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222</v>
      </c>
      <c r="E814" s="21" t="str">
        <f t="shared" si="84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85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223</v>
      </c>
      <c r="B815" s="20" t="s">
        <v>207</v>
      </c>
      <c r="C815" s="20" t="s">
        <v>203</v>
      </c>
      <c r="E815" s="21" t="s">
        <v>650</v>
      </c>
      <c r="F815" s="22" t="str">
        <f>IF(OR(E815="",E815="!!!"),"",IF(NOT(ISNA(VLOOKUP(E815,E$1:E814,1,FALSE()))),"OLD",IF(AND(E815&lt;&gt;"",E815&lt;&gt;"!!!"),"NEW","")))</f>
        <v>OLD</v>
      </c>
      <c r="G815" s="23" t="s">
        <v>603</v>
      </c>
      <c r="H815" s="24" t="s">
        <v>197</v>
      </c>
      <c r="I815" s="25" t="str">
        <f>IF(OR(E815="",E815="!!!",F815="NEW"),"",INDEX(B$2:B814,-1+SUMPRODUCT(MAX(ROW(E$2:E814)*(E815=E$2:E814)))))</f>
        <v>other_2</v>
      </c>
      <c r="J815" s="25">
        <f ca="1">IF(OR(E815="",E815="!!!",F815="NEW"),"",COUNTBLANK(OFFSET(A$1,,,SUMPRODUCT(MAX(ROW(E$2:E815)*(E815=E$2:E815)))))-COUNTBLANK(OFFSET(A$1,,,SUMPRODUCT(MAX(ROW(E$1:E814)*(E2=E$1:E814))))))</f>
        <v>0</v>
      </c>
      <c r="K815" s="25">
        <f ca="1">IF(OR(E815="",E815="!!!",F815="NEW"),"",INDEX(J$1:J814,SUMPRODUCT(MAX(ROW(E$1:E814)*(E815=E$1:E814)))))</f>
        <v>0</v>
      </c>
      <c r="L815" s="26"/>
    </row>
    <row r="816" spans="1:12" x14ac:dyDescent="0.3">
      <c r="A816" t="s">
        <v>575</v>
      </c>
      <c r="E816" s="21" t="str">
        <f t="shared" si="84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85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576</v>
      </c>
      <c r="E817" s="21" t="str">
        <f t="shared" si="84"/>
        <v/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85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577</v>
      </c>
      <c r="E818" s="21" t="str">
        <f t="shared" si="84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85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224</v>
      </c>
      <c r="E819" s="21" t="str">
        <f t="shared" si="84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85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578</v>
      </c>
      <c r="E820" s="21" t="str">
        <f t="shared" si="84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85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242</v>
      </c>
      <c r="E821" s="21" t="str">
        <f t="shared" si="84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85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332</v>
      </c>
      <c r="E822" s="21" t="str">
        <f t="shared" si="84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85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558</v>
      </c>
      <c r="B823" s="20" t="s">
        <v>202</v>
      </c>
      <c r="C823" s="20" t="s">
        <v>235</v>
      </c>
      <c r="D823" s="20" t="s">
        <v>236</v>
      </c>
      <c r="E823" s="21" t="s">
        <v>651</v>
      </c>
      <c r="F823" s="22" t="str">
        <f>IF(OR(E823="",E823="!!!"),"",IF(NOT(ISNA(VLOOKUP(E823,E$1:E822,1,FALSE()))),"OLD",IF(AND(E823&lt;&gt;"",E823&lt;&gt;"!!!"),"NEW","")))</f>
        <v>OLD</v>
      </c>
      <c r="G823" s="23" t="s">
        <v>669</v>
      </c>
      <c r="H823" s="24" t="str">
        <f t="shared" ca="1" si="85"/>
        <v/>
      </c>
      <c r="I823" s="25" t="str">
        <f>IF(OR(E823="",E823="!!!",F823="NEW"),"",INDEX(B$2:B822,-1+SUMPRODUCT(MAX(ROW(E$2:E822)*(E823=E$2:E822)))))</f>
        <v>other</v>
      </c>
      <c r="J823" s="25">
        <f ca="1">IF(OR(E823="",E823="!!!",F823="NEW"),"",COUNTBLANK(OFFSET(A$1,,,SUMPRODUCT(MAX(ROW(E$2:E823)*(E823=E$2:E823)))))-COUNTBLANK(OFFSET(A$1,,,SUMPRODUCT(MAX(ROW(E$1:E822)*(E2=E$1:E822))))))</f>
        <v>0</v>
      </c>
      <c r="K823" s="25" t="str">
        <f ca="1">IF(OR(E823="",E823="!!!",F823="NEW"),"",INDEX(J$1:J822,SUMPRODUCT(MAX(ROW(E$1:E822)*(E823=E$1:E822)))))</f>
        <v/>
      </c>
      <c r="L823" s="26"/>
    </row>
    <row r="824" spans="1:12" x14ac:dyDescent="0.3">
      <c r="A824" t="s">
        <v>237</v>
      </c>
      <c r="E824" s="21" t="str">
        <f t="shared" si="84"/>
        <v/>
      </c>
      <c r="F824" s="22" t="str">
        <f>IF(OR(E824="",E824="!!!"),"",IF(NOT(ISNA(VLOOKUP(E824,E$1:E823,1,FALSE()))),"OLD",IF(AND(E824&lt;&gt;"",E824&lt;&gt;"!!!"),"NEW","")))</f>
        <v/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t="shared" ca="1" si="85"/>
        <v/>
      </c>
      <c r="I824" s="25" t="str">
        <f>IF(OR(E824="",E824="!!!",F824="NEW"),"",INDEX(B$2:B823,-1+SUMPRODUCT(MAX(ROW(E$2:E823)*(E824=E$2:E823)))))</f>
        <v/>
      </c>
      <c r="J824" s="25" t="str">
        <f ca="1">IF(OR(E824="",E824="!!!",F824="NEW"),"",COUNTBLANK(OFFSET(A$1,,,SUMPRODUCT(MAX(ROW(E$2:E824)*(E824=E$2:E824)))))-COUNTBLANK(OFFSET(A$1,,,SUMPRODUCT(MAX(ROW(E$1:E823)*(E2=E$1:E823))))))</f>
        <v/>
      </c>
      <c r="K824" s="25" t="str">
        <f>IF(OR(E824="",E824="!!!",F824="NEW"),"",INDEX(J$1:J823,SUMPRODUCT(MAX(ROW(E$1:E823)*(E824=E$1:E823)))))</f>
        <v/>
      </c>
      <c r="L824" s="26"/>
    </row>
    <row r="826" spans="1:12" x14ac:dyDescent="0.3">
      <c r="A826" t="s">
        <v>579</v>
      </c>
    </row>
    <row r="827" spans="1:12" x14ac:dyDescent="0.3">
      <c r="A827" t="s">
        <v>580</v>
      </c>
      <c r="E827" s="21" t="str">
        <f t="shared" ref="E827:E850" si="86">IF(D827="?OLD","!!!","")</f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ref="H827:H850" ca="1" si="87">IF(J827&lt;&gt;1,"",IF(I827="SBJ","CB","?"))</f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561</v>
      </c>
      <c r="E828" s="21" t="str">
        <f t="shared" si="86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87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225</v>
      </c>
      <c r="E829" s="21" t="str">
        <f t="shared" si="86"/>
        <v/>
      </c>
      <c r="F829" s="22" t="str">
        <f>IF(OR(E829="",E829="!!!"),"",IF(NOT(ISNA(VLOOKUP(E829,E$1:E828,1,FALSE()))),"OLD",IF(AND(E829&lt;&gt;"",E829&lt;&gt;"!!!"),"NEW","")))</f>
        <v/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t="shared" ca="1" si="87"/>
        <v/>
      </c>
      <c r="I829" s="25" t="str">
        <f>IF(OR(E829="",E829="!!!",F829="NEW"),"",INDEX(B$2:B828,-1+SUMPRODUCT(MAX(ROW(E$2:E828)*(E829=E$2:E828)))))</f>
        <v/>
      </c>
      <c r="J829" s="25" t="str">
        <f ca="1">IF(OR(E829="",E829="!!!",F829="NEW"),"",COUNTBLANK(OFFSET(A$1,,,SUMPRODUCT(MAX(ROW(E$2:E829)*(E829=E$2:E829)))))-COUNTBLANK(OFFSET(A$1,,,SUMPRODUCT(MAX(ROW(E$1:E828)*(E2=E$1:E828))))))</f>
        <v/>
      </c>
      <c r="K829" s="25" t="str">
        <f>IF(OR(E829="",E829="!!!",F829="NEW"),"",INDEX(J$1:J828,SUMPRODUCT(MAX(ROW(E$1:E828)*(E829=E$1:E828)))))</f>
        <v/>
      </c>
      <c r="L829" s="26"/>
    </row>
    <row r="830" spans="1:12" x14ac:dyDescent="0.3">
      <c r="A830" t="s">
        <v>223</v>
      </c>
      <c r="B830" s="20" t="s">
        <v>220</v>
      </c>
      <c r="C830" s="20" t="s">
        <v>235</v>
      </c>
      <c r="D830" s="20" t="s">
        <v>236</v>
      </c>
      <c r="E830" s="21" t="s">
        <v>658</v>
      </c>
      <c r="F830" s="22" t="str">
        <f>IF(OR(E830="",E830="!!!"),"",IF(NOT(ISNA(VLOOKUP(E830,E$1:E829,1,FALSE()))),"OLD",IF(AND(E830&lt;&gt;"",E830&lt;&gt;"!!!"),"NEW","")))</f>
        <v>OLD</v>
      </c>
      <c r="G830" s="23" t="s">
        <v>604</v>
      </c>
      <c r="H830" s="24" t="str">
        <f t="shared" ca="1" si="87"/>
        <v/>
      </c>
      <c r="I830" s="25" t="str">
        <f>IF(OR(E830="",E830="!!!",F830="NEW"),"",INDEX(B$2:B829,-1+SUMPRODUCT(MAX(ROW(E$2:E829)*(E830=E$2:E829)))))</f>
        <v>SBJ_2</v>
      </c>
      <c r="J830" s="25">
        <f ca="1">IF(OR(E830="",E830="!!!",F830="NEW"),"",COUNTBLANK(OFFSET(A$1,,,SUMPRODUCT(MAX(ROW(E$2:E830)*(E830=E$2:E830)))))-COUNTBLANK(OFFSET(A$1,,,SUMPRODUCT(MAX(ROW(E$1:E829)*(E2=E$1:E829))))))</f>
        <v>0</v>
      </c>
      <c r="K830" s="25">
        <f ca="1">IF(OR(E830="",E830="!!!",F830="NEW"),"",INDEX(J$1:J829,SUMPRODUCT(MAX(ROW(E$1:E829)*(E830=E$1:E829)))))</f>
        <v>0</v>
      </c>
      <c r="L830" s="26"/>
    </row>
    <row r="831" spans="1:12" x14ac:dyDescent="0.3">
      <c r="A831" t="s">
        <v>581</v>
      </c>
      <c r="B831" s="20" t="s">
        <v>232</v>
      </c>
      <c r="C831" s="20" t="s">
        <v>430</v>
      </c>
      <c r="D831" s="20" t="s">
        <v>236</v>
      </c>
      <c r="E831" s="21"/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87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 t="s">
        <v>628</v>
      </c>
    </row>
    <row r="832" spans="1:12" x14ac:dyDescent="0.3">
      <c r="A832" t="s">
        <v>582</v>
      </c>
      <c r="B832" s="20" t="s">
        <v>255</v>
      </c>
      <c r="C832" s="20" t="s">
        <v>583</v>
      </c>
      <c r="D832" s="20" t="s">
        <v>236</v>
      </c>
      <c r="E832" s="21" t="s">
        <v>653</v>
      </c>
      <c r="F832" s="22" t="str">
        <f>IF(OR(E832="",E832="!!!"),"",IF(NOT(ISNA(VLOOKUP(E832,E$1:E831,1,FALSE()))),"OLD",IF(AND(E832&lt;&gt;"",E832&lt;&gt;"!!!"),"NEW","")))</f>
        <v>NEW</v>
      </c>
      <c r="G832" s="23" t="s">
        <v>670</v>
      </c>
      <c r="H832" s="24" t="str">
        <f t="shared" ca="1" si="87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187</v>
      </c>
      <c r="E833" s="21" t="str">
        <f t="shared" si="86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87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224</v>
      </c>
      <c r="E834" s="21" t="str">
        <f t="shared" si="86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87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567</v>
      </c>
      <c r="E835" s="21" t="str">
        <f t="shared" si="86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87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312</v>
      </c>
      <c r="B836" s="20" t="s">
        <v>211</v>
      </c>
      <c r="C836" s="20" t="s">
        <v>208</v>
      </c>
      <c r="E836" s="21" t="str">
        <f t="shared" si="86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87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584</v>
      </c>
      <c r="E837" s="21" t="str">
        <f t="shared" si="86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87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233</v>
      </c>
      <c r="E838" s="21" t="str">
        <f t="shared" si="86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87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585</v>
      </c>
      <c r="B839" s="20" t="s">
        <v>232</v>
      </c>
      <c r="C839" s="20" t="s">
        <v>235</v>
      </c>
      <c r="D839" s="20" t="s">
        <v>236</v>
      </c>
      <c r="E839" s="21"/>
      <c r="F839" s="22" t="s">
        <v>621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87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586</v>
      </c>
      <c r="E840" s="21" t="str">
        <f t="shared" si="86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87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224</v>
      </c>
      <c r="E841" s="21" t="str">
        <f t="shared" si="86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87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278</v>
      </c>
      <c r="B842" s="20" t="s">
        <v>587</v>
      </c>
      <c r="E842" s="21" t="str">
        <f t="shared" si="86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87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367</v>
      </c>
      <c r="B843" s="20" t="s">
        <v>226</v>
      </c>
      <c r="C843" s="20" t="s">
        <v>283</v>
      </c>
      <c r="D843" s="20" t="s">
        <v>236</v>
      </c>
      <c r="E843" s="21"/>
      <c r="F843" s="22" t="s">
        <v>636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87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/>
    </row>
    <row r="844" spans="1:12" x14ac:dyDescent="0.3">
      <c r="A844" t="s">
        <v>291</v>
      </c>
      <c r="E844" s="21" t="str">
        <f t="shared" si="86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87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267</v>
      </c>
      <c r="E845" s="21" t="str">
        <f t="shared" si="86"/>
        <v/>
      </c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87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/>
    </row>
    <row r="846" spans="1:12" x14ac:dyDescent="0.3">
      <c r="A846" t="s">
        <v>251</v>
      </c>
      <c r="B846" s="20" t="s">
        <v>207</v>
      </c>
      <c r="C846" s="20" t="s">
        <v>235</v>
      </c>
      <c r="D846" s="20" t="s">
        <v>236</v>
      </c>
      <c r="E846" s="21" t="s">
        <v>616</v>
      </c>
      <c r="F846" s="22" t="str">
        <f>IF(OR(E846="",E846="!!!"),"",IF(NOT(ISNA(VLOOKUP(E846,E$1:E845,1,FALSE()))),"OLD",IF(AND(E846&lt;&gt;"",E846&lt;&gt;"!!!"),"NEW","")))</f>
        <v>OLD</v>
      </c>
      <c r="G846" s="23" t="s">
        <v>604</v>
      </c>
      <c r="H846" s="24" t="str">
        <f t="shared" ca="1" si="87"/>
        <v/>
      </c>
      <c r="I846" s="25" t="str">
        <f>IF(OR(E846="",E846="!!!",F846="NEW"),"",INDEX(B$2:B845,-1+SUMPRODUCT(MAX(ROW(E$2:E845)*(E846=E$2:E845)))))</f>
        <v>other_4</v>
      </c>
      <c r="J846" s="25">
        <f ca="1">IF(OR(E846="",E846="!!!",F846="NEW"),"",COUNTBLANK(OFFSET(A$1,,,SUMPRODUCT(MAX(ROW(E$2:E846)*(E846=E$2:E846)))))-COUNTBLANK(OFFSET(A$1,,,SUMPRODUCT(MAX(ROW(E$1:E845)*(E2=E$1:E845))))))</f>
        <v>0</v>
      </c>
      <c r="K846" s="25">
        <f ca="1">IF(OR(E846="",E846="!!!",F846="NEW"),"",INDEX(J$1:J845,SUMPRODUCT(MAX(ROW(E$1:E845)*(E846=E$1:E845)))))</f>
        <v>0</v>
      </c>
      <c r="L846" s="26"/>
    </row>
    <row r="847" spans="1:12" x14ac:dyDescent="0.3">
      <c r="A847" t="s">
        <v>242</v>
      </c>
      <c r="E847" s="21" t="str">
        <f t="shared" si="86"/>
        <v/>
      </c>
      <c r="F847" s="22" t="str">
        <f>IF(OR(E847="",E847="!!!"),"",IF(NOT(ISNA(VLOOKUP(E847,E$1:E846,1,FALSE()))),"OLD",IF(AND(E847&lt;&gt;"",E847&lt;&gt;"!!!"),"NEW","")))</f>
        <v/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4" t="str">
        <f t="shared" ca="1" si="87"/>
        <v/>
      </c>
      <c r="I847" s="25" t="str">
        <f>IF(OR(E847="",E847="!!!",F847="NEW"),"",INDEX(B$2:B846,-1+SUMPRODUCT(MAX(ROW(E$2:E846)*(E847=E$2:E846)))))</f>
        <v/>
      </c>
      <c r="J847" s="25" t="str">
        <f ca="1">IF(OR(E847="",E847="!!!",F847="NEW"),"",COUNTBLANK(OFFSET(A$1,,,SUMPRODUCT(MAX(ROW(E$2:E847)*(E847=E$2:E847)))))-COUNTBLANK(OFFSET(A$1,,,SUMPRODUCT(MAX(ROW(E$1:E846)*(E2=E$1:E846))))))</f>
        <v/>
      </c>
      <c r="K847" s="25" t="str">
        <f>IF(OR(E847="",E847="!!!",F847="NEW"),"",INDEX(J$1:J846,SUMPRODUCT(MAX(ROW(E$1:E846)*(E847=E$1:E846)))))</f>
        <v/>
      </c>
      <c r="L847" s="26"/>
    </row>
    <row r="848" spans="1:12" x14ac:dyDescent="0.3">
      <c r="A848" t="s">
        <v>511</v>
      </c>
      <c r="B848" s="20" t="s">
        <v>345</v>
      </c>
      <c r="C848" s="20" t="s">
        <v>244</v>
      </c>
      <c r="D848" s="20" t="s">
        <v>236</v>
      </c>
      <c r="E848" s="21" t="s">
        <v>641</v>
      </c>
      <c r="F848" s="22" t="str">
        <f>IF(OR(E848="",E848="!!!"),"",IF(NOT(ISNA(VLOOKUP(E848,E$1:E847,1,FALSE()))),"OLD",IF(AND(E848&lt;&gt;"",E848&lt;&gt;"!!!"),"NEW","")))</f>
        <v>OLD</v>
      </c>
      <c r="G848" s="23" t="s">
        <v>604</v>
      </c>
      <c r="H848" s="24" t="str">
        <f t="shared" ca="1" si="87"/>
        <v/>
      </c>
      <c r="I848" s="25" t="str">
        <f>IF(OR(E848="",E848="!!!",F848="NEW"),"",INDEX(B$2:B847,-1+SUMPRODUCT(MAX(ROW(E$2:E847)*(E848=E$2:E847)))))</f>
        <v>other_3</v>
      </c>
      <c r="J848" s="25">
        <f ca="1">IF(OR(E848="",E848="!!!",F848="NEW"),"",COUNTBLANK(OFFSET(A$1,,,SUMPRODUCT(MAX(ROW(E$2:E848)*(E848=E$2:E848)))))-COUNTBLANK(OFFSET(A$1,,,SUMPRODUCT(MAX(ROW(E$1:E847)*(E2=E$1:E847))))))</f>
        <v>0</v>
      </c>
      <c r="K848" s="25" t="str">
        <f ca="1">IF(OR(E848="",E848="!!!",F848="NEW"),"",INDEX(J$1:J847,SUMPRODUCT(MAX(ROW(E$1:E847)*(E848=E$1:E847)))))</f>
        <v/>
      </c>
      <c r="L848" s="26"/>
    </row>
    <row r="849" spans="1:12" x14ac:dyDescent="0.3">
      <c r="A849" t="s">
        <v>366</v>
      </c>
      <c r="E849" s="21" t="str">
        <f t="shared" si="86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87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237</v>
      </c>
      <c r="E850" s="21" t="str">
        <f t="shared" si="86"/>
        <v/>
      </c>
      <c r="F850" s="22" t="str">
        <f>IF(OR(E850="",E850="!!!"),"",IF(NOT(ISNA(VLOOKUP(E850,E$1:E849,1,FALSE()))),"OLD",IF(AND(E850&lt;&gt;"",E850&lt;&gt;"!!!"),"NEW","")))</f>
        <v/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4" t="str">
        <f t="shared" ca="1" si="87"/>
        <v/>
      </c>
      <c r="I850" s="25" t="str">
        <f>IF(OR(E850="",E850="!!!",F850="NEW"),"",INDEX(B$2:B849,-1+SUMPRODUCT(MAX(ROW(E$2:E849)*(E850=E$2:E849)))))</f>
        <v/>
      </c>
      <c r="J850" s="25" t="str">
        <f ca="1">IF(OR(E850="",E850="!!!",F850="NEW"),"",COUNTBLANK(OFFSET(A$1,,,SUMPRODUCT(MAX(ROW(E$2:E850)*(E850=E$2:E850)))))-COUNTBLANK(OFFSET(A$1,,,SUMPRODUCT(MAX(ROW(E$1:E849)*(E2=E$1:E849))))))</f>
        <v/>
      </c>
      <c r="K850" s="25" t="str">
        <f>IF(OR(E850="",E850="!!!",F850="NEW"),"",INDEX(J$1:J849,SUMPRODUCT(MAX(ROW(E$1:E849)*(E850=E$1:E849)))))</f>
        <v/>
      </c>
      <c r="L850" s="26"/>
    </row>
    <row r="852" spans="1:12" x14ac:dyDescent="0.3">
      <c r="A852" t="s">
        <v>378</v>
      </c>
      <c r="E852" s="21" t="str">
        <f>IF(D852="?OLD","!!!","")</f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ca="1">IF(J852&lt;&gt;1,"",IF(I852="SBJ","CB","?"))</f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588</v>
      </c>
    </row>
    <row r="854" spans="1:12" x14ac:dyDescent="0.3">
      <c r="A854" t="s">
        <v>205</v>
      </c>
      <c r="E854" s="21" t="str">
        <f t="shared" ref="E854:E874" si="88">IF(D854="?OLD","!!!","")</f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ref="H854:H874" ca="1" si="89">IF(J854&lt;&gt;1,"",IF(I854="SBJ","CB","?"))</f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589</v>
      </c>
      <c r="E855" s="21" t="str">
        <f t="shared" si="88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89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328</v>
      </c>
      <c r="E856" s="21" t="str">
        <f t="shared" si="88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89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590</v>
      </c>
      <c r="E857" s="21" t="str">
        <f t="shared" si="88"/>
        <v/>
      </c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89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/>
    </row>
    <row r="858" spans="1:12" x14ac:dyDescent="0.3">
      <c r="A858" t="s">
        <v>212</v>
      </c>
      <c r="E858" s="21" t="str">
        <f t="shared" si="88"/>
        <v/>
      </c>
      <c r="F858" s="22" t="str">
        <f>IF(OR(E858="",E858="!!!"),"",IF(NOT(ISNA(VLOOKUP(E858,E$1:E857,1,FALSE()))),"OLD",IF(AND(E858&lt;&gt;"",E858&lt;&gt;"!!!"),"NEW","")))</f>
        <v/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4" t="str">
        <f t="shared" ca="1" si="89"/>
        <v/>
      </c>
      <c r="I858" s="25" t="str">
        <f>IF(OR(E858="",E858="!!!",F858="NEW"),"",INDEX(B$2:B857,-1+SUMPRODUCT(MAX(ROW(E$2:E857)*(E858=E$2:E857)))))</f>
        <v/>
      </c>
      <c r="J858" s="25" t="str">
        <f ca="1">IF(OR(E858="",E858="!!!",F858="NEW"),"",COUNTBLANK(OFFSET(A$1,,,SUMPRODUCT(MAX(ROW(E$2:E858)*(E858=E$2:E858)))))-COUNTBLANK(OFFSET(A$1,,,SUMPRODUCT(MAX(ROW(E$1:E857)*(E2=E$1:E857))))))</f>
        <v/>
      </c>
      <c r="K858" s="25" t="str">
        <f>IF(OR(E858="",E858="!!!",F858="NEW"),"",INDEX(J$1:J857,SUMPRODUCT(MAX(ROW(E$1:E857)*(E858=E$1:E857)))))</f>
        <v/>
      </c>
      <c r="L858" s="26"/>
    </row>
    <row r="859" spans="1:12" x14ac:dyDescent="0.3">
      <c r="A859" t="s">
        <v>224</v>
      </c>
      <c r="E859" s="21" t="str">
        <f t="shared" si="88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89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296</v>
      </c>
      <c r="E860" s="21" t="str">
        <f t="shared" si="88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89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367</v>
      </c>
      <c r="B861" s="20" t="s">
        <v>226</v>
      </c>
      <c r="C861" s="20" t="s">
        <v>283</v>
      </c>
      <c r="D861" s="20" t="s">
        <v>236</v>
      </c>
      <c r="E861" s="21"/>
      <c r="F861" s="22" t="s">
        <v>636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89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591</v>
      </c>
      <c r="B862" s="20" t="s">
        <v>587</v>
      </c>
      <c r="C862" s="20" t="s">
        <v>241</v>
      </c>
      <c r="D862" s="20" t="s">
        <v>236</v>
      </c>
      <c r="E862" s="21" t="s">
        <v>616</v>
      </c>
      <c r="F862" s="22" t="str">
        <f>IF(OR(E862="",E862="!!!"),"",IF(NOT(ISNA(VLOOKUP(E862,E$1:E861,1,FALSE()))),"OLD",IF(AND(E862&lt;&gt;"",E862&lt;&gt;"!!!"),"NEW","")))</f>
        <v>OLD</v>
      </c>
      <c r="G862" s="23" t="s">
        <v>669</v>
      </c>
      <c r="H862" s="24" t="s">
        <v>197</v>
      </c>
      <c r="I862" s="25" t="str">
        <f>IF(OR(E862="",E862="!!!",F862="NEW"),"",INDEX(B$2:B861,-1+SUMPRODUCT(MAX(ROW(E$2:E861)*(E862=E$2:E861)))))</f>
        <v>other_3</v>
      </c>
      <c r="J862" s="25">
        <f ca="1">IF(OR(E862="",E862="!!!",F862="NEW"),"",COUNTBLANK(OFFSET(A$1,,,SUMPRODUCT(MAX(ROW(E$2:E862)*(E862=E$2:E862)))))-COUNTBLANK(OFFSET(A$1,,,SUMPRODUCT(MAX(ROW(E$1:E861)*(E2=E$1:E861))))))</f>
        <v>0</v>
      </c>
      <c r="K862" s="25">
        <f ca="1">IF(OR(E862="",E862="!!!",F862="NEW"),"",INDEX(J$1:J861,SUMPRODUCT(MAX(ROW(E$1:E861)*(E862=E$1:E861)))))</f>
        <v>0</v>
      </c>
      <c r="L862" s="26"/>
    </row>
    <row r="863" spans="1:12" x14ac:dyDescent="0.3">
      <c r="A863" t="s">
        <v>366</v>
      </c>
      <c r="E863" s="21" t="str">
        <f t="shared" si="88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89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224</v>
      </c>
      <c r="E864" s="21" t="str">
        <f t="shared" si="88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89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33</v>
      </c>
      <c r="E865" s="21" t="str">
        <f t="shared" si="88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89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592</v>
      </c>
      <c r="B866" s="20" t="s">
        <v>220</v>
      </c>
      <c r="C866" s="20" t="s">
        <v>241</v>
      </c>
      <c r="D866" s="20" t="s">
        <v>236</v>
      </c>
      <c r="E866" s="21" t="s">
        <v>616</v>
      </c>
      <c r="F866" s="22" t="str">
        <f>IF(OR(E866="",E866="!!!"),"",IF(NOT(ISNA(VLOOKUP(E866,E$1:E865,1,FALSE()))),"OLD",IF(AND(E866&lt;&gt;"",E866&lt;&gt;"!!!"),"NEW","")))</f>
        <v>OLD</v>
      </c>
      <c r="G866" s="23" t="s">
        <v>603</v>
      </c>
      <c r="H866" s="24" t="str">
        <f t="shared" ca="1" si="89"/>
        <v/>
      </c>
      <c r="I866" s="25" t="str">
        <f>IF(OR(E866="",E866="!!!",F866="NEW"),"",INDEX(B$2:B865,-1+SUMPRODUCT(MAX(ROW(E$2:E865)*(E866=E$2:E865)))))</f>
        <v>OBJ_3</v>
      </c>
      <c r="J866" s="25">
        <f ca="1">IF(OR(E866="",E866="!!!",F866="NEW"),"",COUNTBLANK(OFFSET(A$1,,,SUMPRODUCT(MAX(ROW(E$2:E866)*(E866=E$2:E866)))))-COUNTBLANK(OFFSET(A$1,,,SUMPRODUCT(MAX(ROW(E$1:E865)*(E2=E$1:E865))))))</f>
        <v>0</v>
      </c>
      <c r="K866" s="25">
        <f ca="1">IF(OR(E866="",E866="!!!",F866="NEW"),"",INDEX(J$1:J865,SUMPRODUCT(MAX(ROW(E$1:E865)*(E866=E$1:E865)))))</f>
        <v>0</v>
      </c>
      <c r="L866" s="26"/>
    </row>
    <row r="867" spans="1:12" x14ac:dyDescent="0.3">
      <c r="A867" t="s">
        <v>441</v>
      </c>
      <c r="E867" s="21" t="str">
        <f t="shared" si="88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89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593</v>
      </c>
      <c r="E868" s="21" t="str">
        <f t="shared" si="88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89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594</v>
      </c>
      <c r="B869" s="20" t="s">
        <v>255</v>
      </c>
      <c r="C869" s="20" t="s">
        <v>252</v>
      </c>
      <c r="E869" s="21" t="str">
        <f t="shared" si="88"/>
        <v/>
      </c>
      <c r="F869" s="22" t="str">
        <f>IF(OR(E869="",E869="!!!"),"",IF(NOT(ISNA(VLOOKUP(E869,E$1:E868,1,FALSE()))),"OLD",IF(AND(E869&lt;&gt;"",E869&lt;&gt;"!!!"),"NEW","")))</f>
        <v/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4" t="str">
        <f t="shared" ca="1" si="89"/>
        <v/>
      </c>
      <c r="I869" s="25" t="str">
        <f>IF(OR(E869="",E869="!!!",F869="NEW"),"",INDEX(B$2:B868,-1+SUMPRODUCT(MAX(ROW(E$2:E868)*(E869=E$2:E868)))))</f>
        <v/>
      </c>
      <c r="J869" s="25" t="str">
        <f ca="1">IF(OR(E869="",E869="!!!",F869="NEW"),"",COUNTBLANK(OFFSET(A$1,,,SUMPRODUCT(MAX(ROW(E$2:E869)*(E869=E$2:E869)))))-COUNTBLANK(OFFSET(A$1,,,SUMPRODUCT(MAX(ROW(E$1:E868)*(E2=E$1:E868))))))</f>
        <v/>
      </c>
      <c r="K869" s="25" t="str">
        <f>IF(OR(E869="",E869="!!!",F869="NEW"),"",INDEX(J$1:J868,SUMPRODUCT(MAX(ROW(E$1:E868)*(E869=E$1:E868)))))</f>
        <v/>
      </c>
      <c r="L869" s="26"/>
    </row>
    <row r="870" spans="1:12" x14ac:dyDescent="0.3">
      <c r="A870" t="s">
        <v>205</v>
      </c>
      <c r="E870" s="21" t="str">
        <f t="shared" si="88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89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1" spans="1:12" x14ac:dyDescent="0.3">
      <c r="A871" t="s">
        <v>224</v>
      </c>
      <c r="E871" s="21" t="str">
        <f t="shared" si="88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89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387</v>
      </c>
      <c r="E872" s="21" t="str">
        <f t="shared" si="88"/>
        <v/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89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314</v>
      </c>
      <c r="B873" s="20" t="s">
        <v>211</v>
      </c>
      <c r="C873" s="20" t="s">
        <v>203</v>
      </c>
      <c r="E873" s="21" t="s">
        <v>610</v>
      </c>
      <c r="F873" s="22" t="str">
        <f>IF(OR(E873="",E873="!!!"),"",IF(NOT(ISNA(VLOOKUP(E873,E$1:E872,1,FALSE()))),"OLD",IF(AND(E873&lt;&gt;"",E873&lt;&gt;"!!!"),"NEW","")))</f>
        <v>OLD</v>
      </c>
      <c r="G873" s="23" t="s">
        <v>604</v>
      </c>
      <c r="H873" s="24" t="str">
        <f t="shared" ca="1" si="89"/>
        <v/>
      </c>
      <c r="I873" s="25" t="str">
        <f>IF(OR(E873="",E873="!!!",F873="NEW"),"",INDEX(B$2:B872,-1+SUMPRODUCT(MAX(ROW(E$2:E872)*(E873=E$2:E872)))))</f>
        <v>OBJ_2</v>
      </c>
      <c r="J873" s="25">
        <f ca="1">IF(OR(E873="",E873="!!!",F873="NEW"),"",COUNTBLANK(OFFSET(A$1,,,SUMPRODUCT(MAX(ROW(E$2:E873)*(E873=E$2:E873)))))-COUNTBLANK(OFFSET(A$1,,,SUMPRODUCT(MAX(ROW(E$1:E872)*(E2=E$1:E872))))))</f>
        <v>0</v>
      </c>
      <c r="K873" s="25">
        <f ca="1">IF(OR(E873="",E873="!!!",F873="NEW"),"",INDEX(J$1:J872,SUMPRODUCT(MAX(ROW(E$1:E872)*(E873=E$1:E872)))))</f>
        <v>0</v>
      </c>
      <c r="L873" s="26"/>
    </row>
    <row r="874" spans="1:12" x14ac:dyDescent="0.3">
      <c r="A874" t="s">
        <v>237</v>
      </c>
      <c r="E874" s="21" t="str">
        <f t="shared" si="88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89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6" spans="1:12" x14ac:dyDescent="0.3">
      <c r="A876" t="s">
        <v>595</v>
      </c>
    </row>
    <row r="877" spans="1:12" x14ac:dyDescent="0.3">
      <c r="A877" t="s">
        <v>596</v>
      </c>
      <c r="B877" s="20" t="s">
        <v>220</v>
      </c>
      <c r="C877" s="20" t="s">
        <v>208</v>
      </c>
      <c r="E877" s="21" t="str">
        <f t="shared" ref="E877:E884" si="90">IF(D877="?OLD","!!!","")</f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ref="H877:H884" ca="1" si="91">IF(J877&lt;&gt;1,"",IF(I877="SBJ","CB","?"))</f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597</v>
      </c>
      <c r="E878" s="21" t="str">
        <f t="shared" si="90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91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575</v>
      </c>
      <c r="E879" s="21" t="str">
        <f t="shared" si="90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91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264</v>
      </c>
      <c r="E880" s="21" t="str">
        <f t="shared" si="90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91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598</v>
      </c>
      <c r="E881" s="21" t="str">
        <f t="shared" si="90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91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251</v>
      </c>
      <c r="B882" s="20" t="s">
        <v>255</v>
      </c>
      <c r="C882" s="20" t="s">
        <v>252</v>
      </c>
      <c r="E882" s="21" t="str">
        <f t="shared" si="90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91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599</v>
      </c>
      <c r="E883" s="21" t="str">
        <f t="shared" si="90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91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237</v>
      </c>
      <c r="E884" s="21" t="str">
        <f t="shared" si="90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91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2024-12-05T17:52:22Z</dcterms:created>
  <dcterms:modified xsi:type="dcterms:W3CDTF">2025-08-29T20:47:18Z</dcterms:modified>
</cp:coreProperties>
</file>