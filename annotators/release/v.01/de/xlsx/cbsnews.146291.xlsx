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A511447E-35EB-4698-A0EE-8E8340E6061D}" xr6:coauthVersionLast="47" xr6:coauthVersionMax="47" xr10:uidLastSave="{00000000-0000-0000-0000-000000000000}"/>
  <bookViews>
    <workbookView xWindow="-96" yWindow="0" windowWidth="15612" windowHeight="12336" xr2:uid="{00000000-000D-0000-FFFF-FFFF00000000}"/>
  </bookViews>
  <sheets>
    <sheet name="sentence-level annotation" sheetId="1" r:id="rId1"/>
    <sheet name="word-level annotation" sheetId="2" r:id="rId2"/>
  </sheets>
  <calcPr calcId="191029"/>
  <fileRecoveryPr repairLoad="1"/>
</workbook>
</file>

<file path=xl/calcChain.xml><?xml version="1.0" encoding="utf-8"?>
<calcChain xmlns="http://schemas.openxmlformats.org/spreadsheetml/2006/main">
  <c r="E942" i="2" l="1"/>
  <c r="G941" i="2"/>
  <c r="E941" i="2"/>
  <c r="F941" i="2" s="1"/>
  <c r="G940" i="2"/>
  <c r="F940" i="2"/>
  <c r="I940" i="2" s="1"/>
  <c r="E940" i="2"/>
  <c r="E939" i="2"/>
  <c r="E938" i="2"/>
  <c r="G938" i="2" s="1"/>
  <c r="K937" i="2"/>
  <c r="E936" i="2"/>
  <c r="G935" i="2"/>
  <c r="F935" i="2"/>
  <c r="K935" i="2" s="1"/>
  <c r="E935" i="2"/>
  <c r="E934" i="2"/>
  <c r="F933" i="2"/>
  <c r="G932" i="2"/>
  <c r="F932" i="2"/>
  <c r="E932" i="2"/>
  <c r="E931" i="2"/>
  <c r="E930" i="2"/>
  <c r="G930" i="2" s="1"/>
  <c r="E929" i="2"/>
  <c r="F929" i="2" s="1"/>
  <c r="K929" i="2" s="1"/>
  <c r="G928" i="2"/>
  <c r="E928" i="2"/>
  <c r="G927" i="2"/>
  <c r="F927" i="2"/>
  <c r="K927" i="2" s="1"/>
  <c r="E927" i="2"/>
  <c r="E926" i="2"/>
  <c r="F924" i="2"/>
  <c r="E923" i="2"/>
  <c r="E922" i="2"/>
  <c r="G922" i="2" s="1"/>
  <c r="E921" i="2"/>
  <c r="F921" i="2" s="1"/>
  <c r="K921" i="2" s="1"/>
  <c r="G920" i="2"/>
  <c r="E920" i="2"/>
  <c r="F920" i="2" s="1"/>
  <c r="G919" i="2"/>
  <c r="F919" i="2"/>
  <c r="K919" i="2" s="1"/>
  <c r="E919" i="2"/>
  <c r="E918" i="2"/>
  <c r="G916" i="2"/>
  <c r="F916" i="2"/>
  <c r="K916" i="2" s="1"/>
  <c r="E916" i="2"/>
  <c r="E914" i="2"/>
  <c r="G914" i="2" s="1"/>
  <c r="E912" i="2"/>
  <c r="F912" i="2" s="1"/>
  <c r="K912" i="2" s="1"/>
  <c r="G910" i="2"/>
  <c r="E910" i="2"/>
  <c r="F910" i="2" s="1"/>
  <c r="F909" i="2"/>
  <c r="E908" i="2"/>
  <c r="G907" i="2"/>
  <c r="E907" i="2"/>
  <c r="G906" i="2"/>
  <c r="F906" i="2"/>
  <c r="E906" i="2"/>
  <c r="E905" i="2"/>
  <c r="E904" i="2"/>
  <c r="G904" i="2" s="1"/>
  <c r="E903" i="2"/>
  <c r="F903" i="2" s="1"/>
  <c r="K903" i="2" s="1"/>
  <c r="G902" i="2"/>
  <c r="F902" i="2"/>
  <c r="J902" i="2" s="1"/>
  <c r="H902" i="2" s="1"/>
  <c r="E902" i="2"/>
  <c r="F901" i="2"/>
  <c r="K901" i="2" s="1"/>
  <c r="E901" i="2"/>
  <c r="G901" i="2" s="1"/>
  <c r="G899" i="2"/>
  <c r="E899" i="2"/>
  <c r="G898" i="2"/>
  <c r="F898" i="2"/>
  <c r="E898" i="2"/>
  <c r="E897" i="2"/>
  <c r="E895" i="2"/>
  <c r="F895" i="2" s="1"/>
  <c r="K895" i="2" s="1"/>
  <c r="G894" i="2"/>
  <c r="F894" i="2"/>
  <c r="K894" i="2" s="1"/>
  <c r="E894" i="2"/>
  <c r="F893" i="2"/>
  <c r="K893" i="2" s="1"/>
  <c r="E893" i="2"/>
  <c r="G893" i="2" s="1"/>
  <c r="E892" i="2"/>
  <c r="G888" i="2"/>
  <c r="F888" i="2"/>
  <c r="E888" i="2"/>
  <c r="F887" i="2"/>
  <c r="E887" i="2"/>
  <c r="E885" i="2"/>
  <c r="F885" i="2" s="1"/>
  <c r="K885" i="2" s="1"/>
  <c r="G884" i="2"/>
  <c r="F884" i="2"/>
  <c r="K884" i="2" s="1"/>
  <c r="E884" i="2"/>
  <c r="F883" i="2"/>
  <c r="E883" i="2"/>
  <c r="G883" i="2" s="1"/>
  <c r="G881" i="2"/>
  <c r="E881" i="2"/>
  <c r="G880" i="2"/>
  <c r="F880" i="2"/>
  <c r="J880" i="2" s="1"/>
  <c r="H880" i="2" s="1"/>
  <c r="E880" i="2"/>
  <c r="E879" i="2"/>
  <c r="E878" i="2"/>
  <c r="E877" i="2"/>
  <c r="F877" i="2" s="1"/>
  <c r="K877" i="2" s="1"/>
  <c r="G876" i="2"/>
  <c r="F876" i="2"/>
  <c r="K876" i="2" s="1"/>
  <c r="E876" i="2"/>
  <c r="F875" i="2"/>
  <c r="E875" i="2"/>
  <c r="G875" i="2" s="1"/>
  <c r="E874" i="2"/>
  <c r="G873" i="2"/>
  <c r="E873" i="2"/>
  <c r="J872" i="2"/>
  <c r="H872" i="2" s="1"/>
  <c r="F871" i="2"/>
  <c r="E871" i="2"/>
  <c r="E870" i="2"/>
  <c r="E869" i="2"/>
  <c r="F869" i="2" s="1"/>
  <c r="K869" i="2" s="1"/>
  <c r="G868" i="2"/>
  <c r="F868" i="2"/>
  <c r="I868" i="2" s="1"/>
  <c r="E868" i="2"/>
  <c r="F867" i="2"/>
  <c r="K867" i="2" s="1"/>
  <c r="E867" i="2"/>
  <c r="G867" i="2" s="1"/>
  <c r="E866" i="2"/>
  <c r="F864" i="2"/>
  <c r="E863" i="2"/>
  <c r="E860" i="2"/>
  <c r="E859" i="2"/>
  <c r="F859" i="2" s="1"/>
  <c r="K859" i="2" s="1"/>
  <c r="G858" i="2"/>
  <c r="F858" i="2"/>
  <c r="J858" i="2" s="1"/>
  <c r="H858" i="2" s="1"/>
  <c r="E858" i="2"/>
  <c r="F857" i="2"/>
  <c r="K857" i="2" s="1"/>
  <c r="E856" i="2"/>
  <c r="G855" i="2"/>
  <c r="E855" i="2"/>
  <c r="G854" i="2"/>
  <c r="F853" i="2"/>
  <c r="E853" i="2"/>
  <c r="E852" i="2"/>
  <c r="E851" i="2"/>
  <c r="F851" i="2" s="1"/>
  <c r="K851" i="2" s="1"/>
  <c r="F850" i="2"/>
  <c r="K850" i="2" s="1"/>
  <c r="F849" i="2"/>
  <c r="E849" i="2"/>
  <c r="E848" i="2"/>
  <c r="F847" i="2"/>
  <c r="G846" i="2"/>
  <c r="F845" i="2"/>
  <c r="E845" i="2"/>
  <c r="F844" i="2"/>
  <c r="I844" i="2" s="1"/>
  <c r="E844" i="2"/>
  <c r="G842" i="2"/>
  <c r="F842" i="2"/>
  <c r="J842" i="2" s="1"/>
  <c r="H842" i="2" s="1"/>
  <c r="E842" i="2"/>
  <c r="F839" i="2"/>
  <c r="K839" i="2" s="1"/>
  <c r="E839" i="2"/>
  <c r="G839" i="2" s="1"/>
  <c r="E838" i="2"/>
  <c r="G837" i="2"/>
  <c r="E837" i="2"/>
  <c r="F837" i="2" s="1"/>
  <c r="G836" i="2"/>
  <c r="F836" i="2"/>
  <c r="I836" i="2" s="1"/>
  <c r="E836" i="2"/>
  <c r="E835" i="2"/>
  <c r="F834" i="2"/>
  <c r="I834" i="2" s="1"/>
  <c r="E834" i="2"/>
  <c r="E833" i="2"/>
  <c r="F832" i="2"/>
  <c r="J832" i="2" s="1"/>
  <c r="H832" i="2" s="1"/>
  <c r="F829" i="2"/>
  <c r="K829" i="2" s="1"/>
  <c r="E829" i="2"/>
  <c r="G829" i="2" s="1"/>
  <c r="G827" i="2"/>
  <c r="F827" i="2"/>
  <c r="K827" i="2" s="1"/>
  <c r="G826" i="2"/>
  <c r="F826" i="2"/>
  <c r="J826" i="2" s="1"/>
  <c r="H826" i="2" s="1"/>
  <c r="E826" i="2"/>
  <c r="F825" i="2"/>
  <c r="I825" i="2" s="1"/>
  <c r="E825" i="2"/>
  <c r="F824" i="2"/>
  <c r="G823" i="2"/>
  <c r="E823" i="2"/>
  <c r="E822" i="2"/>
  <c r="E821" i="2"/>
  <c r="G819" i="2"/>
  <c r="F819" i="2"/>
  <c r="I819" i="2" s="1"/>
  <c r="E819" i="2"/>
  <c r="E818" i="2"/>
  <c r="G817" i="2"/>
  <c r="F817" i="2"/>
  <c r="I817" i="2" s="1"/>
  <c r="E817" i="2"/>
  <c r="F816" i="2"/>
  <c r="I816" i="2" s="1"/>
  <c r="E816" i="2"/>
  <c r="G816" i="2" s="1"/>
  <c r="E815" i="2"/>
  <c r="F814" i="2"/>
  <c r="I814" i="2" s="1"/>
  <c r="G813" i="2"/>
  <c r="E813" i="2"/>
  <c r="F813" i="2" s="1"/>
  <c r="K813" i="2" s="1"/>
  <c r="G812" i="2"/>
  <c r="F812" i="2"/>
  <c r="J812" i="2" s="1"/>
  <c r="H812" i="2" s="1"/>
  <c r="E812" i="2"/>
  <c r="F811" i="2"/>
  <c r="E810" i="2"/>
  <c r="G809" i="2"/>
  <c r="E809" i="2"/>
  <c r="F809" i="2" s="1"/>
  <c r="K809" i="2" s="1"/>
  <c r="G808" i="2"/>
  <c r="F808" i="2"/>
  <c r="I808" i="2" s="1"/>
  <c r="E807" i="2"/>
  <c r="F805" i="2"/>
  <c r="I805" i="2" s="1"/>
  <c r="E805" i="2"/>
  <c r="G805" i="2" s="1"/>
  <c r="G803" i="2"/>
  <c r="E803" i="2"/>
  <c r="F803" i="2" s="1"/>
  <c r="K803" i="2" s="1"/>
  <c r="G802" i="2"/>
  <c r="F802" i="2"/>
  <c r="J802" i="2" s="1"/>
  <c r="H802" i="2" s="1"/>
  <c r="E802" i="2"/>
  <c r="E801" i="2"/>
  <c r="E800" i="2"/>
  <c r="G799" i="2"/>
  <c r="E799" i="2"/>
  <c r="F799" i="2" s="1"/>
  <c r="K799" i="2" s="1"/>
  <c r="G798" i="2"/>
  <c r="F798" i="2"/>
  <c r="I798" i="2" s="1"/>
  <c r="E798" i="2"/>
  <c r="E797" i="2"/>
  <c r="F796" i="2"/>
  <c r="I796" i="2" s="1"/>
  <c r="E796" i="2"/>
  <c r="G796" i="2" s="1"/>
  <c r="G795" i="2"/>
  <c r="E795" i="2"/>
  <c r="F795" i="2" s="1"/>
  <c r="K795" i="2" s="1"/>
  <c r="F794" i="2"/>
  <c r="J794" i="2" s="1"/>
  <c r="H794" i="2" s="1"/>
  <c r="F793" i="2"/>
  <c r="E793" i="2"/>
  <c r="E792" i="2"/>
  <c r="G791" i="2"/>
  <c r="E791" i="2"/>
  <c r="F791" i="2" s="1"/>
  <c r="K791" i="2" s="1"/>
  <c r="G790" i="2"/>
  <c r="F790" i="2"/>
  <c r="I790" i="2" s="1"/>
  <c r="E790" i="2"/>
  <c r="E789" i="2"/>
  <c r="F788" i="2"/>
  <c r="I788" i="2" s="1"/>
  <c r="E788" i="2"/>
  <c r="G788" i="2" s="1"/>
  <c r="G787" i="2"/>
  <c r="G786" i="2"/>
  <c r="F786" i="2"/>
  <c r="J786" i="2" s="1"/>
  <c r="H786" i="2" s="1"/>
  <c r="E786" i="2"/>
  <c r="F785" i="2"/>
  <c r="K785" i="2" s="1"/>
  <c r="E785" i="2"/>
  <c r="G783" i="2"/>
  <c r="E783" i="2"/>
  <c r="F783" i="2" s="1"/>
  <c r="G782" i="2"/>
  <c r="F782" i="2"/>
  <c r="I782" i="2" s="1"/>
  <c r="E782" i="2"/>
  <c r="E781" i="2"/>
  <c r="F780" i="2"/>
  <c r="I780" i="2" s="1"/>
  <c r="E780" i="2"/>
  <c r="G780" i="2" s="1"/>
  <c r="E779" i="2"/>
  <c r="F778" i="2"/>
  <c r="J778" i="2" s="1"/>
  <c r="E777" i="2"/>
  <c r="E776" i="2"/>
  <c r="G775" i="2"/>
  <c r="E775" i="2"/>
  <c r="F775" i="2" s="1"/>
  <c r="J775" i="2" s="1"/>
  <c r="H775" i="2" s="1"/>
  <c r="G774" i="2"/>
  <c r="F774" i="2"/>
  <c r="I774" i="2" s="1"/>
  <c r="E774" i="2"/>
  <c r="E773" i="2"/>
  <c r="F772" i="2"/>
  <c r="I772" i="2" s="1"/>
  <c r="E772" i="2"/>
  <c r="G772" i="2" s="1"/>
  <c r="E771" i="2"/>
  <c r="F770" i="2"/>
  <c r="J770" i="2" s="1"/>
  <c r="H770" i="2" s="1"/>
  <c r="E768" i="2"/>
  <c r="F767" i="2"/>
  <c r="J767" i="2" s="1"/>
  <c r="H767" i="2" s="1"/>
  <c r="G766" i="2"/>
  <c r="G765" i="2"/>
  <c r="E765" i="2"/>
  <c r="F764" i="2"/>
  <c r="I764" i="2" s="1"/>
  <c r="E764" i="2"/>
  <c r="G764" i="2" s="1"/>
  <c r="G761" i="2"/>
  <c r="E761" i="2"/>
  <c r="F760" i="2"/>
  <c r="F759" i="2"/>
  <c r="E759" i="2"/>
  <c r="E758" i="2"/>
  <c r="G757" i="2"/>
  <c r="E757" i="2"/>
  <c r="F757" i="2" s="1"/>
  <c r="G756" i="2"/>
  <c r="F756" i="2"/>
  <c r="E756" i="2"/>
  <c r="G755" i="2"/>
  <c r="E755" i="2"/>
  <c r="F754" i="2"/>
  <c r="I754" i="2" s="1"/>
  <c r="G752" i="2"/>
  <c r="F752" i="2"/>
  <c r="E752" i="2"/>
  <c r="F751" i="2"/>
  <c r="K751" i="2" s="1"/>
  <c r="E751" i="2"/>
  <c r="G749" i="2"/>
  <c r="E749" i="2"/>
  <c r="F749" i="2" s="1"/>
  <c r="J749" i="2" s="1"/>
  <c r="H749" i="2" s="1"/>
  <c r="G748" i="2"/>
  <c r="F748" i="2"/>
  <c r="I748" i="2" s="1"/>
  <c r="E748" i="2"/>
  <c r="E747" i="2"/>
  <c r="F746" i="2"/>
  <c r="I746" i="2" s="1"/>
  <c r="E746" i="2"/>
  <c r="G746" i="2" s="1"/>
  <c r="G744" i="2"/>
  <c r="F744" i="2"/>
  <c r="J744" i="2" s="1"/>
  <c r="H744" i="2" s="1"/>
  <c r="E744" i="2"/>
  <c r="E743" i="2"/>
  <c r="F743" i="2" s="1"/>
  <c r="E742" i="2"/>
  <c r="G740" i="2"/>
  <c r="E740" i="2"/>
  <c r="F740" i="2" s="1"/>
  <c r="K740" i="2" s="1"/>
  <c r="G738" i="2"/>
  <c r="F738" i="2"/>
  <c r="J738" i="2" s="1"/>
  <c r="H738" i="2" s="1"/>
  <c r="E738" i="2"/>
  <c r="E737" i="2"/>
  <c r="E736" i="2"/>
  <c r="G734" i="2"/>
  <c r="F734" i="2"/>
  <c r="J734" i="2" s="1"/>
  <c r="H734" i="2" s="1"/>
  <c r="E734" i="2"/>
  <c r="F733" i="2"/>
  <c r="E733" i="2"/>
  <c r="G733" i="2" s="1"/>
  <c r="E732" i="2"/>
  <c r="G731" i="2"/>
  <c r="E731" i="2"/>
  <c r="F731" i="2" s="1"/>
  <c r="G730" i="2"/>
  <c r="F730" i="2"/>
  <c r="K730" i="2" s="1"/>
  <c r="E730" i="2"/>
  <c r="E729" i="2"/>
  <c r="E727" i="2"/>
  <c r="F726" i="2"/>
  <c r="J726" i="2" s="1"/>
  <c r="H726" i="2" s="1"/>
  <c r="F725" i="2"/>
  <c r="K725" i="2" s="1"/>
  <c r="G725" i="2"/>
  <c r="E724" i="2"/>
  <c r="G723" i="2"/>
  <c r="E723" i="2"/>
  <c r="F723" i="2" s="1"/>
  <c r="G720" i="2"/>
  <c r="F720" i="2"/>
  <c r="K720" i="2" s="1"/>
  <c r="E720" i="2"/>
  <c r="F719" i="2"/>
  <c r="E719" i="2"/>
  <c r="E718" i="2"/>
  <c r="G716" i="2"/>
  <c r="F716" i="2"/>
  <c r="K716" i="2" s="1"/>
  <c r="E716" i="2"/>
  <c r="F715" i="2"/>
  <c r="K715" i="2" s="1"/>
  <c r="E715" i="2"/>
  <c r="G715" i="2" s="1"/>
  <c r="E714" i="2"/>
  <c r="G713" i="2"/>
  <c r="E713" i="2"/>
  <c r="F713" i="2" s="1"/>
  <c r="G712" i="2"/>
  <c r="F712" i="2"/>
  <c r="E712" i="2"/>
  <c r="E711" i="2"/>
  <c r="E710" i="2"/>
  <c r="E709" i="2"/>
  <c r="G708" i="2"/>
  <c r="F708" i="2"/>
  <c r="J708" i="2" s="1"/>
  <c r="H708" i="2" s="1"/>
  <c r="E708" i="2"/>
  <c r="F707" i="2"/>
  <c r="K707" i="2" s="1"/>
  <c r="E707" i="2"/>
  <c r="G707" i="2" s="1"/>
  <c r="E706" i="2"/>
  <c r="F705" i="2"/>
  <c r="G704" i="2"/>
  <c r="F704" i="2"/>
  <c r="K704" i="2" s="1"/>
  <c r="E704" i="2"/>
  <c r="F703" i="2"/>
  <c r="E703" i="2"/>
  <c r="E702" i="2"/>
  <c r="E701" i="2"/>
  <c r="G700" i="2"/>
  <c r="F700" i="2"/>
  <c r="J700" i="2" s="1"/>
  <c r="H700" i="2" s="1"/>
  <c r="E700" i="2"/>
  <c r="F699" i="2"/>
  <c r="K699" i="2" s="1"/>
  <c r="G697" i="2"/>
  <c r="E697" i="2"/>
  <c r="F697" i="2" s="1"/>
  <c r="G696" i="2"/>
  <c r="K696" i="2"/>
  <c r="E695" i="2"/>
  <c r="F692" i="2"/>
  <c r="E692" i="2"/>
  <c r="E691" i="2"/>
  <c r="G690" i="2"/>
  <c r="F690" i="2"/>
  <c r="K690" i="2" s="1"/>
  <c r="E690" i="2"/>
  <c r="E688" i="2"/>
  <c r="G687" i="2"/>
  <c r="E687" i="2"/>
  <c r="F687" i="2" s="1"/>
  <c r="I687" i="2" s="1"/>
  <c r="G686" i="2"/>
  <c r="F686" i="2"/>
  <c r="I686" i="2" s="1"/>
  <c r="E686" i="2"/>
  <c r="E685" i="2"/>
  <c r="E683" i="2"/>
  <c r="G682" i="2"/>
  <c r="F682" i="2"/>
  <c r="K682" i="2" s="1"/>
  <c r="E682" i="2"/>
  <c r="E681" i="2"/>
  <c r="G681" i="2" s="1"/>
  <c r="G679" i="2"/>
  <c r="E679" i="2"/>
  <c r="F679" i="2" s="1"/>
  <c r="K679" i="2" s="1"/>
  <c r="G676" i="2"/>
  <c r="F676" i="2"/>
  <c r="E676" i="2"/>
  <c r="G675" i="2"/>
  <c r="E675" i="2"/>
  <c r="E674" i="2"/>
  <c r="E673" i="2"/>
  <c r="G672" i="2"/>
  <c r="F672" i="2"/>
  <c r="K672" i="2" s="1"/>
  <c r="E672" i="2"/>
  <c r="E670" i="2"/>
  <c r="G669" i="2"/>
  <c r="E669" i="2"/>
  <c r="F669" i="2" s="1"/>
  <c r="K669" i="2" s="1"/>
  <c r="G668" i="2"/>
  <c r="F668" i="2"/>
  <c r="K668" i="2" s="1"/>
  <c r="E668" i="2"/>
  <c r="E667" i="2"/>
  <c r="E666" i="2"/>
  <c r="G665" i="2"/>
  <c r="E665" i="2"/>
  <c r="F664" i="2"/>
  <c r="K664" i="2" s="1"/>
  <c r="F663" i="2"/>
  <c r="K663" i="2" s="1"/>
  <c r="E663" i="2"/>
  <c r="E662" i="2"/>
  <c r="E661" i="2"/>
  <c r="G660" i="2"/>
  <c r="F660" i="2"/>
  <c r="E660" i="2"/>
  <c r="F657" i="2"/>
  <c r="J657" i="2" s="1"/>
  <c r="H657" i="2" s="1"/>
  <c r="E657" i="2"/>
  <c r="G657" i="2" s="1"/>
  <c r="E656" i="2"/>
  <c r="G655" i="2"/>
  <c r="E655" i="2"/>
  <c r="G654" i="2"/>
  <c r="F654" i="2"/>
  <c r="J654" i="2" s="1"/>
  <c r="H654" i="2" s="1"/>
  <c r="E654" i="2"/>
  <c r="G653" i="2"/>
  <c r="F653" i="2"/>
  <c r="J653" i="2" s="1"/>
  <c r="H653" i="2" s="1"/>
  <c r="E653" i="2"/>
  <c r="E652" i="2"/>
  <c r="E651" i="2"/>
  <c r="F650" i="2"/>
  <c r="J650" i="2" s="1"/>
  <c r="H650" i="2" s="1"/>
  <c r="E650" i="2"/>
  <c r="G650" i="2" s="1"/>
  <c r="F649" i="2"/>
  <c r="G648" i="2"/>
  <c r="F648" i="2"/>
  <c r="I648" i="2" s="1"/>
  <c r="E648" i="2"/>
  <c r="F647" i="2"/>
  <c r="I647" i="2" s="1"/>
  <c r="G645" i="2"/>
  <c r="E645" i="2"/>
  <c r="F644" i="2"/>
  <c r="K644" i="2" s="1"/>
  <c r="E643" i="2"/>
  <c r="F642" i="2"/>
  <c r="J642" i="2" s="1"/>
  <c r="H642" i="2" s="1"/>
  <c r="G641" i="2"/>
  <c r="E641" i="2"/>
  <c r="F641" i="2" s="1"/>
  <c r="F640" i="2"/>
  <c r="I640" i="2" s="1"/>
  <c r="E639" i="2"/>
  <c r="G637" i="2"/>
  <c r="E637" i="2"/>
  <c r="F636" i="2"/>
  <c r="E636" i="2"/>
  <c r="E635" i="2"/>
  <c r="F634" i="2"/>
  <c r="K634" i="2" s="1"/>
  <c r="E634" i="2"/>
  <c r="G634" i="2" s="1"/>
  <c r="G633" i="2"/>
  <c r="E633" i="2"/>
  <c r="F633" i="2" s="1"/>
  <c r="K633" i="2" s="1"/>
  <c r="F632" i="2"/>
  <c r="F631" i="2"/>
  <c r="E631" i="2"/>
  <c r="E628" i="2"/>
  <c r="G627" i="2"/>
  <c r="E627" i="2"/>
  <c r="F626" i="2"/>
  <c r="K626" i="2" s="1"/>
  <c r="E626" i="2"/>
  <c r="E625" i="2"/>
  <c r="I624" i="2"/>
  <c r="G623" i="2"/>
  <c r="E623" i="2"/>
  <c r="F623" i="2" s="1"/>
  <c r="K623" i="2" s="1"/>
  <c r="F622" i="2"/>
  <c r="I622" i="2" s="1"/>
  <c r="F621" i="2"/>
  <c r="I621" i="2" s="1"/>
  <c r="E621" i="2"/>
  <c r="E620" i="2"/>
  <c r="F618" i="2"/>
  <c r="K618" i="2" s="1"/>
  <c r="E618" i="2"/>
  <c r="E617" i="2"/>
  <c r="F616" i="2"/>
  <c r="J616" i="2" s="1"/>
  <c r="H616" i="2" s="1"/>
  <c r="E616" i="2"/>
  <c r="G616" i="2" s="1"/>
  <c r="G615" i="2"/>
  <c r="E615" i="2"/>
  <c r="F615" i="2" s="1"/>
  <c r="J615" i="2" s="1"/>
  <c r="H615" i="2" s="1"/>
  <c r="F614" i="2"/>
  <c r="J614" i="2" s="1"/>
  <c r="E611" i="2"/>
  <c r="E610" i="2"/>
  <c r="E609" i="2"/>
  <c r="E608" i="2"/>
  <c r="E607" i="2"/>
  <c r="F606" i="2"/>
  <c r="J606" i="2" s="1"/>
  <c r="H606" i="2" s="1"/>
  <c r="E606" i="2"/>
  <c r="G606" i="2" s="1"/>
  <c r="F605" i="2"/>
  <c r="G604" i="2"/>
  <c r="F604" i="2"/>
  <c r="K604" i="2" s="1"/>
  <c r="E604" i="2"/>
  <c r="G603" i="2"/>
  <c r="E603" i="2"/>
  <c r="G602" i="2"/>
  <c r="E602" i="2"/>
  <c r="E600" i="2"/>
  <c r="F598" i="2"/>
  <c r="J598" i="2" s="1"/>
  <c r="H598" i="2" s="1"/>
  <c r="E598" i="2"/>
  <c r="G598" i="2" s="1"/>
  <c r="E597" i="2"/>
  <c r="F597" i="2" s="1"/>
  <c r="K597" i="2" s="1"/>
  <c r="G596" i="2"/>
  <c r="F596" i="2"/>
  <c r="K596" i="2" s="1"/>
  <c r="E596" i="2"/>
  <c r="G595" i="2"/>
  <c r="E595" i="2"/>
  <c r="E594" i="2"/>
  <c r="F593" i="2"/>
  <c r="F592" i="2"/>
  <c r="E592" i="2"/>
  <c r="E589" i="2"/>
  <c r="F589" i="2" s="1"/>
  <c r="K589" i="2" s="1"/>
  <c r="F588" i="2"/>
  <c r="I588" i="2" s="1"/>
  <c r="E588" i="2"/>
  <c r="G588" i="2" s="1"/>
  <c r="E587" i="2"/>
  <c r="F587" i="2" s="1"/>
  <c r="I587" i="2" s="1"/>
  <c r="G586" i="2"/>
  <c r="F586" i="2"/>
  <c r="K586" i="2" s="1"/>
  <c r="E586" i="2"/>
  <c r="G585" i="2"/>
  <c r="E583" i="2"/>
  <c r="F582" i="2"/>
  <c r="E582" i="2"/>
  <c r="E581" i="2"/>
  <c r="F581" i="2" s="1"/>
  <c r="I581" i="2" s="1"/>
  <c r="F580" i="2"/>
  <c r="E580" i="2"/>
  <c r="G580" i="2" s="1"/>
  <c r="E579" i="2"/>
  <c r="F579" i="2" s="1"/>
  <c r="I579" i="2" s="1"/>
  <c r="F578" i="2"/>
  <c r="J578" i="2" s="1"/>
  <c r="H578" i="2" s="1"/>
  <c r="G577" i="2"/>
  <c r="E577" i="2"/>
  <c r="E576" i="2"/>
  <c r="G575" i="2"/>
  <c r="F575" i="2"/>
  <c r="E575" i="2"/>
  <c r="E574" i="2"/>
  <c r="G573" i="2"/>
  <c r="E573" i="2"/>
  <c r="F573" i="2" s="1"/>
  <c r="I573" i="2" s="1"/>
  <c r="G572" i="2"/>
  <c r="F572" i="2"/>
  <c r="E572" i="2"/>
  <c r="E571" i="2"/>
  <c r="G570" i="2"/>
  <c r="F570" i="2"/>
  <c r="I570" i="2" s="1"/>
  <c r="E570" i="2"/>
  <c r="E569" i="2"/>
  <c r="G568" i="2"/>
  <c r="F568" i="2"/>
  <c r="K568" i="2" s="1"/>
  <c r="E568" i="2"/>
  <c r="E567" i="2"/>
  <c r="F566" i="2"/>
  <c r="E565" i="2"/>
  <c r="G564" i="2"/>
  <c r="F564" i="2"/>
  <c r="J564" i="2" s="1"/>
  <c r="H564" i="2" s="1"/>
  <c r="E564" i="2"/>
  <c r="G563" i="2"/>
  <c r="F563" i="2"/>
  <c r="J563" i="2" s="1"/>
  <c r="H563" i="2" s="1"/>
  <c r="E563" i="2"/>
  <c r="E562" i="2"/>
  <c r="F561" i="2"/>
  <c r="I561" i="2" s="1"/>
  <c r="E559" i="2"/>
  <c r="G557" i="2"/>
  <c r="F557" i="2"/>
  <c r="I557" i="2" s="1"/>
  <c r="E557" i="2"/>
  <c r="E556" i="2"/>
  <c r="G555" i="2"/>
  <c r="E555" i="2"/>
  <c r="F555" i="2" s="1"/>
  <c r="I555" i="2" s="1"/>
  <c r="E553" i="2"/>
  <c r="G552" i="2"/>
  <c r="E552" i="2"/>
  <c r="G551" i="2"/>
  <c r="F551" i="2"/>
  <c r="K551" i="2" s="1"/>
  <c r="E551" i="2"/>
  <c r="E549" i="2"/>
  <c r="G548" i="2"/>
  <c r="E548" i="2"/>
  <c r="F548" i="2" s="1"/>
  <c r="I548" i="2" s="1"/>
  <c r="G547" i="2"/>
  <c r="F547" i="2"/>
  <c r="I547" i="2" s="1"/>
  <c r="E547" i="2"/>
  <c r="E546" i="2"/>
  <c r="G544" i="2"/>
  <c r="E544" i="2"/>
  <c r="F543" i="2"/>
  <c r="K543" i="2" s="1"/>
  <c r="E542" i="2"/>
  <c r="E541" i="2"/>
  <c r="G540" i="2"/>
  <c r="E540" i="2"/>
  <c r="F540" i="2" s="1"/>
  <c r="I540" i="2" s="1"/>
  <c r="F539" i="2"/>
  <c r="I539" i="2" s="1"/>
  <c r="F538" i="2"/>
  <c r="I538" i="2" s="1"/>
  <c r="E538" i="2"/>
  <c r="E537" i="2"/>
  <c r="G536" i="2"/>
  <c r="E536" i="2"/>
  <c r="G535" i="2"/>
  <c r="F535" i="2"/>
  <c r="K535" i="2" s="1"/>
  <c r="E535" i="2"/>
  <c r="F534" i="2"/>
  <c r="I534" i="2" s="1"/>
  <c r="E534" i="2"/>
  <c r="E533" i="2"/>
  <c r="G532" i="2"/>
  <c r="E532" i="2"/>
  <c r="F532" i="2" s="1"/>
  <c r="I532" i="2" s="1"/>
  <c r="I531" i="2"/>
  <c r="E530" i="2"/>
  <c r="E528" i="2"/>
  <c r="G527" i="2"/>
  <c r="F527" i="2"/>
  <c r="K527" i="2" s="1"/>
  <c r="E527" i="2"/>
  <c r="E526" i="2"/>
  <c r="G526" i="2" s="1"/>
  <c r="G522" i="2"/>
  <c r="E522" i="2"/>
  <c r="F522" i="2" s="1"/>
  <c r="I522" i="2" s="1"/>
  <c r="G521" i="2"/>
  <c r="F521" i="2"/>
  <c r="E521" i="2"/>
  <c r="F520" i="2"/>
  <c r="J520" i="2" s="1"/>
  <c r="H520" i="2" s="1"/>
  <c r="E520" i="2"/>
  <c r="E519" i="2"/>
  <c r="G518" i="2"/>
  <c r="E518" i="2"/>
  <c r="G517" i="2"/>
  <c r="F517" i="2"/>
  <c r="K517" i="2" s="1"/>
  <c r="E517" i="2"/>
  <c r="E515" i="2"/>
  <c r="F514" i="2"/>
  <c r="I514" i="2" s="1"/>
  <c r="G513" i="2"/>
  <c r="F513" i="2"/>
  <c r="I513" i="2" s="1"/>
  <c r="E513" i="2"/>
  <c r="G512" i="2"/>
  <c r="E512" i="2"/>
  <c r="E511" i="2"/>
  <c r="F508" i="2"/>
  <c r="E507" i="2"/>
  <c r="F506" i="2"/>
  <c r="G505" i="2"/>
  <c r="F505" i="2"/>
  <c r="I505" i="2" s="1"/>
  <c r="E505" i="2"/>
  <c r="G504" i="2"/>
  <c r="E504" i="2"/>
  <c r="F503" i="2"/>
  <c r="E503" i="2"/>
  <c r="G499" i="2"/>
  <c r="F499" i="2"/>
  <c r="K499" i="2" s="1"/>
  <c r="E499" i="2"/>
  <c r="E498" i="2"/>
  <c r="G498" i="2" s="1"/>
  <c r="E497" i="2"/>
  <c r="F496" i="2"/>
  <c r="G495" i="2"/>
  <c r="F495" i="2"/>
  <c r="I495" i="2" s="1"/>
  <c r="E495" i="2"/>
  <c r="E494" i="2"/>
  <c r="E493" i="2"/>
  <c r="E492" i="2"/>
  <c r="F491" i="2"/>
  <c r="J491" i="2" s="1"/>
  <c r="H491" i="2" s="1"/>
  <c r="E491" i="2"/>
  <c r="G490" i="2"/>
  <c r="E490" i="2"/>
  <c r="E489" i="2"/>
  <c r="G489" i="2" s="1"/>
  <c r="E488" i="2"/>
  <c r="G487" i="2"/>
  <c r="F487" i="2"/>
  <c r="K487" i="2" s="1"/>
  <c r="E487" i="2"/>
  <c r="F486" i="2"/>
  <c r="G485" i="2"/>
  <c r="E485" i="2"/>
  <c r="G484" i="2"/>
  <c r="E484" i="2"/>
  <c r="E483" i="2"/>
  <c r="F482" i="2"/>
  <c r="J482" i="2" s="1"/>
  <c r="H482" i="2" s="1"/>
  <c r="E481" i="2"/>
  <c r="G481" i="2" s="1"/>
  <c r="E480" i="2"/>
  <c r="G479" i="2"/>
  <c r="F479" i="2"/>
  <c r="E479" i="2"/>
  <c r="F477" i="2"/>
  <c r="I477" i="2" s="1"/>
  <c r="E477" i="2"/>
  <c r="G476" i="2"/>
  <c r="E476" i="2"/>
  <c r="E474" i="2"/>
  <c r="F473" i="2"/>
  <c r="J473" i="2" s="1"/>
  <c r="H473" i="2" s="1"/>
  <c r="F472" i="2"/>
  <c r="J472" i="2" s="1"/>
  <c r="G469" i="2"/>
  <c r="F469" i="2"/>
  <c r="E469" i="2"/>
  <c r="F466" i="2"/>
  <c r="I466" i="2" s="1"/>
  <c r="E466" i="2"/>
  <c r="G462" i="2"/>
  <c r="E462" i="2"/>
  <c r="F462" i="2" s="1"/>
  <c r="K462" i="2" s="1"/>
  <c r="F461" i="2"/>
  <c r="G460" i="2"/>
  <c r="E460" i="2"/>
  <c r="G459" i="2"/>
  <c r="F459" i="2"/>
  <c r="E459" i="2"/>
  <c r="E458" i="2"/>
  <c r="G457" i="2"/>
  <c r="F457" i="2"/>
  <c r="J457" i="2" s="1"/>
  <c r="H457" i="2" s="1"/>
  <c r="E457" i="2"/>
  <c r="F456" i="2"/>
  <c r="I456" i="2" s="1"/>
  <c r="E456" i="2"/>
  <c r="E455" i="2"/>
  <c r="G454" i="2"/>
  <c r="E454" i="2"/>
  <c r="F454" i="2" s="1"/>
  <c r="K454" i="2" s="1"/>
  <c r="I453" i="2"/>
  <c r="E452" i="2"/>
  <c r="G451" i="2"/>
  <c r="F451" i="2"/>
  <c r="E451" i="2"/>
  <c r="G450" i="2"/>
  <c r="E450" i="2"/>
  <c r="G449" i="2"/>
  <c r="F449" i="2"/>
  <c r="J449" i="2" s="1"/>
  <c r="H449" i="2" s="1"/>
  <c r="E449" i="2"/>
  <c r="E447" i="2"/>
  <c r="G445" i="2"/>
  <c r="E445" i="2"/>
  <c r="F445" i="2" s="1"/>
  <c r="G443" i="2"/>
  <c r="F443" i="2"/>
  <c r="I443" i="2" s="1"/>
  <c r="E443" i="2"/>
  <c r="G442" i="2"/>
  <c r="E442" i="2"/>
  <c r="G441" i="2"/>
  <c r="F441" i="2"/>
  <c r="J441" i="2" s="1"/>
  <c r="H441" i="2" s="1"/>
  <c r="E441" i="2"/>
  <c r="G440" i="2"/>
  <c r="E440" i="2"/>
  <c r="G439" i="2"/>
  <c r="F439" i="2"/>
  <c r="J439" i="2" s="1"/>
  <c r="H439" i="2" s="1"/>
  <c r="E439" i="2"/>
  <c r="F438" i="2"/>
  <c r="K438" i="2" s="1"/>
  <c r="E437" i="2"/>
  <c r="G436" i="2"/>
  <c r="E436" i="2"/>
  <c r="F436" i="2" s="1"/>
  <c r="K436" i="2" s="1"/>
  <c r="G435" i="2"/>
  <c r="F435" i="2"/>
  <c r="I435" i="2" s="1"/>
  <c r="E435" i="2"/>
  <c r="E434" i="2"/>
  <c r="G433" i="2"/>
  <c r="F433" i="2"/>
  <c r="J433" i="2" s="1"/>
  <c r="H433" i="2" s="1"/>
  <c r="E433" i="2"/>
  <c r="E432" i="2"/>
  <c r="G431" i="2"/>
  <c r="F431" i="2"/>
  <c r="J431" i="2" s="1"/>
  <c r="H431" i="2" s="1"/>
  <c r="E431" i="2"/>
  <c r="F430" i="2"/>
  <c r="E429" i="2"/>
  <c r="G428" i="2"/>
  <c r="E428" i="2"/>
  <c r="F428" i="2" s="1"/>
  <c r="G427" i="2"/>
  <c r="F427" i="2"/>
  <c r="I427" i="2" s="1"/>
  <c r="E427" i="2"/>
  <c r="G423" i="2"/>
  <c r="F423" i="2"/>
  <c r="J423" i="2" s="1"/>
  <c r="H423" i="2" s="1"/>
  <c r="E423" i="2"/>
  <c r="E422" i="2"/>
  <c r="G421" i="2"/>
  <c r="F421" i="2"/>
  <c r="J421" i="2" s="1"/>
  <c r="H421" i="2" s="1"/>
  <c r="E421" i="2"/>
  <c r="E420" i="2"/>
  <c r="E419" i="2"/>
  <c r="G418" i="2"/>
  <c r="E418" i="2"/>
  <c r="F418" i="2" s="1"/>
  <c r="K418" i="2" s="1"/>
  <c r="G417" i="2"/>
  <c r="F417" i="2"/>
  <c r="I417" i="2" s="1"/>
  <c r="E417" i="2"/>
  <c r="E416" i="2"/>
  <c r="F415" i="2"/>
  <c r="G413" i="2"/>
  <c r="F413" i="2"/>
  <c r="J413" i="2" s="1"/>
  <c r="H413" i="2" s="1"/>
  <c r="E413" i="2"/>
  <c r="F412" i="2"/>
  <c r="E412" i="2"/>
  <c r="E411" i="2"/>
  <c r="E410" i="2"/>
  <c r="F409" i="2"/>
  <c r="E409" i="2"/>
  <c r="G409" i="2" s="1"/>
  <c r="E408" i="2"/>
  <c r="G407" i="2"/>
  <c r="F407" i="2"/>
  <c r="I407" i="2" s="1"/>
  <c r="E407" i="2"/>
  <c r="E406" i="2"/>
  <c r="F405" i="2"/>
  <c r="E405" i="2"/>
  <c r="F404" i="2"/>
  <c r="E403" i="2"/>
  <c r="F401" i="2"/>
  <c r="J401" i="2" s="1"/>
  <c r="H401" i="2" s="1"/>
  <c r="E401" i="2"/>
  <c r="G401" i="2" s="1"/>
  <c r="E400" i="2"/>
  <c r="G399" i="2"/>
  <c r="F399" i="2"/>
  <c r="E399" i="2"/>
  <c r="E398" i="2"/>
  <c r="F397" i="2"/>
  <c r="J397" i="2" s="1"/>
  <c r="H397" i="2" s="1"/>
  <c r="G396" i="2"/>
  <c r="F396" i="2"/>
  <c r="E396" i="2"/>
  <c r="F395" i="2"/>
  <c r="E392" i="2"/>
  <c r="F391" i="2"/>
  <c r="E391" i="2"/>
  <c r="G391" i="2" s="1"/>
  <c r="E390" i="2"/>
  <c r="F389" i="2"/>
  <c r="I389" i="2" s="1"/>
  <c r="E388" i="2"/>
  <c r="F387" i="2"/>
  <c r="G386" i="2"/>
  <c r="F386" i="2"/>
  <c r="E386" i="2"/>
  <c r="E385" i="2"/>
  <c r="F383" i="2"/>
  <c r="J383" i="2" s="1"/>
  <c r="H383" i="2" s="1"/>
  <c r="E383" i="2"/>
  <c r="G383" i="2" s="1"/>
  <c r="E382" i="2"/>
  <c r="G381" i="2"/>
  <c r="F381" i="2"/>
  <c r="E381" i="2"/>
  <c r="E380" i="2"/>
  <c r="F379" i="2"/>
  <c r="J379" i="2" s="1"/>
  <c r="H379" i="2" s="1"/>
  <c r="G378" i="2"/>
  <c r="F378" i="2"/>
  <c r="E378" i="2"/>
  <c r="F377" i="2"/>
  <c r="J377" i="2" s="1"/>
  <c r="H377" i="2" s="1"/>
  <c r="E377" i="2"/>
  <c r="E376" i="2"/>
  <c r="F375" i="2"/>
  <c r="G373" i="2"/>
  <c r="F373" i="2"/>
  <c r="I373" i="2" s="1"/>
  <c r="E373" i="2"/>
  <c r="G370" i="2"/>
  <c r="F370" i="2"/>
  <c r="E370" i="2"/>
  <c r="E369" i="2"/>
  <c r="G365" i="2"/>
  <c r="F365" i="2"/>
  <c r="K365" i="2" s="1"/>
  <c r="E365" i="2"/>
  <c r="F364" i="2"/>
  <c r="F363" i="2"/>
  <c r="I363" i="2" s="1"/>
  <c r="E363" i="2"/>
  <c r="G363" i="2" s="1"/>
  <c r="G361" i="2"/>
  <c r="E361" i="2"/>
  <c r="F361" i="2" s="1"/>
  <c r="K361" i="2" s="1"/>
  <c r="G360" i="2"/>
  <c r="F360" i="2"/>
  <c r="K360" i="2" s="1"/>
  <c r="E360" i="2"/>
  <c r="E358" i="2"/>
  <c r="F357" i="2"/>
  <c r="K357" i="2" s="1"/>
  <c r="G356" i="2"/>
  <c r="J356" i="2"/>
  <c r="H356" i="2" s="1"/>
  <c r="F355" i="2"/>
  <c r="E355" i="2"/>
  <c r="E354" i="2"/>
  <c r="F353" i="2"/>
  <c r="K353" i="2" s="1"/>
  <c r="G352" i="2"/>
  <c r="F352" i="2"/>
  <c r="I352" i="2" s="1"/>
  <c r="E352" i="2"/>
  <c r="F351" i="2"/>
  <c r="E351" i="2"/>
  <c r="E350" i="2"/>
  <c r="G349" i="2"/>
  <c r="F349" i="2"/>
  <c r="I349" i="2" s="1"/>
  <c r="E349" i="2"/>
  <c r="G348" i="2"/>
  <c r="F348" i="2"/>
  <c r="K348" i="2" s="1"/>
  <c r="E348" i="2"/>
  <c r="F347" i="2"/>
  <c r="J347" i="2" s="1"/>
  <c r="H347" i="2" s="1"/>
  <c r="E347" i="2"/>
  <c r="G343" i="2"/>
  <c r="E343" i="2"/>
  <c r="F343" i="2" s="1"/>
  <c r="K343" i="2" s="1"/>
  <c r="G342" i="2"/>
  <c r="F342" i="2"/>
  <c r="I342" i="2" s="1"/>
  <c r="E342" i="2"/>
  <c r="F341" i="2"/>
  <c r="K341" i="2" s="1"/>
  <c r="E341" i="2"/>
  <c r="G341" i="2" s="1"/>
  <c r="E340" i="2"/>
  <c r="G339" i="2"/>
  <c r="F339" i="2"/>
  <c r="K339" i="2" s="1"/>
  <c r="E339" i="2"/>
  <c r="G338" i="2"/>
  <c r="F338" i="2"/>
  <c r="J338" i="2" s="1"/>
  <c r="H338" i="2" s="1"/>
  <c r="E338" i="2"/>
  <c r="F337" i="2"/>
  <c r="E336" i="2"/>
  <c r="G335" i="2"/>
  <c r="E335" i="2"/>
  <c r="G334" i="2"/>
  <c r="F334" i="2"/>
  <c r="E334" i="2"/>
  <c r="F333" i="2"/>
  <c r="J333" i="2" s="1"/>
  <c r="H333" i="2" s="1"/>
  <c r="E333" i="2"/>
  <c r="G333" i="2" s="1"/>
  <c r="G332" i="2"/>
  <c r="E332" i="2"/>
  <c r="F331" i="2"/>
  <c r="E330" i="2"/>
  <c r="E329" i="2"/>
  <c r="E328" i="2"/>
  <c r="G327" i="2"/>
  <c r="E327" i="2"/>
  <c r="F326" i="2"/>
  <c r="J326" i="2" s="1"/>
  <c r="H326" i="2" s="1"/>
  <c r="F325" i="2"/>
  <c r="K325" i="2" s="1"/>
  <c r="E325" i="2"/>
  <c r="G325" i="2" s="1"/>
  <c r="G323" i="2"/>
  <c r="F323" i="2"/>
  <c r="K323" i="2" s="1"/>
  <c r="E323" i="2"/>
  <c r="E322" i="2"/>
  <c r="F321" i="2"/>
  <c r="F320" i="2"/>
  <c r="K320" i="2" s="1"/>
  <c r="E320" i="2"/>
  <c r="G319" i="2"/>
  <c r="E319" i="2"/>
  <c r="G318" i="2"/>
  <c r="F318" i="2"/>
  <c r="E318" i="2"/>
  <c r="F317" i="2"/>
  <c r="J317" i="2" s="1"/>
  <c r="H317" i="2" s="1"/>
  <c r="G315" i="2"/>
  <c r="F315" i="2"/>
  <c r="I315" i="2" s="1"/>
  <c r="E315" i="2"/>
  <c r="E312" i="2"/>
  <c r="G311" i="2"/>
  <c r="F311" i="2"/>
  <c r="J311" i="2" s="1"/>
  <c r="H311" i="2" s="1"/>
  <c r="E311" i="2"/>
  <c r="E310" i="2"/>
  <c r="E309" i="2"/>
  <c r="G309" i="2" s="1"/>
  <c r="F308" i="2"/>
  <c r="J308" i="2" s="1"/>
  <c r="H308" i="2" s="1"/>
  <c r="G307" i="2"/>
  <c r="E307" i="2"/>
  <c r="F307" i="2" s="1"/>
  <c r="G306" i="2"/>
  <c r="F306" i="2"/>
  <c r="E306" i="2"/>
  <c r="E305" i="2"/>
  <c r="G304" i="2"/>
  <c r="F304" i="2"/>
  <c r="I304" i="2" s="1"/>
  <c r="E304" i="2"/>
  <c r="F303" i="2"/>
  <c r="I303" i="2" s="1"/>
  <c r="E302" i="2"/>
  <c r="E301" i="2"/>
  <c r="G301" i="2" s="1"/>
  <c r="F300" i="2"/>
  <c r="J300" i="2" s="1"/>
  <c r="H300" i="2" s="1"/>
  <c r="E300" i="2"/>
  <c r="G300" i="2" s="1"/>
  <c r="F299" i="2"/>
  <c r="G298" i="2"/>
  <c r="F298" i="2"/>
  <c r="E298" i="2"/>
  <c r="E297" i="2"/>
  <c r="G296" i="2"/>
  <c r="F296" i="2"/>
  <c r="I296" i="2" s="1"/>
  <c r="E296" i="2"/>
  <c r="G295" i="2"/>
  <c r="F295" i="2"/>
  <c r="I295" i="2" s="1"/>
  <c r="E295" i="2"/>
  <c r="E294" i="2"/>
  <c r="E293" i="2"/>
  <c r="G293" i="2" s="1"/>
  <c r="F292" i="2"/>
  <c r="J292" i="2" s="1"/>
  <c r="H292" i="2" s="1"/>
  <c r="G291" i="2"/>
  <c r="E291" i="2"/>
  <c r="F291" i="2" s="1"/>
  <c r="F290" i="2"/>
  <c r="E289" i="2"/>
  <c r="G288" i="2"/>
  <c r="F288" i="2"/>
  <c r="I288" i="2" s="1"/>
  <c r="E288" i="2"/>
  <c r="G287" i="2"/>
  <c r="F287" i="2"/>
  <c r="I287" i="2" s="1"/>
  <c r="E287" i="2"/>
  <c r="E286" i="2"/>
  <c r="E285" i="2"/>
  <c r="G285" i="2" s="1"/>
  <c r="F284" i="2"/>
  <c r="J284" i="2" s="1"/>
  <c r="H284" i="2" s="1"/>
  <c r="E284" i="2"/>
  <c r="G284" i="2" s="1"/>
  <c r="G283" i="2"/>
  <c r="E283" i="2"/>
  <c r="F283" i="2" s="1"/>
  <c r="F282" i="2"/>
  <c r="E279" i="2"/>
  <c r="G278" i="2"/>
  <c r="F278" i="2"/>
  <c r="J278" i="2" s="1"/>
  <c r="H278" i="2" s="1"/>
  <c r="E278" i="2"/>
  <c r="G277" i="2"/>
  <c r="F277" i="2"/>
  <c r="I277" i="2" s="1"/>
  <c r="E277" i="2"/>
  <c r="E276" i="2"/>
  <c r="F274" i="2"/>
  <c r="J274" i="2" s="1"/>
  <c r="H274" i="2" s="1"/>
  <c r="E274" i="2"/>
  <c r="G274" i="2" s="1"/>
  <c r="F273" i="2"/>
  <c r="G272" i="2"/>
  <c r="F272" i="2"/>
  <c r="E272" i="2"/>
  <c r="E271" i="2"/>
  <c r="G270" i="2"/>
  <c r="F270" i="2"/>
  <c r="J270" i="2" s="1"/>
  <c r="H270" i="2" s="1"/>
  <c r="E270" i="2"/>
  <c r="G269" i="2"/>
  <c r="F269" i="2"/>
  <c r="I269" i="2" s="1"/>
  <c r="E269" i="2"/>
  <c r="E267" i="2"/>
  <c r="G267" i="2" s="1"/>
  <c r="F266" i="2"/>
  <c r="J266" i="2" s="1"/>
  <c r="H266" i="2" s="1"/>
  <c r="E266" i="2"/>
  <c r="G266" i="2" s="1"/>
  <c r="G265" i="2"/>
  <c r="E265" i="2"/>
  <c r="F265" i="2" s="1"/>
  <c r="G264" i="2"/>
  <c r="F264" i="2"/>
  <c r="E264" i="2"/>
  <c r="E263" i="2"/>
  <c r="F262" i="2"/>
  <c r="J262" i="2" s="1"/>
  <c r="H262" i="2" s="1"/>
  <c r="G261" i="2"/>
  <c r="I261" i="2"/>
  <c r="E260" i="2"/>
  <c r="E257" i="2"/>
  <c r="G257" i="2" s="1"/>
  <c r="F256" i="2"/>
  <c r="J256" i="2" s="1"/>
  <c r="H256" i="2" s="1"/>
  <c r="E256" i="2"/>
  <c r="G256" i="2" s="1"/>
  <c r="G255" i="2"/>
  <c r="E255" i="2"/>
  <c r="F255" i="2" s="1"/>
  <c r="E253" i="2"/>
  <c r="G252" i="2"/>
  <c r="F252" i="2"/>
  <c r="J252" i="2" s="1"/>
  <c r="H252" i="2" s="1"/>
  <c r="E252" i="2"/>
  <c r="G251" i="2"/>
  <c r="F251" i="2"/>
  <c r="I251" i="2" s="1"/>
  <c r="E251" i="2"/>
  <c r="E250" i="2"/>
  <c r="E249" i="2"/>
  <c r="G249" i="2" s="1"/>
  <c r="F248" i="2"/>
  <c r="J248" i="2" s="1"/>
  <c r="H248" i="2" s="1"/>
  <c r="E248" i="2"/>
  <c r="G248" i="2" s="1"/>
  <c r="G247" i="2"/>
  <c r="E247" i="2"/>
  <c r="F247" i="2" s="1"/>
  <c r="G246" i="2"/>
  <c r="F246" i="2"/>
  <c r="E246" i="2"/>
  <c r="G244" i="2"/>
  <c r="F244" i="2"/>
  <c r="J244" i="2" s="1"/>
  <c r="H244" i="2" s="1"/>
  <c r="E244" i="2"/>
  <c r="I243" i="2"/>
  <c r="E242" i="2"/>
  <c r="E241" i="2"/>
  <c r="G241" i="2" s="1"/>
  <c r="F240" i="2"/>
  <c r="J240" i="2" s="1"/>
  <c r="H240" i="2" s="1"/>
  <c r="E240" i="2"/>
  <c r="G240" i="2" s="1"/>
  <c r="G239" i="2"/>
  <c r="E239" i="2"/>
  <c r="F239" i="2" s="1"/>
  <c r="F238" i="2"/>
  <c r="G236" i="2"/>
  <c r="F236" i="2"/>
  <c r="J236" i="2" s="1"/>
  <c r="H236" i="2" s="1"/>
  <c r="E236" i="2"/>
  <c r="G235" i="2"/>
  <c r="F235" i="2"/>
  <c r="I235" i="2" s="1"/>
  <c r="E235" i="2"/>
  <c r="G233" i="2"/>
  <c r="F232" i="2"/>
  <c r="J232" i="2" s="1"/>
  <c r="H232" i="2" s="1"/>
  <c r="E232" i="2"/>
  <c r="G232" i="2" s="1"/>
  <c r="G231" i="2"/>
  <c r="E231" i="2"/>
  <c r="F231" i="2" s="1"/>
  <c r="G230" i="2"/>
  <c r="F230" i="2"/>
  <c r="E230" i="2"/>
  <c r="G228" i="2"/>
  <c r="F228" i="2"/>
  <c r="J228" i="2" s="1"/>
  <c r="H228" i="2" s="1"/>
  <c r="G227" i="2"/>
  <c r="F227" i="2"/>
  <c r="I227" i="2" s="1"/>
  <c r="E227" i="2"/>
  <c r="E226" i="2"/>
  <c r="J224" i="2"/>
  <c r="H224" i="2" s="1"/>
  <c r="G224" i="2"/>
  <c r="G223" i="2"/>
  <c r="E223" i="2"/>
  <c r="F223" i="2" s="1"/>
  <c r="G220" i="2"/>
  <c r="F220" i="2"/>
  <c r="E220" i="2"/>
  <c r="E219" i="2"/>
  <c r="G218" i="2"/>
  <c r="F218" i="2"/>
  <c r="J218" i="2" s="1"/>
  <c r="H218" i="2" s="1"/>
  <c r="E218" i="2"/>
  <c r="F217" i="2"/>
  <c r="I217" i="2" s="1"/>
  <c r="E215" i="2"/>
  <c r="G215" i="2" s="1"/>
  <c r="F214" i="2"/>
  <c r="J214" i="2" s="1"/>
  <c r="H214" i="2" s="1"/>
  <c r="E214" i="2"/>
  <c r="G214" i="2" s="1"/>
  <c r="G213" i="2"/>
  <c r="G212" i="2"/>
  <c r="F212" i="2"/>
  <c r="E212" i="2"/>
  <c r="E211" i="2"/>
  <c r="G210" i="2"/>
  <c r="F210" i="2"/>
  <c r="J210" i="2" s="1"/>
  <c r="H210" i="2" s="1"/>
  <c r="E210" i="2"/>
  <c r="G209" i="2"/>
  <c r="F209" i="2"/>
  <c r="I209" i="2" s="1"/>
  <c r="E209" i="2"/>
  <c r="E208" i="2"/>
  <c r="F206" i="2"/>
  <c r="J206" i="2" s="1"/>
  <c r="H206" i="2" s="1"/>
  <c r="E206" i="2"/>
  <c r="G206" i="2" s="1"/>
  <c r="G205" i="2"/>
  <c r="E205" i="2"/>
  <c r="F205" i="2" s="1"/>
  <c r="G204" i="2"/>
  <c r="F204" i="2"/>
  <c r="E204" i="2"/>
  <c r="F202" i="2"/>
  <c r="J202" i="2" s="1"/>
  <c r="H202" i="2" s="1"/>
  <c r="G201" i="2"/>
  <c r="F201" i="2"/>
  <c r="I201" i="2" s="1"/>
  <c r="E201" i="2"/>
  <c r="E200" i="2"/>
  <c r="E197" i="2"/>
  <c r="G197" i="2" s="1"/>
  <c r="F196" i="2"/>
  <c r="J196" i="2" s="1"/>
  <c r="H196" i="2" s="1"/>
  <c r="E196" i="2"/>
  <c r="G196" i="2" s="1"/>
  <c r="G195" i="2"/>
  <c r="E195" i="2"/>
  <c r="F195" i="2" s="1"/>
  <c r="G194" i="2"/>
  <c r="F194" i="2"/>
  <c r="E194" i="2"/>
  <c r="E193" i="2"/>
  <c r="G192" i="2"/>
  <c r="F192" i="2"/>
  <c r="J192" i="2" s="1"/>
  <c r="H192" i="2" s="1"/>
  <c r="E192" i="2"/>
  <c r="G191" i="2"/>
  <c r="F191" i="2"/>
  <c r="I191" i="2" s="1"/>
  <c r="E191" i="2"/>
  <c r="E190" i="2"/>
  <c r="E189" i="2"/>
  <c r="G189" i="2" s="1"/>
  <c r="F188" i="2"/>
  <c r="J188" i="2" s="1"/>
  <c r="H188" i="2" s="1"/>
  <c r="E188" i="2"/>
  <c r="G188" i="2" s="1"/>
  <c r="F187" i="2"/>
  <c r="G186" i="2"/>
  <c r="F186" i="2"/>
  <c r="E185" i="2"/>
  <c r="G184" i="2"/>
  <c r="F184" i="2"/>
  <c r="J184" i="2" s="1"/>
  <c r="H184" i="2" s="1"/>
  <c r="E184" i="2"/>
  <c r="G183" i="2"/>
  <c r="F183" i="2"/>
  <c r="I183" i="2" s="1"/>
  <c r="E183" i="2"/>
  <c r="E182" i="2"/>
  <c r="G181" i="2"/>
  <c r="E181" i="2"/>
  <c r="F181" i="2" s="1"/>
  <c r="I181" i="2" s="1"/>
  <c r="F180" i="2"/>
  <c r="J180" i="2" s="1"/>
  <c r="H180" i="2" s="1"/>
  <c r="G179" i="2"/>
  <c r="E179" i="2"/>
  <c r="F179" i="2" s="1"/>
  <c r="J179" i="2" s="1"/>
  <c r="H179" i="2" s="1"/>
  <c r="G176" i="2"/>
  <c r="F176" i="2"/>
  <c r="I176" i="2" s="1"/>
  <c r="E176" i="2"/>
  <c r="E175" i="2"/>
  <c r="F174" i="2"/>
  <c r="J174" i="2" s="1"/>
  <c r="H174" i="2" s="1"/>
  <c r="G173" i="2"/>
  <c r="F173" i="2"/>
  <c r="I173" i="2" s="1"/>
  <c r="E173" i="2"/>
  <c r="F171" i="2"/>
  <c r="I171" i="2" s="1"/>
  <c r="F170" i="2"/>
  <c r="J170" i="2" s="1"/>
  <c r="H170" i="2" s="1"/>
  <c r="E170" i="2"/>
  <c r="G170" i="2" s="1"/>
  <c r="G169" i="2"/>
  <c r="E169" i="2"/>
  <c r="F169" i="2" s="1"/>
  <c r="J169" i="2" s="1"/>
  <c r="H169" i="2" s="1"/>
  <c r="G168" i="2"/>
  <c r="F168" i="2"/>
  <c r="I168" i="2" s="1"/>
  <c r="E168" i="2"/>
  <c r="E167" i="2"/>
  <c r="G166" i="2"/>
  <c r="F166" i="2"/>
  <c r="J166" i="2" s="1"/>
  <c r="H166" i="2" s="1"/>
  <c r="E166" i="2"/>
  <c r="G165" i="2"/>
  <c r="F165" i="2"/>
  <c r="I165" i="2" s="1"/>
  <c r="E165" i="2"/>
  <c r="E164" i="2"/>
  <c r="G163" i="2"/>
  <c r="E163" i="2"/>
  <c r="F163" i="2" s="1"/>
  <c r="I163" i="2" s="1"/>
  <c r="F160" i="2"/>
  <c r="J160" i="2" s="1"/>
  <c r="H160" i="2" s="1"/>
  <c r="E160" i="2"/>
  <c r="G160" i="2" s="1"/>
  <c r="E159" i="2"/>
  <c r="G158" i="2"/>
  <c r="F158" i="2"/>
  <c r="I158" i="2" s="1"/>
  <c r="E158" i="2"/>
  <c r="E157" i="2"/>
  <c r="G156" i="2"/>
  <c r="F156" i="2"/>
  <c r="J156" i="2" s="1"/>
  <c r="H156" i="2" s="1"/>
  <c r="E156" i="2"/>
  <c r="F155" i="2"/>
  <c r="K155" i="2" s="1"/>
  <c r="G153" i="2"/>
  <c r="E153" i="2"/>
  <c r="F153" i="2" s="1"/>
  <c r="I153" i="2" s="1"/>
  <c r="F152" i="2"/>
  <c r="K152" i="2" s="1"/>
  <c r="E152" i="2"/>
  <c r="G152" i="2" s="1"/>
  <c r="E151" i="2"/>
  <c r="G150" i="2"/>
  <c r="F150" i="2"/>
  <c r="J150" i="2" s="1"/>
  <c r="H150" i="2" s="1"/>
  <c r="E150" i="2"/>
  <c r="E149" i="2"/>
  <c r="F148" i="2"/>
  <c r="J148" i="2" s="1"/>
  <c r="G145" i="2"/>
  <c r="F145" i="2"/>
  <c r="K145" i="2" s="1"/>
  <c r="E145" i="2"/>
  <c r="E144" i="2"/>
  <c r="G143" i="2"/>
  <c r="E143" i="2"/>
  <c r="F143" i="2" s="1"/>
  <c r="I143" i="2" s="1"/>
  <c r="G142" i="2"/>
  <c r="F142" i="2"/>
  <c r="K142" i="2" s="1"/>
  <c r="E142" i="2"/>
  <c r="E141" i="2"/>
  <c r="F140" i="2"/>
  <c r="I140" i="2" s="1"/>
  <c r="E140" i="2"/>
  <c r="E139" i="2"/>
  <c r="G138" i="2"/>
  <c r="F138" i="2"/>
  <c r="J138" i="2" s="1"/>
  <c r="H138" i="2" s="1"/>
  <c r="E138" i="2"/>
  <c r="F137" i="2"/>
  <c r="K137" i="2" s="1"/>
  <c r="F136" i="2"/>
  <c r="E136" i="2"/>
  <c r="E135" i="2"/>
  <c r="G134" i="2"/>
  <c r="F134" i="2"/>
  <c r="E134" i="2"/>
  <c r="G133" i="2"/>
  <c r="E133" i="2"/>
  <c r="F132" i="2"/>
  <c r="I132" i="2" s="1"/>
  <c r="E132" i="2"/>
  <c r="E131" i="2"/>
  <c r="G130" i="2"/>
  <c r="F130" i="2"/>
  <c r="K130" i="2" s="1"/>
  <c r="E130" i="2"/>
  <c r="F129" i="2"/>
  <c r="I129" i="2" s="1"/>
  <c r="E128" i="2"/>
  <c r="E127" i="2"/>
  <c r="G126" i="2"/>
  <c r="F126" i="2"/>
  <c r="K126" i="2" s="1"/>
  <c r="E125" i="2"/>
  <c r="F124" i="2"/>
  <c r="J124" i="2" s="1"/>
  <c r="H124" i="2" s="1"/>
  <c r="E124" i="2"/>
  <c r="E123" i="2"/>
  <c r="G122" i="2"/>
  <c r="F122" i="2"/>
  <c r="K122" i="2" s="1"/>
  <c r="E122" i="2"/>
  <c r="F121" i="2"/>
  <c r="K121" i="2" s="1"/>
  <c r="F120" i="2"/>
  <c r="J120" i="2" s="1"/>
  <c r="H120" i="2" s="1"/>
  <c r="E120" i="2"/>
  <c r="E119" i="2"/>
  <c r="G118" i="2"/>
  <c r="F118" i="2"/>
  <c r="E118" i="2"/>
  <c r="G117" i="2"/>
  <c r="E117" i="2"/>
  <c r="G116" i="2"/>
  <c r="F116" i="2"/>
  <c r="J116" i="2" s="1"/>
  <c r="H116" i="2" s="1"/>
  <c r="E116" i="2"/>
  <c r="E115" i="2"/>
  <c r="G111" i="2"/>
  <c r="F111" i="2"/>
  <c r="K111" i="2" s="1"/>
  <c r="E111" i="2"/>
  <c r="F110" i="2"/>
  <c r="E110" i="2"/>
  <c r="G109" i="2"/>
  <c r="E109" i="2"/>
  <c r="G108" i="2"/>
  <c r="F108" i="2"/>
  <c r="J108" i="2" s="1"/>
  <c r="H108" i="2" s="1"/>
  <c r="E108" i="2"/>
  <c r="G106" i="2"/>
  <c r="F106" i="2"/>
  <c r="J106" i="2" s="1"/>
  <c r="H106" i="2" s="1"/>
  <c r="E106" i="2"/>
  <c r="E105" i="2"/>
  <c r="G104" i="2"/>
  <c r="F104" i="2"/>
  <c r="E104" i="2"/>
  <c r="E103" i="2"/>
  <c r="G103" i="2" s="1"/>
  <c r="G102" i="2"/>
  <c r="E102" i="2"/>
  <c r="G101" i="2"/>
  <c r="F101" i="2"/>
  <c r="I101" i="2" s="1"/>
  <c r="E101" i="2"/>
  <c r="G99" i="2"/>
  <c r="E99" i="2"/>
  <c r="F99" i="2" s="1"/>
  <c r="I99" i="2" s="1"/>
  <c r="G98" i="2"/>
  <c r="F98" i="2"/>
  <c r="K98" i="2" s="1"/>
  <c r="E98" i="2"/>
  <c r="G97" i="2"/>
  <c r="F97" i="2"/>
  <c r="J97" i="2" s="1"/>
  <c r="H97" i="2" s="1"/>
  <c r="E97" i="2"/>
  <c r="E95" i="2"/>
  <c r="G94" i="2"/>
  <c r="E94" i="2"/>
  <c r="F94" i="2" s="1"/>
  <c r="G93" i="2"/>
  <c r="F93" i="2"/>
  <c r="I93" i="2" s="1"/>
  <c r="E93" i="2"/>
  <c r="G92" i="2"/>
  <c r="G91" i="2"/>
  <c r="E91" i="2"/>
  <c r="F91" i="2" s="1"/>
  <c r="I91" i="2" s="1"/>
  <c r="G90" i="2"/>
  <c r="F90" i="2"/>
  <c r="K90" i="2" s="1"/>
  <c r="E90" i="2"/>
  <c r="G89" i="2"/>
  <c r="F89" i="2"/>
  <c r="J89" i="2" s="1"/>
  <c r="H89" i="2" s="1"/>
  <c r="E89" i="2"/>
  <c r="E88" i="2"/>
  <c r="G86" i="2"/>
  <c r="E86" i="2"/>
  <c r="F86" i="2" s="1"/>
  <c r="G85" i="2"/>
  <c r="F85" i="2"/>
  <c r="I85" i="2" s="1"/>
  <c r="E85" i="2"/>
  <c r="G83" i="2"/>
  <c r="E83" i="2"/>
  <c r="F83" i="2" s="1"/>
  <c r="I83" i="2" s="1"/>
  <c r="G81" i="2"/>
  <c r="F81" i="2"/>
  <c r="J81" i="2" s="1"/>
  <c r="H81" i="2" s="1"/>
  <c r="E81" i="2"/>
  <c r="E78" i="2"/>
  <c r="G76" i="2"/>
  <c r="E76" i="2"/>
  <c r="F76" i="2" s="1"/>
  <c r="G75" i="2"/>
  <c r="F75" i="2"/>
  <c r="I75" i="2" s="1"/>
  <c r="E75" i="2"/>
  <c r="E74" i="2"/>
  <c r="G74" i="2" s="1"/>
  <c r="G73" i="2"/>
  <c r="E73" i="2"/>
  <c r="F73" i="2" s="1"/>
  <c r="I73" i="2" s="1"/>
  <c r="F72" i="2"/>
  <c r="G71" i="2"/>
  <c r="F71" i="2"/>
  <c r="J71" i="2" s="1"/>
  <c r="H71" i="2" s="1"/>
  <c r="E71" i="2"/>
  <c r="E70" i="2"/>
  <c r="G68" i="2"/>
  <c r="E68" i="2"/>
  <c r="F68" i="2" s="1"/>
  <c r="G67" i="2"/>
  <c r="F67" i="2"/>
  <c r="I67" i="2" s="1"/>
  <c r="E67" i="2"/>
  <c r="E66" i="2"/>
  <c r="G66" i="2" s="1"/>
  <c r="G65" i="2"/>
  <c r="E65" i="2"/>
  <c r="F65" i="2" s="1"/>
  <c r="I65" i="2" s="1"/>
  <c r="F64" i="2"/>
  <c r="K64" i="2" s="1"/>
  <c r="F63" i="2"/>
  <c r="J63" i="2" s="1"/>
  <c r="H63" i="2" s="1"/>
  <c r="E62" i="2"/>
  <c r="F62" i="2" s="1"/>
  <c r="G60" i="2"/>
  <c r="E60" i="2"/>
  <c r="F60" i="2" s="1"/>
  <c r="F59" i="2"/>
  <c r="I59" i="2" s="1"/>
  <c r="E58" i="2"/>
  <c r="G58" i="2" s="1"/>
  <c r="G57" i="2"/>
  <c r="E57" i="2"/>
  <c r="F57" i="2" s="1"/>
  <c r="I57" i="2" s="1"/>
  <c r="F56" i="2"/>
  <c r="F55" i="2"/>
  <c r="J55" i="2" s="1"/>
  <c r="H55" i="2" s="1"/>
  <c r="E54" i="2"/>
  <c r="E53" i="2"/>
  <c r="F52" i="2"/>
  <c r="G51" i="2"/>
  <c r="F51" i="2"/>
  <c r="I51" i="2" s="1"/>
  <c r="E51" i="2"/>
  <c r="E48" i="2"/>
  <c r="G48" i="2" s="1"/>
  <c r="G47" i="2"/>
  <c r="E47" i="2"/>
  <c r="F47" i="2" s="1"/>
  <c r="I47" i="2" s="1"/>
  <c r="F46" i="2"/>
  <c r="G45" i="2"/>
  <c r="F45" i="2"/>
  <c r="J45" i="2" s="1"/>
  <c r="H45" i="2" s="1"/>
  <c r="E45" i="2"/>
  <c r="E44" i="2"/>
  <c r="E43" i="2"/>
  <c r="G41" i="2"/>
  <c r="F41" i="2"/>
  <c r="I41" i="2" s="1"/>
  <c r="E41" i="2"/>
  <c r="E40" i="2"/>
  <c r="G40" i="2" s="1"/>
  <c r="G39" i="2"/>
  <c r="E39" i="2"/>
  <c r="F39" i="2" s="1"/>
  <c r="I39" i="2" s="1"/>
  <c r="G38" i="2"/>
  <c r="F38" i="2"/>
  <c r="K38" i="2" s="1"/>
  <c r="E38" i="2"/>
  <c r="G35" i="2"/>
  <c r="F35" i="2"/>
  <c r="J35" i="2" s="1"/>
  <c r="H35" i="2" s="1"/>
  <c r="E35" i="2"/>
  <c r="E34" i="2"/>
  <c r="G32" i="2"/>
  <c r="E32" i="2"/>
  <c r="F32" i="2" s="1"/>
  <c r="I31" i="2"/>
  <c r="E30" i="2"/>
  <c r="G30" i="2" s="1"/>
  <c r="G29" i="2"/>
  <c r="E29" i="2"/>
  <c r="F29" i="2" s="1"/>
  <c r="I29" i="2" s="1"/>
  <c r="G28" i="2"/>
  <c r="F28" i="2"/>
  <c r="K28" i="2" s="1"/>
  <c r="E28" i="2"/>
  <c r="G27" i="2"/>
  <c r="F27" i="2"/>
  <c r="J27" i="2" s="1"/>
  <c r="H27" i="2" s="1"/>
  <c r="E27" i="2"/>
  <c r="E25" i="2"/>
  <c r="G24" i="2"/>
  <c r="E24" i="2"/>
  <c r="F24" i="2" s="1"/>
  <c r="F23" i="2"/>
  <c r="I23" i="2" s="1"/>
  <c r="E22" i="2"/>
  <c r="G22" i="2" s="1"/>
  <c r="F21" i="2"/>
  <c r="I21" i="2" s="1"/>
  <c r="G20" i="2"/>
  <c r="F20" i="2"/>
  <c r="K20" i="2" s="1"/>
  <c r="E20" i="2"/>
  <c r="G19" i="2"/>
  <c r="F19" i="2"/>
  <c r="J19" i="2" s="1"/>
  <c r="H19" i="2" s="1"/>
  <c r="E19" i="2"/>
  <c r="E17" i="2"/>
  <c r="F14" i="2"/>
  <c r="G13" i="2"/>
  <c r="F13" i="2"/>
  <c r="I13" i="2" s="1"/>
  <c r="E13" i="2"/>
  <c r="G11" i="2"/>
  <c r="E11" i="2"/>
  <c r="F11" i="2" s="1"/>
  <c r="I11" i="2" s="1"/>
  <c r="G10" i="2"/>
  <c r="F10" i="2"/>
  <c r="K10" i="2" s="1"/>
  <c r="E10" i="2"/>
  <c r="G9" i="2"/>
  <c r="F9" i="2"/>
  <c r="J9" i="2" s="1"/>
  <c r="H9" i="2" s="1"/>
  <c r="E9" i="2"/>
  <c r="E8" i="2"/>
  <c r="E7" i="2"/>
  <c r="F6" i="2"/>
  <c r="K5" i="2"/>
  <c r="J5" i="2"/>
  <c r="H5" i="2" s="1"/>
  <c r="G5" i="2"/>
  <c r="F5" i="2"/>
  <c r="I5" i="2" s="1"/>
  <c r="E5" i="2"/>
  <c r="G3" i="2"/>
  <c r="E3" i="2"/>
  <c r="F3" i="2" s="1"/>
  <c r="I3" i="2" s="1"/>
  <c r="K9" i="2" l="1"/>
  <c r="J10" i="2"/>
  <c r="H10" i="2" s="1"/>
  <c r="K13" i="2"/>
  <c r="K836" i="2"/>
  <c r="K191" i="2"/>
  <c r="K116" i="2"/>
  <c r="K606" i="2"/>
  <c r="J191" i="2"/>
  <c r="H191" i="2" s="1"/>
  <c r="K166" i="2"/>
  <c r="J277" i="2"/>
  <c r="H277" i="2" s="1"/>
  <c r="J209" i="2"/>
  <c r="H209" i="2" s="1"/>
  <c r="J261" i="2"/>
  <c r="H261" i="2" s="1"/>
  <c r="K284" i="2"/>
  <c r="J364" i="2"/>
  <c r="K277" i="2"/>
  <c r="K183" i="2"/>
  <c r="I496" i="2"/>
  <c r="K55" i="2"/>
  <c r="K97" i="2"/>
  <c r="K243" i="2"/>
  <c r="J28" i="2"/>
  <c r="H28" i="2" s="1"/>
  <c r="J38" i="2"/>
  <c r="H38" i="2" s="1"/>
  <c r="J46" i="2"/>
  <c r="K165" i="2"/>
  <c r="J183" i="2"/>
  <c r="H183" i="2" s="1"/>
  <c r="K261" i="2"/>
  <c r="K642" i="2"/>
  <c r="K708" i="2"/>
  <c r="K308" i="2"/>
  <c r="K110" i="2"/>
  <c r="I331" i="2"/>
  <c r="I364" i="2"/>
  <c r="K140" i="2"/>
  <c r="K150" i="2"/>
  <c r="K278" i="2"/>
  <c r="J596" i="2"/>
  <c r="H596" i="2" s="1"/>
  <c r="J644" i="2"/>
  <c r="H644" i="2" s="1"/>
  <c r="I707" i="2"/>
  <c r="J715" i="2"/>
  <c r="H715" i="2" s="1"/>
  <c r="K738" i="2"/>
  <c r="K456" i="2"/>
  <c r="J531" i="2"/>
  <c r="K539" i="2" s="1"/>
  <c r="K557" i="2"/>
  <c r="J626" i="2"/>
  <c r="H626" i="2" s="1"/>
  <c r="J798" i="2"/>
  <c r="H798" i="2" s="1"/>
  <c r="K27" i="2"/>
  <c r="K35" i="2"/>
  <c r="I106" i="2"/>
  <c r="K214" i="2"/>
  <c r="K252" i="2"/>
  <c r="K317" i="2"/>
  <c r="I699" i="2"/>
  <c r="I751" i="2"/>
  <c r="I785" i="2"/>
  <c r="J165" i="2"/>
  <c r="H165" i="2" s="1"/>
  <c r="K192" i="2"/>
  <c r="K270" i="2"/>
  <c r="I454" i="2"/>
  <c r="I486" i="2"/>
  <c r="J624" i="2"/>
  <c r="I857" i="2"/>
  <c r="I122" i="2"/>
  <c r="K209" i="2"/>
  <c r="J235" i="2"/>
  <c r="H235" i="2" s="1"/>
  <c r="J243" i="2"/>
  <c r="I357" i="2"/>
  <c r="J557" i="2"/>
  <c r="H557" i="2" s="1"/>
  <c r="I644" i="2"/>
  <c r="K700" i="2"/>
  <c r="K734" i="2"/>
  <c r="J790" i="2"/>
  <c r="H790" i="2" s="1"/>
  <c r="K93" i="2"/>
  <c r="J98" i="2"/>
  <c r="H98" i="2" s="1"/>
  <c r="K106" i="2"/>
  <c r="J589" i="2"/>
  <c r="H589" i="2" s="1"/>
  <c r="I598" i="2"/>
  <c r="J140" i="2"/>
  <c r="H140" i="2" s="1"/>
  <c r="K201" i="2"/>
  <c r="K232" i="2"/>
  <c r="K356" i="2"/>
  <c r="K417" i="2"/>
  <c r="I438" i="2"/>
  <c r="J487" i="2"/>
  <c r="H487" i="2" s="1"/>
  <c r="J555" i="2"/>
  <c r="H555" i="2" s="1"/>
  <c r="K563" i="2"/>
  <c r="K573" i="2"/>
  <c r="J581" i="2"/>
  <c r="H581" i="2" s="1"/>
  <c r="K598" i="2"/>
  <c r="I616" i="2"/>
  <c r="K687" i="2"/>
  <c r="K790" i="2"/>
  <c r="I901" i="2"/>
  <c r="I909" i="2"/>
  <c r="I919" i="2"/>
  <c r="I130" i="2"/>
  <c r="J155" i="2"/>
  <c r="K649" i="2" s="1"/>
  <c r="K202" i="2"/>
  <c r="J217" i="2"/>
  <c r="K315" i="2"/>
  <c r="J331" i="2"/>
  <c r="J357" i="2"/>
  <c r="K726" i="2" s="1"/>
  <c r="K401" i="2"/>
  <c r="K427" i="2"/>
  <c r="I527" i="2"/>
  <c r="K555" i="2"/>
  <c r="J570" i="2"/>
  <c r="H570" i="2" s="1"/>
  <c r="K616" i="2"/>
  <c r="I854" i="2"/>
  <c r="I884" i="2"/>
  <c r="J909" i="2"/>
  <c r="J919" i="2"/>
  <c r="H919" i="2" s="1"/>
  <c r="J927" i="2"/>
  <c r="H927" i="2" s="1"/>
  <c r="I935" i="2"/>
  <c r="J51" i="2"/>
  <c r="H51" i="2" s="1"/>
  <c r="K51" i="2"/>
  <c r="J56" i="2"/>
  <c r="K124" i="2"/>
  <c r="K138" i="2"/>
  <c r="K311" i="2"/>
  <c r="K338" i="2"/>
  <c r="J435" i="2"/>
  <c r="H435" i="2" s="1"/>
  <c r="J935" i="2"/>
  <c r="H935" i="2" s="1"/>
  <c r="J67" i="2"/>
  <c r="H67" i="2" s="1"/>
  <c r="J20" i="2"/>
  <c r="H20" i="2" s="1"/>
  <c r="K45" i="2"/>
  <c r="J75" i="2"/>
  <c r="H75" i="2" s="1"/>
  <c r="I124" i="2"/>
  <c r="I155" i="2"/>
  <c r="K180" i="2"/>
  <c r="K184" i="2"/>
  <c r="K206" i="2"/>
  <c r="K292" i="2"/>
  <c r="J456" i="2"/>
  <c r="H456" i="2" s="1"/>
  <c r="J517" i="2"/>
  <c r="H517" i="2" s="1"/>
  <c r="J527" i="2"/>
  <c r="H527" i="2" s="1"/>
  <c r="I564" i="2"/>
  <c r="J579" i="2"/>
  <c r="H579" i="2" s="1"/>
  <c r="I597" i="2"/>
  <c r="J604" i="2"/>
  <c r="H604" i="2" s="1"/>
  <c r="K650" i="2"/>
  <c r="I708" i="2"/>
  <c r="K808" i="2"/>
  <c r="J868" i="2"/>
  <c r="H868" i="2" s="1"/>
  <c r="J884" i="2"/>
  <c r="H884" i="2" s="1"/>
  <c r="K902" i="2"/>
  <c r="K85" i="2"/>
  <c r="J90" i="2"/>
  <c r="H90" i="2" s="1"/>
  <c r="J129" i="2"/>
  <c r="K156" i="2"/>
  <c r="J201" i="2"/>
  <c r="H201" i="2" s="1"/>
  <c r="K228" i="2"/>
  <c r="K256" i="2"/>
  <c r="K300" i="2"/>
  <c r="I317" i="2"/>
  <c r="I356" i="2"/>
  <c r="I563" i="2"/>
  <c r="J622" i="2"/>
  <c r="I636" i="2"/>
  <c r="I738" i="2"/>
  <c r="K858" i="2"/>
  <c r="K868" i="2"/>
  <c r="K19" i="2"/>
  <c r="J31" i="2"/>
  <c r="K75" i="2"/>
  <c r="J82" i="2"/>
  <c r="K89" i="2"/>
  <c r="J101" i="2"/>
  <c r="H101" i="2" s="1"/>
  <c r="J111" i="2"/>
  <c r="H111" i="2" s="1"/>
  <c r="J130" i="2"/>
  <c r="H130" i="2" s="1"/>
  <c r="J145" i="2"/>
  <c r="H145" i="2" s="1"/>
  <c r="K224" i="2"/>
  <c r="K244" i="2"/>
  <c r="J251" i="2"/>
  <c r="H251" i="2" s="1"/>
  <c r="K262" i="2"/>
  <c r="J269" i="2"/>
  <c r="H269" i="2" s="1"/>
  <c r="J339" i="2"/>
  <c r="H339" i="2" s="1"/>
  <c r="I341" i="2"/>
  <c r="J395" i="2"/>
  <c r="K439" i="2"/>
  <c r="I596" i="2"/>
  <c r="K624" i="2"/>
  <c r="I631" i="2"/>
  <c r="I657" i="2"/>
  <c r="J663" i="2"/>
  <c r="H663" i="2" s="1"/>
  <c r="I679" i="2"/>
  <c r="I716" i="2"/>
  <c r="J808" i="2"/>
  <c r="H808" i="2" s="1"/>
  <c r="K826" i="2"/>
  <c r="I832" i="2"/>
  <c r="I850" i="2"/>
  <c r="K872" i="2"/>
  <c r="I888" i="2"/>
  <c r="I893" i="2"/>
  <c r="I927" i="2"/>
  <c r="K240" i="2"/>
  <c r="J453" i="2"/>
  <c r="K842" i="2"/>
  <c r="J876" i="2"/>
  <c r="H876" i="2" s="1"/>
  <c r="K880" i="2"/>
  <c r="J893" i="2"/>
  <c r="H893" i="2" s="1"/>
  <c r="J13" i="2"/>
  <c r="H13" i="2" s="1"/>
  <c r="K59" i="2"/>
  <c r="J64" i="2"/>
  <c r="K71" i="2"/>
  <c r="J85" i="2"/>
  <c r="H85" i="2" s="1"/>
  <c r="I116" i="2"/>
  <c r="J122" i="2"/>
  <c r="H122" i="2" s="1"/>
  <c r="J136" i="2"/>
  <c r="H136" i="2" s="1"/>
  <c r="K196" i="2"/>
  <c r="K217" i="2"/>
  <c r="K235" i="2"/>
  <c r="K274" i="2"/>
  <c r="J287" i="2"/>
  <c r="H287" i="2" s="1"/>
  <c r="J288" i="2"/>
  <c r="H288" i="2" s="1"/>
  <c r="K296" i="2"/>
  <c r="J303" i="2"/>
  <c r="J304" i="2"/>
  <c r="H304" i="2" s="1"/>
  <c r="I326" i="2"/>
  <c r="K333" i="2"/>
  <c r="K349" i="2"/>
  <c r="J365" i="2"/>
  <c r="H365" i="2" s="1"/>
  <c r="J407" i="2"/>
  <c r="H407" i="2" s="1"/>
  <c r="K413" i="2"/>
  <c r="I418" i="2"/>
  <c r="I436" i="2"/>
  <c r="I441" i="2"/>
  <c r="K457" i="2"/>
  <c r="K505" i="2"/>
  <c r="K522" i="2"/>
  <c r="K564" i="2"/>
  <c r="I578" i="2"/>
  <c r="K654" i="2"/>
  <c r="K657" i="2"/>
  <c r="I664" i="2"/>
  <c r="I690" i="2"/>
  <c r="I726" i="2"/>
  <c r="K744" i="2"/>
  <c r="J817" i="2"/>
  <c r="H817" i="2" s="1"/>
  <c r="I858" i="2"/>
  <c r="J867" i="2"/>
  <c r="H867" i="2" s="1"/>
  <c r="I894" i="2"/>
  <c r="J59" i="2"/>
  <c r="I433" i="2"/>
  <c r="I108" i="2"/>
  <c r="I111" i="2"/>
  <c r="I145" i="2"/>
  <c r="K170" i="2"/>
  <c r="K218" i="2"/>
  <c r="J227" i="2"/>
  <c r="H227" i="2" s="1"/>
  <c r="K236" i="2"/>
  <c r="K251" i="2"/>
  <c r="K269" i="2"/>
  <c r="J315" i="2"/>
  <c r="H315" i="2" s="1"/>
  <c r="I339" i="2"/>
  <c r="K513" i="2"/>
  <c r="J539" i="2"/>
  <c r="J543" i="2"/>
  <c r="J547" i="2"/>
  <c r="H547" i="2" s="1"/>
  <c r="J551" i="2"/>
  <c r="H551" i="2" s="1"/>
  <c r="I589" i="2"/>
  <c r="I618" i="2"/>
  <c r="I634" i="2"/>
  <c r="K648" i="2"/>
  <c r="I672" i="2"/>
  <c r="J716" i="2"/>
  <c r="H716" i="2" s="1"/>
  <c r="I734" i="2"/>
  <c r="I767" i="2"/>
  <c r="K817" i="2"/>
  <c r="I827" i="2"/>
  <c r="J850" i="2"/>
  <c r="K31" i="2"/>
  <c r="K101" i="2"/>
  <c r="J352" i="2"/>
  <c r="H352" i="2" s="1"/>
  <c r="J774" i="2"/>
  <c r="H774" i="2" s="1"/>
  <c r="J41" i="2"/>
  <c r="H41" i="2" s="1"/>
  <c r="K41" i="2"/>
  <c r="J363" i="2"/>
  <c r="H363" i="2" s="1"/>
  <c r="J634" i="2"/>
  <c r="H634" i="2" s="1"/>
  <c r="J748" i="2"/>
  <c r="H748" i="2" s="1"/>
  <c r="I775" i="2"/>
  <c r="J816" i="2"/>
  <c r="H816" i="2" s="1"/>
  <c r="J827" i="2"/>
  <c r="H827" i="2" s="1"/>
  <c r="J839" i="2"/>
  <c r="H839" i="2" s="1"/>
  <c r="J901" i="2"/>
  <c r="H901" i="2" s="1"/>
  <c r="K295" i="2"/>
  <c r="J373" i="2"/>
  <c r="H373" i="2" s="1"/>
  <c r="J389" i="2"/>
  <c r="J535" i="2"/>
  <c r="H535" i="2" s="1"/>
  <c r="J23" i="2"/>
  <c r="K56" i="2" s="1"/>
  <c r="K67" i="2"/>
  <c r="J72" i="2"/>
  <c r="K578" i="2" s="1"/>
  <c r="K81" i="2"/>
  <c r="J93" i="2"/>
  <c r="H93" i="2" s="1"/>
  <c r="J104" i="2"/>
  <c r="H104" i="2" s="1"/>
  <c r="K160" i="2"/>
  <c r="K248" i="2"/>
  <c r="K266" i="2"/>
  <c r="K287" i="2"/>
  <c r="K383" i="2"/>
  <c r="K482" i="2"/>
  <c r="J486" i="2"/>
  <c r="H486" i="2" s="1"/>
  <c r="J597" i="2"/>
  <c r="H597" i="2" s="1"/>
  <c r="I606" i="2"/>
  <c r="J618" i="2"/>
  <c r="H618" i="2" s="1"/>
  <c r="I642" i="2"/>
  <c r="G642" i="2" s="1"/>
  <c r="I650" i="2"/>
  <c r="K653" i="2"/>
  <c r="J668" i="2"/>
  <c r="H668" i="2" s="1"/>
  <c r="J690" i="2"/>
  <c r="H690" i="2" s="1"/>
  <c r="I700" i="2"/>
  <c r="K748" i="2"/>
  <c r="I760" i="2"/>
  <c r="K775" i="2"/>
  <c r="J782" i="2"/>
  <c r="H782" i="2" s="1"/>
  <c r="K798" i="2"/>
  <c r="K816" i="2"/>
  <c r="J836" i="2"/>
  <c r="H836" i="2" s="1"/>
  <c r="I872" i="2"/>
  <c r="J894" i="2"/>
  <c r="H894" i="2" s="1"/>
  <c r="I902" i="2"/>
  <c r="K188" i="2"/>
  <c r="K210" i="2"/>
  <c r="K227" i="2"/>
  <c r="K288" i="2"/>
  <c r="J295" i="2"/>
  <c r="H295" i="2" s="1"/>
  <c r="J296" i="2"/>
  <c r="H296" i="2" s="1"/>
  <c r="K304" i="2"/>
  <c r="I325" i="2"/>
  <c r="J349" i="2"/>
  <c r="H349" i="2" s="1"/>
  <c r="J417" i="2"/>
  <c r="H417" i="2" s="1"/>
  <c r="K441" i="2"/>
  <c r="J648" i="2"/>
  <c r="H648" i="2" s="1"/>
  <c r="J672" i="2"/>
  <c r="H672" i="2" s="1"/>
  <c r="I744" i="2"/>
  <c r="I876" i="2"/>
  <c r="I880" i="2"/>
  <c r="J52" i="2"/>
  <c r="K63" i="2" s="1"/>
  <c r="I52" i="2"/>
  <c r="K52" i="2"/>
  <c r="J6" i="2"/>
  <c r="K21" i="2" s="1"/>
  <c r="I6" i="2"/>
  <c r="K6" i="2"/>
  <c r="J76" i="2"/>
  <c r="H76" i="2" s="1"/>
  <c r="I76" i="2"/>
  <c r="K76" i="2"/>
  <c r="J32" i="2"/>
  <c r="H32" i="2" s="1"/>
  <c r="I32" i="2"/>
  <c r="K32" i="2"/>
  <c r="J60" i="2"/>
  <c r="H60" i="2" s="1"/>
  <c r="I60" i="2"/>
  <c r="K60" i="2"/>
  <c r="J24" i="2"/>
  <c r="H24" i="2" s="1"/>
  <c r="I24" i="2"/>
  <c r="K24" i="2"/>
  <c r="J94" i="2"/>
  <c r="H94" i="2" s="1"/>
  <c r="I94" i="2"/>
  <c r="K94" i="2"/>
  <c r="J14" i="2"/>
  <c r="I14" i="2"/>
  <c r="K14" i="2"/>
  <c r="J86" i="2"/>
  <c r="H86" i="2" s="1"/>
  <c r="I86" i="2"/>
  <c r="K86" i="2"/>
  <c r="J42" i="2"/>
  <c r="K174" i="2" s="1"/>
  <c r="I42" i="2"/>
  <c r="K42" i="2"/>
  <c r="J68" i="2"/>
  <c r="H68" i="2" s="1"/>
  <c r="I68" i="2"/>
  <c r="K68" i="2"/>
  <c r="F119" i="2"/>
  <c r="K119" i="2" s="1"/>
  <c r="J134" i="2"/>
  <c r="H134" i="2" s="1"/>
  <c r="I134" i="2"/>
  <c r="F408" i="2"/>
  <c r="K408" i="2" s="1"/>
  <c r="G408" i="2"/>
  <c r="F8" i="2"/>
  <c r="K8" i="2" s="1"/>
  <c r="F18" i="2"/>
  <c r="F34" i="2"/>
  <c r="I34" i="2" s="1"/>
  <c r="F54" i="2"/>
  <c r="K54" i="2" s="1"/>
  <c r="F70" i="2"/>
  <c r="K70" i="2" s="1"/>
  <c r="F78" i="2"/>
  <c r="K78" i="2" s="1"/>
  <c r="F103" i="2"/>
  <c r="J103" i="2" s="1"/>
  <c r="H103" i="2" s="1"/>
  <c r="G123" i="2"/>
  <c r="F123" i="2"/>
  <c r="J123" i="2" s="1"/>
  <c r="H123" i="2" s="1"/>
  <c r="G144" i="2"/>
  <c r="F144" i="2"/>
  <c r="K144" i="2" s="1"/>
  <c r="F159" i="2"/>
  <c r="K159" i="2" s="1"/>
  <c r="G193" i="2"/>
  <c r="F193" i="2"/>
  <c r="K193" i="2" s="1"/>
  <c r="G263" i="2"/>
  <c r="F263" i="2"/>
  <c r="K263" i="2" s="1"/>
  <c r="F324" i="2"/>
  <c r="I324" i="2" s="1"/>
  <c r="J3" i="2"/>
  <c r="H3" i="2" s="1"/>
  <c r="F7" i="2"/>
  <c r="K7" i="2" s="1"/>
  <c r="G8" i="2"/>
  <c r="I10" i="2"/>
  <c r="J11" i="2"/>
  <c r="H11" i="2" s="1"/>
  <c r="F17" i="2"/>
  <c r="K17" i="2" s="1"/>
  <c r="I20" i="2"/>
  <c r="J21" i="2"/>
  <c r="F25" i="2"/>
  <c r="I25" i="2" s="1"/>
  <c r="I28" i="2"/>
  <c r="J29" i="2"/>
  <c r="H29" i="2" s="1"/>
  <c r="I33" i="2"/>
  <c r="G34" i="2"/>
  <c r="I38" i="2"/>
  <c r="J39" i="2"/>
  <c r="H39" i="2" s="1"/>
  <c r="F43" i="2"/>
  <c r="K43" i="2" s="1"/>
  <c r="G44" i="2"/>
  <c r="I46" i="2"/>
  <c r="J47" i="2"/>
  <c r="H47" i="2" s="1"/>
  <c r="F53" i="2"/>
  <c r="K53" i="2" s="1"/>
  <c r="G54" i="2"/>
  <c r="I56" i="2"/>
  <c r="J57" i="2"/>
  <c r="H57" i="2" s="1"/>
  <c r="F61" i="2"/>
  <c r="G62" i="2"/>
  <c r="I64" i="2"/>
  <c r="J65" i="2"/>
  <c r="H65" i="2" s="1"/>
  <c r="F69" i="2"/>
  <c r="G70" i="2"/>
  <c r="I72" i="2"/>
  <c r="J73" i="2"/>
  <c r="H73" i="2" s="1"/>
  <c r="F77" i="2"/>
  <c r="J77" i="2" s="1"/>
  <c r="H77" i="2" s="1"/>
  <c r="G78" i="2"/>
  <c r="I82" i="2"/>
  <c r="J83" i="2"/>
  <c r="H83" i="2" s="1"/>
  <c r="F87" i="2"/>
  <c r="I87" i="2" s="1"/>
  <c r="G88" i="2"/>
  <c r="I90" i="2"/>
  <c r="J91" i="2"/>
  <c r="H91" i="2" s="1"/>
  <c r="F95" i="2"/>
  <c r="K95" i="2" s="1"/>
  <c r="G96" i="2"/>
  <c r="I98" i="2"/>
  <c r="J99" i="2"/>
  <c r="H99" i="2" s="1"/>
  <c r="I104" i="2"/>
  <c r="K108" i="2"/>
  <c r="J110" i="2"/>
  <c r="H110" i="2" s="1"/>
  <c r="I121" i="2"/>
  <c r="G125" i="2"/>
  <c r="F127" i="2"/>
  <c r="I127" i="2" s="1"/>
  <c r="J132" i="2"/>
  <c r="H132" i="2" s="1"/>
  <c r="J142" i="2"/>
  <c r="H142" i="2" s="1"/>
  <c r="I142" i="2"/>
  <c r="G157" i="2"/>
  <c r="F157" i="2"/>
  <c r="K157" i="2" s="1"/>
  <c r="G159" i="2"/>
  <c r="K173" i="2"/>
  <c r="K176" i="2"/>
  <c r="J176" i="2"/>
  <c r="H176" i="2" s="1"/>
  <c r="G185" i="2"/>
  <c r="F185" i="2"/>
  <c r="K185" i="2" s="1"/>
  <c r="K204" i="2"/>
  <c r="J204" i="2"/>
  <c r="H204" i="2" s="1"/>
  <c r="I204" i="2"/>
  <c r="K223" i="2"/>
  <c r="J223" i="2"/>
  <c r="H223" i="2" s="1"/>
  <c r="G253" i="2"/>
  <c r="F253" i="2"/>
  <c r="K253" i="2" s="1"/>
  <c r="K272" i="2"/>
  <c r="J272" i="2"/>
  <c r="H272" i="2" s="1"/>
  <c r="I272" i="2"/>
  <c r="K291" i="2"/>
  <c r="J291" i="2"/>
  <c r="H291" i="2" s="1"/>
  <c r="K318" i="2"/>
  <c r="J318" i="2"/>
  <c r="H318" i="2" s="1"/>
  <c r="I318" i="2"/>
  <c r="J321" i="2"/>
  <c r="K364" i="2" s="1"/>
  <c r="I321" i="2"/>
  <c r="F107" i="2"/>
  <c r="I107" i="2" s="1"/>
  <c r="F26" i="2"/>
  <c r="J26" i="2" s="1"/>
  <c r="H26" i="2" s="1"/>
  <c r="F88" i="2"/>
  <c r="J88" i="2" s="1"/>
  <c r="H88" i="2" s="1"/>
  <c r="K212" i="2"/>
  <c r="J212" i="2"/>
  <c r="H212" i="2" s="1"/>
  <c r="I212" i="2"/>
  <c r="K231" i="2"/>
  <c r="J231" i="2"/>
  <c r="H231" i="2" s="1"/>
  <c r="K282" i="2"/>
  <c r="J282" i="2"/>
  <c r="K561" i="2" s="1"/>
  <c r="I282" i="2"/>
  <c r="J299" i="2"/>
  <c r="K3" i="2"/>
  <c r="G7" i="2"/>
  <c r="I9" i="2"/>
  <c r="K11" i="2"/>
  <c r="G17" i="2"/>
  <c r="I19" i="2"/>
  <c r="G25" i="2"/>
  <c r="I27" i="2"/>
  <c r="K29" i="2"/>
  <c r="I35" i="2"/>
  <c r="K39" i="2"/>
  <c r="G43" i="2"/>
  <c r="I45" i="2"/>
  <c r="K47" i="2"/>
  <c r="G53" i="2"/>
  <c r="I55" i="2"/>
  <c r="K57" i="2"/>
  <c r="I63" i="2"/>
  <c r="K65" i="2"/>
  <c r="I71" i="2"/>
  <c r="K73" i="2"/>
  <c r="I81" i="2"/>
  <c r="K83" i="2"/>
  <c r="I89" i="2"/>
  <c r="K91" i="2"/>
  <c r="G95" i="2"/>
  <c r="I97" i="2"/>
  <c r="K99" i="2"/>
  <c r="F102" i="2"/>
  <c r="I102" i="2" s="1"/>
  <c r="F109" i="2"/>
  <c r="K109" i="2" s="1"/>
  <c r="I120" i="2"/>
  <c r="G120" i="2"/>
  <c r="K120" i="2"/>
  <c r="G127" i="2"/>
  <c r="G131" i="2"/>
  <c r="F131" i="2"/>
  <c r="J131" i="2" s="1"/>
  <c r="H131" i="2" s="1"/>
  <c r="F133" i="2"/>
  <c r="I133" i="2" s="1"/>
  <c r="K134" i="2"/>
  <c r="J137" i="2"/>
  <c r="I150" i="2"/>
  <c r="G164" i="2"/>
  <c r="F164" i="2"/>
  <c r="J164" i="2" s="1"/>
  <c r="H164" i="2" s="1"/>
  <c r="K194" i="2"/>
  <c r="J194" i="2"/>
  <c r="H194" i="2" s="1"/>
  <c r="I194" i="2"/>
  <c r="K213" i="2"/>
  <c r="J213" i="2"/>
  <c r="H213" i="2" s="1"/>
  <c r="F245" i="2"/>
  <c r="I245" i="2" s="1"/>
  <c r="K264" i="2"/>
  <c r="J264" i="2"/>
  <c r="H264" i="2" s="1"/>
  <c r="I264" i="2"/>
  <c r="K283" i="2"/>
  <c r="J283" i="2"/>
  <c r="H283" i="2" s="1"/>
  <c r="J337" i="2"/>
  <c r="I337" i="2"/>
  <c r="J381" i="2"/>
  <c r="H381" i="2" s="1"/>
  <c r="I381" i="2"/>
  <c r="K509" i="2"/>
  <c r="J509" i="2"/>
  <c r="K239" i="2"/>
  <c r="J239" i="2"/>
  <c r="H239" i="2" s="1"/>
  <c r="G271" i="2"/>
  <c r="F271" i="2"/>
  <c r="K271" i="2" s="1"/>
  <c r="J118" i="2"/>
  <c r="H118" i="2" s="1"/>
  <c r="I118" i="2"/>
  <c r="F135" i="2"/>
  <c r="K135" i="2" s="1"/>
  <c r="F151" i="2"/>
  <c r="K151" i="2" s="1"/>
  <c r="K186" i="2"/>
  <c r="J186" i="2"/>
  <c r="H186" i="2" s="1"/>
  <c r="I186" i="2"/>
  <c r="K205" i="2"/>
  <c r="J205" i="2"/>
  <c r="H205" i="2" s="1"/>
  <c r="G237" i="2"/>
  <c r="F237" i="2"/>
  <c r="K237" i="2" s="1"/>
  <c r="K254" i="2"/>
  <c r="J254" i="2"/>
  <c r="I254" i="2"/>
  <c r="K273" i="2"/>
  <c r="J273" i="2"/>
  <c r="G305" i="2"/>
  <c r="F305" i="2"/>
  <c r="K305" i="2" s="1"/>
  <c r="K334" i="2"/>
  <c r="J334" i="2"/>
  <c r="H334" i="2" s="1"/>
  <c r="I334" i="2"/>
  <c r="F359" i="2"/>
  <c r="K359" i="2" s="1"/>
  <c r="K168" i="2"/>
  <c r="J168" i="2"/>
  <c r="H168" i="2" s="1"/>
  <c r="F44" i="2"/>
  <c r="K44" i="2" s="1"/>
  <c r="I62" i="2"/>
  <c r="F4" i="2"/>
  <c r="K4" i="2" s="1"/>
  <c r="F12" i="2"/>
  <c r="K12" i="2" s="1"/>
  <c r="J18" i="2"/>
  <c r="K46" i="2" s="1"/>
  <c r="F22" i="2"/>
  <c r="F30" i="2"/>
  <c r="K30" i="2" s="1"/>
  <c r="F40" i="2"/>
  <c r="F48" i="2"/>
  <c r="K48" i="2" s="1"/>
  <c r="F58" i="2"/>
  <c r="K58" i="2" s="1"/>
  <c r="J62" i="2"/>
  <c r="H62" i="2" s="1"/>
  <c r="F66" i="2"/>
  <c r="F74" i="2"/>
  <c r="F84" i="2"/>
  <c r="F100" i="2"/>
  <c r="F105" i="2"/>
  <c r="J105" i="2" s="1"/>
  <c r="H105" i="2" s="1"/>
  <c r="G115" i="2"/>
  <c r="G128" i="2"/>
  <c r="G135" i="2"/>
  <c r="G139" i="2"/>
  <c r="F139" i="2"/>
  <c r="F141" i="2"/>
  <c r="I141" i="2" s="1"/>
  <c r="G149" i="2"/>
  <c r="F149" i="2"/>
  <c r="K149" i="2" s="1"/>
  <c r="G151" i="2"/>
  <c r="G167" i="2"/>
  <c r="F167" i="2"/>
  <c r="K167" i="2" s="1"/>
  <c r="F172" i="2"/>
  <c r="J172" i="2" s="1"/>
  <c r="H172" i="2" s="1"/>
  <c r="K195" i="2"/>
  <c r="J195" i="2"/>
  <c r="H195" i="2" s="1"/>
  <c r="F229" i="2"/>
  <c r="I229" i="2" s="1"/>
  <c r="K246" i="2"/>
  <c r="J246" i="2"/>
  <c r="H246" i="2" s="1"/>
  <c r="I246" i="2"/>
  <c r="K265" i="2"/>
  <c r="J265" i="2"/>
  <c r="H265" i="2" s="1"/>
  <c r="G297" i="2"/>
  <c r="F297" i="2"/>
  <c r="I297" i="2" s="1"/>
  <c r="G312" i="2"/>
  <c r="F312" i="2"/>
  <c r="J312" i="2" s="1"/>
  <c r="H312" i="2" s="1"/>
  <c r="K378" i="2"/>
  <c r="I378" i="2"/>
  <c r="J415" i="2"/>
  <c r="I415" i="2"/>
  <c r="K220" i="2"/>
  <c r="J220" i="2"/>
  <c r="H220" i="2" s="1"/>
  <c r="I220" i="2"/>
  <c r="K307" i="2"/>
  <c r="J307" i="2"/>
  <c r="H307" i="2" s="1"/>
  <c r="I96" i="2"/>
  <c r="F114" i="2"/>
  <c r="J114" i="2" s="1"/>
  <c r="H114" i="2" s="1"/>
  <c r="F125" i="2"/>
  <c r="J125" i="2" s="1"/>
  <c r="H125" i="2" s="1"/>
  <c r="J17" i="2"/>
  <c r="H17" i="2" s="1"/>
  <c r="K62" i="2"/>
  <c r="K104" i="2"/>
  <c r="G105" i="2"/>
  <c r="F115" i="2"/>
  <c r="J115" i="2" s="1"/>
  <c r="H115" i="2" s="1"/>
  <c r="J126" i="2"/>
  <c r="H126" i="2" s="1"/>
  <c r="I126" i="2"/>
  <c r="F128" i="2"/>
  <c r="J128" i="2" s="1"/>
  <c r="H128" i="2" s="1"/>
  <c r="I137" i="2"/>
  <c r="G141" i="2"/>
  <c r="G154" i="2"/>
  <c r="J154" i="2"/>
  <c r="H154" i="2" s="1"/>
  <c r="K158" i="2"/>
  <c r="J158" i="2"/>
  <c r="H158" i="2" s="1"/>
  <c r="J187" i="2"/>
  <c r="G219" i="2"/>
  <c r="F219" i="2"/>
  <c r="J219" i="2" s="1"/>
  <c r="H219" i="2" s="1"/>
  <c r="K238" i="2"/>
  <c r="J238" i="2"/>
  <c r="I238" i="2"/>
  <c r="K255" i="2"/>
  <c r="J255" i="2"/>
  <c r="H255" i="2" s="1"/>
  <c r="G289" i="2"/>
  <c r="F289" i="2"/>
  <c r="K289" i="2" s="1"/>
  <c r="K306" i="2"/>
  <c r="J306" i="2"/>
  <c r="H306" i="2" s="1"/>
  <c r="I306" i="2"/>
  <c r="G340" i="2"/>
  <c r="F340" i="2"/>
  <c r="K340" i="2" s="1"/>
  <c r="J152" i="2"/>
  <c r="H152" i="2" s="1"/>
  <c r="I152" i="2"/>
  <c r="F203" i="2"/>
  <c r="K203" i="2" s="1"/>
  <c r="K290" i="2"/>
  <c r="J290" i="2"/>
  <c r="K299" i="2" s="1"/>
  <c r="I290" i="2"/>
  <c r="J355" i="2"/>
  <c r="H355" i="2" s="1"/>
  <c r="I355" i="2"/>
  <c r="G119" i="2"/>
  <c r="I110" i="2"/>
  <c r="G110" i="2"/>
  <c r="F117" i="2"/>
  <c r="J117" i="2" s="1"/>
  <c r="H117" i="2" s="1"/>
  <c r="K118" i="2"/>
  <c r="J121" i="2"/>
  <c r="K132" i="2"/>
  <c r="I136" i="2"/>
  <c r="G136" i="2"/>
  <c r="K136" i="2"/>
  <c r="J173" i="2"/>
  <c r="H173" i="2" s="1"/>
  <c r="G175" i="2"/>
  <c r="F175" i="2"/>
  <c r="J175" i="2" s="1"/>
  <c r="H175" i="2" s="1"/>
  <c r="G182" i="2"/>
  <c r="F182" i="2"/>
  <c r="J182" i="2" s="1"/>
  <c r="H182" i="2" s="1"/>
  <c r="G211" i="2"/>
  <c r="F211" i="2"/>
  <c r="I211" i="2" s="1"/>
  <c r="K230" i="2"/>
  <c r="J230" i="2"/>
  <c r="H230" i="2" s="1"/>
  <c r="I230" i="2"/>
  <c r="K247" i="2"/>
  <c r="J247" i="2"/>
  <c r="H247" i="2" s="1"/>
  <c r="G279" i="2"/>
  <c r="F279" i="2"/>
  <c r="K279" i="2" s="1"/>
  <c r="K298" i="2"/>
  <c r="J298" i="2"/>
  <c r="H298" i="2" s="1"/>
  <c r="I298" i="2"/>
  <c r="G330" i="2"/>
  <c r="F330" i="2"/>
  <c r="I330" i="2" s="1"/>
  <c r="J351" i="2"/>
  <c r="H351" i="2" s="1"/>
  <c r="I351" i="2"/>
  <c r="F400" i="2"/>
  <c r="K400" i="2" s="1"/>
  <c r="G400" i="2"/>
  <c r="G124" i="2"/>
  <c r="G132" i="2"/>
  <c r="G140" i="2"/>
  <c r="J143" i="2"/>
  <c r="H143" i="2" s="1"/>
  <c r="J153" i="2"/>
  <c r="H153" i="2" s="1"/>
  <c r="I160" i="2"/>
  <c r="J163" i="2"/>
  <c r="H163" i="2" s="1"/>
  <c r="I170" i="2"/>
  <c r="J171" i="2"/>
  <c r="K187" i="2" s="1"/>
  <c r="I180" i="2"/>
  <c r="J181" i="2"/>
  <c r="H181" i="2" s="1"/>
  <c r="I188" i="2"/>
  <c r="I196" i="2"/>
  <c r="I206" i="2"/>
  <c r="I214" i="2"/>
  <c r="I224" i="2"/>
  <c r="I232" i="2"/>
  <c r="I240" i="2"/>
  <c r="I248" i="2"/>
  <c r="I256" i="2"/>
  <c r="I266" i="2"/>
  <c r="I274" i="2"/>
  <c r="I284" i="2"/>
  <c r="I292" i="2"/>
  <c r="I300" i="2"/>
  <c r="I308" i="2"/>
  <c r="J325" i="2"/>
  <c r="H325" i="2" s="1"/>
  <c r="F327" i="2"/>
  <c r="K327" i="2" s="1"/>
  <c r="I348" i="2"/>
  <c r="F376" i="2"/>
  <c r="I376" i="2" s="1"/>
  <c r="G376" i="2"/>
  <c r="F384" i="2"/>
  <c r="K387" i="2"/>
  <c r="I387" i="2"/>
  <c r="J387" i="2"/>
  <c r="H387" i="2" s="1"/>
  <c r="G387" i="2"/>
  <c r="G406" i="2"/>
  <c r="F406" i="2"/>
  <c r="I406" i="2" s="1"/>
  <c r="K143" i="2"/>
  <c r="K153" i="2"/>
  <c r="K163" i="2"/>
  <c r="I169" i="2"/>
  <c r="K171" i="2"/>
  <c r="I179" i="2"/>
  <c r="K181" i="2"/>
  <c r="I187" i="2"/>
  <c r="I195" i="2"/>
  <c r="I205" i="2"/>
  <c r="I213" i="2"/>
  <c r="I223" i="2"/>
  <c r="I231" i="2"/>
  <c r="I239" i="2"/>
  <c r="I247" i="2"/>
  <c r="I255" i="2"/>
  <c r="I265" i="2"/>
  <c r="I273" i="2"/>
  <c r="I283" i="2"/>
  <c r="I291" i="2"/>
  <c r="I299" i="2"/>
  <c r="I307" i="2"/>
  <c r="G320" i="2"/>
  <c r="J320" i="2"/>
  <c r="H320" i="2" s="1"/>
  <c r="J323" i="2"/>
  <c r="H323" i="2" s="1"/>
  <c r="G336" i="2"/>
  <c r="G346" i="2"/>
  <c r="K346" i="2"/>
  <c r="F362" i="2"/>
  <c r="I362" i="2" s="1"/>
  <c r="F382" i="2"/>
  <c r="K382" i="2" s="1"/>
  <c r="G382" i="2"/>
  <c r="F390" i="2"/>
  <c r="J390" i="2" s="1"/>
  <c r="H390" i="2" s="1"/>
  <c r="G390" i="2"/>
  <c r="F416" i="2"/>
  <c r="I416" i="2" s="1"/>
  <c r="G416" i="2"/>
  <c r="F434" i="2"/>
  <c r="K434" i="2" s="1"/>
  <c r="G434" i="2"/>
  <c r="F336" i="2"/>
  <c r="K336" i="2" s="1"/>
  <c r="F368" i="2"/>
  <c r="I368" i="2" s="1"/>
  <c r="G388" i="2"/>
  <c r="F388" i="2"/>
  <c r="J388" i="2" s="1"/>
  <c r="H388" i="2" s="1"/>
  <c r="G398" i="2"/>
  <c r="F398" i="2"/>
  <c r="K398" i="2" s="1"/>
  <c r="K409" i="2"/>
  <c r="J409" i="2"/>
  <c r="H409" i="2" s="1"/>
  <c r="I409" i="2"/>
  <c r="G497" i="2"/>
  <c r="F497" i="2"/>
  <c r="K497" i="2" s="1"/>
  <c r="K169" i="2"/>
  <c r="K179" i="2"/>
  <c r="F190" i="2"/>
  <c r="J190" i="2" s="1"/>
  <c r="H190" i="2" s="1"/>
  <c r="F200" i="2"/>
  <c r="J200" i="2" s="1"/>
  <c r="H200" i="2" s="1"/>
  <c r="F208" i="2"/>
  <c r="J208" i="2" s="1"/>
  <c r="H208" i="2" s="1"/>
  <c r="J216" i="2"/>
  <c r="H216" i="2" s="1"/>
  <c r="F226" i="2"/>
  <c r="J226" i="2" s="1"/>
  <c r="H226" i="2" s="1"/>
  <c r="F234" i="2"/>
  <c r="J234" i="2" s="1"/>
  <c r="H234" i="2" s="1"/>
  <c r="F242" i="2"/>
  <c r="J242" i="2" s="1"/>
  <c r="H242" i="2" s="1"/>
  <c r="F250" i="2"/>
  <c r="J250" i="2" s="1"/>
  <c r="H250" i="2" s="1"/>
  <c r="F260" i="2"/>
  <c r="J260" i="2" s="1"/>
  <c r="H260" i="2" s="1"/>
  <c r="J268" i="2"/>
  <c r="F276" i="2"/>
  <c r="J276" i="2" s="1"/>
  <c r="H276" i="2" s="1"/>
  <c r="F286" i="2"/>
  <c r="J286" i="2" s="1"/>
  <c r="H286" i="2" s="1"/>
  <c r="F294" i="2"/>
  <c r="J294" i="2" s="1"/>
  <c r="H294" i="2" s="1"/>
  <c r="F302" i="2"/>
  <c r="J302" i="2" s="1"/>
  <c r="H302" i="2" s="1"/>
  <c r="F310" i="2"/>
  <c r="J310" i="2" s="1"/>
  <c r="H310" i="2" s="1"/>
  <c r="J316" i="2"/>
  <c r="H316" i="2" s="1"/>
  <c r="F329" i="2"/>
  <c r="I329" i="2" s="1"/>
  <c r="F332" i="2"/>
  <c r="J332" i="2" s="1"/>
  <c r="H332" i="2" s="1"/>
  <c r="I333" i="2"/>
  <c r="I338" i="2"/>
  <c r="J342" i="2"/>
  <c r="H342" i="2" s="1"/>
  <c r="J348" i="2"/>
  <c r="H348" i="2" s="1"/>
  <c r="G350" i="2"/>
  <c r="F350" i="2"/>
  <c r="I350" i="2" s="1"/>
  <c r="G354" i="2"/>
  <c r="F354" i="2"/>
  <c r="I354" i="2" s="1"/>
  <c r="J360" i="2"/>
  <c r="H360" i="2" s="1"/>
  <c r="I360" i="2"/>
  <c r="F371" i="2"/>
  <c r="F374" i="2"/>
  <c r="I374" i="2" s="1"/>
  <c r="K428" i="2"/>
  <c r="I428" i="2"/>
  <c r="F432" i="2"/>
  <c r="K432" i="2" s="1"/>
  <c r="K445" i="2"/>
  <c r="I445" i="2"/>
  <c r="J459" i="2"/>
  <c r="H459" i="2" s="1"/>
  <c r="I459" i="2"/>
  <c r="G494" i="2"/>
  <c r="F494" i="2"/>
  <c r="I494" i="2" s="1"/>
  <c r="I138" i="2"/>
  <c r="I148" i="2"/>
  <c r="I156" i="2"/>
  <c r="I166" i="2"/>
  <c r="I174" i="2"/>
  <c r="I184" i="2"/>
  <c r="F189" i="2"/>
  <c r="I189" i="2" s="1"/>
  <c r="G190" i="2"/>
  <c r="I192" i="2"/>
  <c r="F197" i="2"/>
  <c r="I197" i="2" s="1"/>
  <c r="G200" i="2"/>
  <c r="I202" i="2"/>
  <c r="F207" i="2"/>
  <c r="I207" i="2" s="1"/>
  <c r="G208" i="2"/>
  <c r="I210" i="2"/>
  <c r="F215" i="2"/>
  <c r="I215" i="2" s="1"/>
  <c r="G216" i="2"/>
  <c r="I218" i="2"/>
  <c r="F225" i="2"/>
  <c r="I225" i="2" s="1"/>
  <c r="G226" i="2"/>
  <c r="I228" i="2"/>
  <c r="I233" i="2"/>
  <c r="I236" i="2"/>
  <c r="F241" i="2"/>
  <c r="I241" i="2" s="1"/>
  <c r="G242" i="2"/>
  <c r="I244" i="2"/>
  <c r="F249" i="2"/>
  <c r="I249" i="2" s="1"/>
  <c r="G250" i="2"/>
  <c r="I252" i="2"/>
  <c r="F257" i="2"/>
  <c r="I257" i="2" s="1"/>
  <c r="G260" i="2"/>
  <c r="I262" i="2"/>
  <c r="F267" i="2"/>
  <c r="I267" i="2" s="1"/>
  <c r="I270" i="2"/>
  <c r="F275" i="2"/>
  <c r="I275" i="2" s="1"/>
  <c r="G276" i="2"/>
  <c r="I278" i="2"/>
  <c r="F285" i="2"/>
  <c r="I285" i="2" s="1"/>
  <c r="G286" i="2"/>
  <c r="F293" i="2"/>
  <c r="I293" i="2" s="1"/>
  <c r="G294" i="2"/>
  <c r="F301" i="2"/>
  <c r="I301" i="2" s="1"/>
  <c r="G302" i="2"/>
  <c r="F309" i="2"/>
  <c r="I309" i="2" s="1"/>
  <c r="G310" i="2"/>
  <c r="I311" i="2"/>
  <c r="G316" i="2"/>
  <c r="F319" i="2"/>
  <c r="J319" i="2" s="1"/>
  <c r="H319" i="2" s="1"/>
  <c r="I320" i="2"/>
  <c r="F322" i="2"/>
  <c r="J322" i="2" s="1"/>
  <c r="H322" i="2" s="1"/>
  <c r="G329" i="2"/>
  <c r="F335" i="2"/>
  <c r="J335" i="2" s="1"/>
  <c r="H335" i="2" s="1"/>
  <c r="K342" i="2"/>
  <c r="G347" i="2"/>
  <c r="K347" i="2"/>
  <c r="F372" i="2"/>
  <c r="J372" i="2" s="1"/>
  <c r="H372" i="2" s="1"/>
  <c r="G380" i="2"/>
  <c r="F380" i="2"/>
  <c r="I380" i="2" s="1"/>
  <c r="K391" i="2"/>
  <c r="J391" i="2"/>
  <c r="H391" i="2" s="1"/>
  <c r="I391" i="2"/>
  <c r="F410" i="2"/>
  <c r="J410" i="2" s="1"/>
  <c r="H410" i="2" s="1"/>
  <c r="G410" i="2"/>
  <c r="G432" i="2"/>
  <c r="K469" i="2"/>
  <c r="J469" i="2"/>
  <c r="H469" i="2" s="1"/>
  <c r="I469" i="2"/>
  <c r="G322" i="2"/>
  <c r="I323" i="2"/>
  <c r="G328" i="2"/>
  <c r="G358" i="2"/>
  <c r="F358" i="2"/>
  <c r="K358" i="2" s="1"/>
  <c r="K396" i="2"/>
  <c r="I396" i="2"/>
  <c r="J399" i="2"/>
  <c r="H399" i="2" s="1"/>
  <c r="I399" i="2"/>
  <c r="G429" i="2"/>
  <c r="F429" i="2"/>
  <c r="J429" i="2" s="1"/>
  <c r="H429" i="2" s="1"/>
  <c r="G447" i="2"/>
  <c r="F447" i="2"/>
  <c r="I447" i="2" s="1"/>
  <c r="F328" i="2"/>
  <c r="J328" i="2" s="1"/>
  <c r="H328" i="2" s="1"/>
  <c r="K337" i="2"/>
  <c r="J341" i="2"/>
  <c r="H341" i="2" s="1"/>
  <c r="I347" i="2"/>
  <c r="K351" i="2"/>
  <c r="G351" i="2"/>
  <c r="K352" i="2"/>
  <c r="G355" i="2"/>
  <c r="K355" i="2"/>
  <c r="K375" i="2"/>
  <c r="J375" i="2"/>
  <c r="I375" i="2"/>
  <c r="F392" i="2"/>
  <c r="G392" i="2"/>
  <c r="F402" i="2"/>
  <c r="K402" i="2" s="1"/>
  <c r="K405" i="2"/>
  <c r="I405" i="2"/>
  <c r="J405" i="2"/>
  <c r="H405" i="2" s="1"/>
  <c r="G405" i="2"/>
  <c r="G411" i="2"/>
  <c r="F411" i="2"/>
  <c r="K411" i="2" s="1"/>
  <c r="K415" i="2"/>
  <c r="J430" i="2"/>
  <c r="H430" i="2" s="1"/>
  <c r="I430" i="2"/>
  <c r="J451" i="2"/>
  <c r="H451" i="2" s="1"/>
  <c r="I451" i="2"/>
  <c r="G516" i="2"/>
  <c r="J516" i="2"/>
  <c r="H516" i="2" s="1"/>
  <c r="I343" i="2"/>
  <c r="I353" i="2"/>
  <c r="I361" i="2"/>
  <c r="K363" i="2"/>
  <c r="I377" i="2"/>
  <c r="G377" i="2"/>
  <c r="I395" i="2"/>
  <c r="K421" i="2"/>
  <c r="K423" i="2"/>
  <c r="K435" i="2"/>
  <c r="J438" i="2"/>
  <c r="H438" i="2" s="1"/>
  <c r="G438" i="2"/>
  <c r="F440" i="2"/>
  <c r="K440" i="2" s="1"/>
  <c r="G455" i="2"/>
  <c r="F455" i="2"/>
  <c r="J455" i="2" s="1"/>
  <c r="H455" i="2" s="1"/>
  <c r="G474" i="2"/>
  <c r="F474" i="2"/>
  <c r="I474" i="2" s="1"/>
  <c r="J343" i="2"/>
  <c r="H343" i="2" s="1"/>
  <c r="J353" i="2"/>
  <c r="J361" i="2"/>
  <c r="H361" i="2" s="1"/>
  <c r="J370" i="2"/>
  <c r="H370" i="2" s="1"/>
  <c r="K373" i="2"/>
  <c r="J386" i="2"/>
  <c r="H386" i="2" s="1"/>
  <c r="K389" i="2"/>
  <c r="J404" i="2"/>
  <c r="K496" i="2" s="1"/>
  <c r="K407" i="2"/>
  <c r="G419" i="2"/>
  <c r="F419" i="2"/>
  <c r="J419" i="2" s="1"/>
  <c r="H419" i="2" s="1"/>
  <c r="F442" i="2"/>
  <c r="I442" i="2" s="1"/>
  <c r="J443" i="2"/>
  <c r="H443" i="2" s="1"/>
  <c r="F475" i="2"/>
  <c r="J475" i="2" s="1"/>
  <c r="H475" i="2" s="1"/>
  <c r="F478" i="2"/>
  <c r="K478" i="2" s="1"/>
  <c r="F528" i="2"/>
  <c r="J528" i="2" s="1"/>
  <c r="H528" i="2" s="1"/>
  <c r="G528" i="2"/>
  <c r="I580" i="2"/>
  <c r="K580" i="2"/>
  <c r="J580" i="2"/>
  <c r="H580" i="2" s="1"/>
  <c r="K379" i="2"/>
  <c r="I379" i="2"/>
  <c r="K397" i="2"/>
  <c r="I397" i="2"/>
  <c r="J412" i="2"/>
  <c r="H412" i="2" s="1"/>
  <c r="G412" i="2"/>
  <c r="F414" i="2"/>
  <c r="K431" i="2"/>
  <c r="K433" i="2"/>
  <c r="K443" i="2"/>
  <c r="J448" i="2"/>
  <c r="H448" i="2" s="1"/>
  <c r="F450" i="2"/>
  <c r="K450" i="2" s="1"/>
  <c r="F460" i="2"/>
  <c r="I460" i="2" s="1"/>
  <c r="G511" i="2"/>
  <c r="F511" i="2"/>
  <c r="I511" i="2" s="1"/>
  <c r="K572" i="2"/>
  <c r="J572" i="2"/>
  <c r="H572" i="2" s="1"/>
  <c r="I572" i="2"/>
  <c r="F452" i="2"/>
  <c r="J452" i="2" s="1"/>
  <c r="H452" i="2" s="1"/>
  <c r="G458" i="2"/>
  <c r="F458" i="2"/>
  <c r="K458" i="2" s="1"/>
  <c r="F467" i="2"/>
  <c r="G530" i="2"/>
  <c r="F530" i="2"/>
  <c r="K530" i="2" s="1"/>
  <c r="I605" i="2"/>
  <c r="J605" i="2"/>
  <c r="I365" i="2"/>
  <c r="G369" i="2"/>
  <c r="I370" i="2"/>
  <c r="K377" i="2"/>
  <c r="I383" i="2"/>
  <c r="G385" i="2"/>
  <c r="I386" i="2"/>
  <c r="G397" i="2"/>
  <c r="I401" i="2"/>
  <c r="G403" i="2"/>
  <c r="I404" i="2"/>
  <c r="I412" i="2"/>
  <c r="G420" i="2"/>
  <c r="F422" i="2"/>
  <c r="K422" i="2" s="1"/>
  <c r="I423" i="2"/>
  <c r="I448" i="2"/>
  <c r="G452" i="2"/>
  <c r="I462" i="2"/>
  <c r="F468" i="2"/>
  <c r="J468" i="2" s="1"/>
  <c r="H468" i="2" s="1"/>
  <c r="K479" i="2"/>
  <c r="J479" i="2"/>
  <c r="H479" i="2" s="1"/>
  <c r="I479" i="2"/>
  <c r="F488" i="2"/>
  <c r="K488" i="2" s="1"/>
  <c r="G488" i="2"/>
  <c r="I521" i="2"/>
  <c r="K521" i="2"/>
  <c r="J521" i="2"/>
  <c r="H521" i="2" s="1"/>
  <c r="G576" i="2"/>
  <c r="F576" i="2"/>
  <c r="J576" i="2" s="1"/>
  <c r="H576" i="2" s="1"/>
  <c r="G594" i="2"/>
  <c r="F594" i="2"/>
  <c r="J594" i="2" s="1"/>
  <c r="H594" i="2" s="1"/>
  <c r="F369" i="2"/>
  <c r="J369" i="2" s="1"/>
  <c r="H369" i="2" s="1"/>
  <c r="K370" i="2"/>
  <c r="J378" i="2"/>
  <c r="H378" i="2" s="1"/>
  <c r="K381" i="2"/>
  <c r="F385" i="2"/>
  <c r="J385" i="2" s="1"/>
  <c r="H385" i="2" s="1"/>
  <c r="K386" i="2"/>
  <c r="J396" i="2"/>
  <c r="H396" i="2" s="1"/>
  <c r="K399" i="2"/>
  <c r="F403" i="2"/>
  <c r="J403" i="2" s="1"/>
  <c r="H403" i="2" s="1"/>
  <c r="K404" i="2"/>
  <c r="K412" i="2"/>
  <c r="F420" i="2"/>
  <c r="G422" i="2"/>
  <c r="F426" i="2"/>
  <c r="J427" i="2"/>
  <c r="H427" i="2" s="1"/>
  <c r="G437" i="2"/>
  <c r="F437" i="2"/>
  <c r="J437" i="2" s="1"/>
  <c r="H437" i="2" s="1"/>
  <c r="K448" i="2"/>
  <c r="F492" i="2"/>
  <c r="J492" i="2" s="1"/>
  <c r="H492" i="2" s="1"/>
  <c r="G492" i="2"/>
  <c r="K449" i="2"/>
  <c r="K451" i="2"/>
  <c r="K459" i="2"/>
  <c r="J461" i="2"/>
  <c r="I461" i="2"/>
  <c r="F480" i="2"/>
  <c r="K480" i="2" s="1"/>
  <c r="G480" i="2"/>
  <c r="G483" i="2"/>
  <c r="F483" i="2"/>
  <c r="I483" i="2" s="1"/>
  <c r="J418" i="2"/>
  <c r="H418" i="2" s="1"/>
  <c r="J428" i="2"/>
  <c r="H428" i="2" s="1"/>
  <c r="J436" i="2"/>
  <c r="H436" i="2" s="1"/>
  <c r="J445" i="2"/>
  <c r="H445" i="2" s="1"/>
  <c r="J454" i="2"/>
  <c r="H454" i="2" s="1"/>
  <c r="J462" i="2"/>
  <c r="H462" i="2" s="1"/>
  <c r="J495" i="2"/>
  <c r="H495" i="2" s="1"/>
  <c r="I499" i="2"/>
  <c r="G534" i="2"/>
  <c r="K534" i="2"/>
  <c r="K538" i="2"/>
  <c r="G538" i="2"/>
  <c r="G542" i="2"/>
  <c r="G546" i="2"/>
  <c r="K547" i="2"/>
  <c r="G562" i="2"/>
  <c r="F562" i="2"/>
  <c r="I562" i="2" s="1"/>
  <c r="G574" i="2"/>
  <c r="F574" i="2"/>
  <c r="J574" i="2" s="1"/>
  <c r="H574" i="2" s="1"/>
  <c r="G583" i="2"/>
  <c r="G607" i="2"/>
  <c r="F607" i="2"/>
  <c r="I607" i="2" s="1"/>
  <c r="G625" i="2"/>
  <c r="F625" i="2"/>
  <c r="K625" i="2" s="1"/>
  <c r="I676" i="2"/>
  <c r="K676" i="2"/>
  <c r="J676" i="2"/>
  <c r="H676" i="2" s="1"/>
  <c r="J466" i="2"/>
  <c r="H466" i="2" s="1"/>
  <c r="K477" i="2"/>
  <c r="I491" i="2"/>
  <c r="K495" i="2"/>
  <c r="K503" i="2"/>
  <c r="J503" i="2"/>
  <c r="H503" i="2" s="1"/>
  <c r="G503" i="2"/>
  <c r="F518" i="2"/>
  <c r="J518" i="2" s="1"/>
  <c r="H518" i="2" s="1"/>
  <c r="K520" i="2"/>
  <c r="F525" i="2"/>
  <c r="I525" i="2" s="1"/>
  <c r="F542" i="2"/>
  <c r="I542" i="2" s="1"/>
  <c r="F546" i="2"/>
  <c r="I546" i="2" s="1"/>
  <c r="F550" i="2"/>
  <c r="I550" i="2" s="1"/>
  <c r="F554" i="2"/>
  <c r="I554" i="2" s="1"/>
  <c r="G559" i="2"/>
  <c r="F559" i="2"/>
  <c r="J559" i="2" s="1"/>
  <c r="H559" i="2" s="1"/>
  <c r="F583" i="2"/>
  <c r="K583" i="2" s="1"/>
  <c r="K636" i="2"/>
  <c r="J636" i="2"/>
  <c r="H636" i="2" s="1"/>
  <c r="G556" i="2"/>
  <c r="F556" i="2"/>
  <c r="J556" i="2" s="1"/>
  <c r="H556" i="2" s="1"/>
  <c r="J566" i="2"/>
  <c r="I566" i="2"/>
  <c r="G608" i="2"/>
  <c r="F608" i="2"/>
  <c r="I608" i="2" s="1"/>
  <c r="J641" i="2"/>
  <c r="H641" i="2" s="1"/>
  <c r="I641" i="2"/>
  <c r="K641" i="2"/>
  <c r="G821" i="2"/>
  <c r="F821" i="2"/>
  <c r="I821" i="2" s="1"/>
  <c r="G456" i="2"/>
  <c r="F465" i="2"/>
  <c r="J465" i="2" s="1"/>
  <c r="G466" i="2"/>
  <c r="G477" i="2"/>
  <c r="G491" i="2"/>
  <c r="G493" i="2"/>
  <c r="J499" i="2"/>
  <c r="H499" i="2" s="1"/>
  <c r="I506" i="2"/>
  <c r="I508" i="2"/>
  <c r="I510" i="2"/>
  <c r="G515" i="2"/>
  <c r="F515" i="2"/>
  <c r="I515" i="2" s="1"/>
  <c r="G520" i="2"/>
  <c r="G529" i="2"/>
  <c r="J534" i="2"/>
  <c r="H534" i="2" s="1"/>
  <c r="J538" i="2"/>
  <c r="H538" i="2" s="1"/>
  <c r="G571" i="2"/>
  <c r="F571" i="2"/>
  <c r="J571" i="2" s="1"/>
  <c r="H571" i="2" s="1"/>
  <c r="F584" i="2"/>
  <c r="I584" i="2" s="1"/>
  <c r="J588" i="2"/>
  <c r="H588" i="2" s="1"/>
  <c r="G609" i="2"/>
  <c r="F609" i="2"/>
  <c r="K609" i="2" s="1"/>
  <c r="I413" i="2"/>
  <c r="I421" i="2"/>
  <c r="I431" i="2"/>
  <c r="I439" i="2"/>
  <c r="I449" i="2"/>
  <c r="I457" i="2"/>
  <c r="I473" i="2"/>
  <c r="F476" i="2"/>
  <c r="I476" i="2" s="1"/>
  <c r="F481" i="2"/>
  <c r="J481" i="2" s="1"/>
  <c r="H481" i="2" s="1"/>
  <c r="I482" i="2"/>
  <c r="F485" i="2"/>
  <c r="I485" i="2" s="1"/>
  <c r="I487" i="2"/>
  <c r="F490" i="2"/>
  <c r="J490" i="2" s="1"/>
  <c r="H490" i="2" s="1"/>
  <c r="F493" i="2"/>
  <c r="K493" i="2" s="1"/>
  <c r="F498" i="2"/>
  <c r="J498" i="2" s="1"/>
  <c r="H498" i="2" s="1"/>
  <c r="I503" i="2"/>
  <c r="J508" i="2"/>
  <c r="K514" i="2" s="1"/>
  <c r="F512" i="2"/>
  <c r="J512" i="2" s="1"/>
  <c r="H512" i="2" s="1"/>
  <c r="J513" i="2"/>
  <c r="H513" i="2" s="1"/>
  <c r="I517" i="2"/>
  <c r="I520" i="2"/>
  <c r="K529" i="2"/>
  <c r="K532" i="2"/>
  <c r="I535" i="2"/>
  <c r="K540" i="2"/>
  <c r="I543" i="2"/>
  <c r="K548" i="2"/>
  <c r="I551" i="2"/>
  <c r="G569" i="2"/>
  <c r="F569" i="2"/>
  <c r="J569" i="2" s="1"/>
  <c r="H569" i="2" s="1"/>
  <c r="J575" i="2"/>
  <c r="H575" i="2" s="1"/>
  <c r="I575" i="2"/>
  <c r="I586" i="2"/>
  <c r="K588" i="2"/>
  <c r="J593" i="2"/>
  <c r="I593" i="2"/>
  <c r="I632" i="2"/>
  <c r="J632" i="2"/>
  <c r="K705" i="2" s="1"/>
  <c r="F502" i="2"/>
  <c r="G507" i="2"/>
  <c r="F507" i="2"/>
  <c r="I507" i="2" s="1"/>
  <c r="G519" i="2"/>
  <c r="G533" i="2"/>
  <c r="F533" i="2"/>
  <c r="I533" i="2" s="1"/>
  <c r="G537" i="2"/>
  <c r="F537" i="2"/>
  <c r="I537" i="2" s="1"/>
  <c r="G541" i="2"/>
  <c r="F541" i="2"/>
  <c r="I541" i="2" s="1"/>
  <c r="F545" i="2"/>
  <c r="I545" i="2" s="1"/>
  <c r="G549" i="2"/>
  <c r="F549" i="2"/>
  <c r="I549" i="2" s="1"/>
  <c r="G553" i="2"/>
  <c r="F553" i="2"/>
  <c r="I553" i="2" s="1"/>
  <c r="G567" i="2"/>
  <c r="F567" i="2"/>
  <c r="J567" i="2" s="1"/>
  <c r="H567" i="2" s="1"/>
  <c r="J586" i="2"/>
  <c r="H586" i="2" s="1"/>
  <c r="G610" i="2"/>
  <c r="F610" i="2"/>
  <c r="K610" i="2" s="1"/>
  <c r="K466" i="2"/>
  <c r="I472" i="2"/>
  <c r="J477" i="2"/>
  <c r="H477" i="2" s="1"/>
  <c r="F484" i="2"/>
  <c r="I484" i="2" s="1"/>
  <c r="F489" i="2"/>
  <c r="J489" i="2" s="1"/>
  <c r="H489" i="2" s="1"/>
  <c r="K491" i="2"/>
  <c r="F504" i="2"/>
  <c r="K504" i="2" s="1"/>
  <c r="J505" i="2"/>
  <c r="H505" i="2" s="1"/>
  <c r="I509" i="2"/>
  <c r="F519" i="2"/>
  <c r="K519" i="2" s="1"/>
  <c r="F526" i="2"/>
  <c r="I526" i="2" s="1"/>
  <c r="F565" i="2"/>
  <c r="K565" i="2" s="1"/>
  <c r="G565" i="2"/>
  <c r="K575" i="2"/>
  <c r="K582" i="2"/>
  <c r="J582" i="2"/>
  <c r="H582" i="2" s="1"/>
  <c r="G611" i="2"/>
  <c r="F611" i="2"/>
  <c r="I611" i="2" s="1"/>
  <c r="G620" i="2"/>
  <c r="F620" i="2"/>
  <c r="K620" i="2" s="1"/>
  <c r="G639" i="2"/>
  <c r="F639" i="2"/>
  <c r="K639" i="2" s="1"/>
  <c r="G599" i="2"/>
  <c r="F599" i="2"/>
  <c r="I599" i="2" s="1"/>
  <c r="J623" i="2"/>
  <c r="H623" i="2" s="1"/>
  <c r="I623" i="2"/>
  <c r="K647" i="2"/>
  <c r="J647" i="2"/>
  <c r="H647" i="2" s="1"/>
  <c r="F671" i="2"/>
  <c r="G685" i="2"/>
  <c r="F685" i="2"/>
  <c r="K685" i="2" s="1"/>
  <c r="J757" i="2"/>
  <c r="H757" i="2" s="1"/>
  <c r="I757" i="2"/>
  <c r="K757" i="2"/>
  <c r="G835" i="2"/>
  <c r="F835" i="2"/>
  <c r="I835" i="2" s="1"/>
  <c r="J496" i="2"/>
  <c r="J506" i="2"/>
  <c r="K508" i="2" s="1"/>
  <c r="J514" i="2"/>
  <c r="J522" i="2"/>
  <c r="H522" i="2" s="1"/>
  <c r="J532" i="2"/>
  <c r="H532" i="2" s="1"/>
  <c r="F536" i="2"/>
  <c r="K536" i="2" s="1"/>
  <c r="J540" i="2"/>
  <c r="H540" i="2" s="1"/>
  <c r="F544" i="2"/>
  <c r="K544" i="2" s="1"/>
  <c r="J548" i="2"/>
  <c r="H548" i="2" s="1"/>
  <c r="F552" i="2"/>
  <c r="K552" i="2" s="1"/>
  <c r="I568" i="2"/>
  <c r="F577" i="2"/>
  <c r="J577" i="2" s="1"/>
  <c r="H577" i="2" s="1"/>
  <c r="K579" i="2"/>
  <c r="G581" i="2"/>
  <c r="G587" i="2"/>
  <c r="I592" i="2"/>
  <c r="G592" i="2"/>
  <c r="F595" i="2"/>
  <c r="I595" i="2" s="1"/>
  <c r="F601" i="2"/>
  <c r="K601" i="2" s="1"/>
  <c r="F603" i="2"/>
  <c r="K603" i="2" s="1"/>
  <c r="I604" i="2"/>
  <c r="K621" i="2"/>
  <c r="J621" i="2"/>
  <c r="H621" i="2" s="1"/>
  <c r="G621" i="2"/>
  <c r="F638" i="2"/>
  <c r="J640" i="2"/>
  <c r="G651" i="2"/>
  <c r="F651" i="2"/>
  <c r="K651" i="2" s="1"/>
  <c r="G688" i="2"/>
  <c r="F688" i="2"/>
  <c r="J688" i="2" s="1"/>
  <c r="H688" i="2" s="1"/>
  <c r="K733" i="2"/>
  <c r="J733" i="2"/>
  <c r="H733" i="2" s="1"/>
  <c r="I733" i="2"/>
  <c r="K581" i="2"/>
  <c r="J587" i="2"/>
  <c r="H587" i="2" s="1"/>
  <c r="J592" i="2"/>
  <c r="H592" i="2" s="1"/>
  <c r="G600" i="2"/>
  <c r="I615" i="2"/>
  <c r="G617" i="2"/>
  <c r="F617" i="2"/>
  <c r="I617" i="2" s="1"/>
  <c r="G628" i="2"/>
  <c r="F628" i="2"/>
  <c r="I628" i="2" s="1"/>
  <c r="G643" i="2"/>
  <c r="F643" i="2"/>
  <c r="J643" i="2" s="1"/>
  <c r="H643" i="2" s="1"/>
  <c r="G666" i="2"/>
  <c r="F666" i="2"/>
  <c r="I666" i="2" s="1"/>
  <c r="F698" i="2"/>
  <c r="G818" i="2"/>
  <c r="F818" i="2"/>
  <c r="K818" i="2" s="1"/>
  <c r="J561" i="2"/>
  <c r="K593" i="2" s="1"/>
  <c r="J568" i="2"/>
  <c r="H568" i="2" s="1"/>
  <c r="K570" i="2"/>
  <c r="J573" i="2"/>
  <c r="H573" i="2" s="1"/>
  <c r="G579" i="2"/>
  <c r="I582" i="2"/>
  <c r="G582" i="2"/>
  <c r="I585" i="2"/>
  <c r="K587" i="2"/>
  <c r="G589" i="2"/>
  <c r="K592" i="2"/>
  <c r="G597" i="2"/>
  <c r="F600" i="2"/>
  <c r="I600" i="2" s="1"/>
  <c r="F602" i="2"/>
  <c r="K602" i="2" s="1"/>
  <c r="I614" i="2"/>
  <c r="K615" i="2"/>
  <c r="I626" i="2"/>
  <c r="J633" i="2"/>
  <c r="H633" i="2" s="1"/>
  <c r="I633" i="2"/>
  <c r="I705" i="2"/>
  <c r="J712" i="2"/>
  <c r="H712" i="2" s="1"/>
  <c r="I712" i="2"/>
  <c r="K712" i="2"/>
  <c r="K631" i="2"/>
  <c r="J631" i="2"/>
  <c r="H631" i="2" s="1"/>
  <c r="G631" i="2"/>
  <c r="K640" i="2"/>
  <c r="F646" i="2"/>
  <c r="I646" i="2" s="1"/>
  <c r="F683" i="2"/>
  <c r="J683" i="2" s="1"/>
  <c r="H683" i="2" s="1"/>
  <c r="G683" i="2"/>
  <c r="G769" i="2"/>
  <c r="I769" i="2"/>
  <c r="G635" i="2"/>
  <c r="F635" i="2"/>
  <c r="I635" i="2" s="1"/>
  <c r="J649" i="2"/>
  <c r="I649" i="2"/>
  <c r="K660" i="2"/>
  <c r="J660" i="2"/>
  <c r="H660" i="2" s="1"/>
  <c r="F728" i="2"/>
  <c r="J728" i="2" s="1"/>
  <c r="H728" i="2" s="1"/>
  <c r="I766" i="2"/>
  <c r="J766" i="2"/>
  <c r="H766" i="2" s="1"/>
  <c r="K766" i="2"/>
  <c r="J845" i="2"/>
  <c r="H845" i="2" s="1"/>
  <c r="I845" i="2"/>
  <c r="G652" i="2"/>
  <c r="I653" i="2"/>
  <c r="G661" i="2"/>
  <c r="G667" i="2"/>
  <c r="G674" i="2"/>
  <c r="J682" i="2"/>
  <c r="H682" i="2" s="1"/>
  <c r="G691" i="2"/>
  <c r="F691" i="2"/>
  <c r="K691" i="2" s="1"/>
  <c r="G695" i="2"/>
  <c r="J699" i="2"/>
  <c r="K760" i="2" s="1"/>
  <c r="G714" i="2"/>
  <c r="F714" i="2"/>
  <c r="I714" i="2" s="1"/>
  <c r="K723" i="2"/>
  <c r="I723" i="2"/>
  <c r="I725" i="2"/>
  <c r="J730" i="2"/>
  <c r="H730" i="2" s="1"/>
  <c r="I730" i="2"/>
  <c r="F737" i="2"/>
  <c r="J737" i="2" s="1"/>
  <c r="H737" i="2" s="1"/>
  <c r="I756" i="2"/>
  <c r="K756" i="2"/>
  <c r="J756" i="2"/>
  <c r="H756" i="2" s="1"/>
  <c r="G801" i="2"/>
  <c r="F619" i="2"/>
  <c r="K619" i="2" s="1"/>
  <c r="F627" i="2"/>
  <c r="K627" i="2" s="1"/>
  <c r="F637" i="2"/>
  <c r="K637" i="2" s="1"/>
  <c r="F645" i="2"/>
  <c r="K645" i="2" s="1"/>
  <c r="F652" i="2"/>
  <c r="J652" i="2" s="1"/>
  <c r="H652" i="2" s="1"/>
  <c r="F655" i="2"/>
  <c r="J655" i="2" s="1"/>
  <c r="H655" i="2" s="1"/>
  <c r="I660" i="2"/>
  <c r="F674" i="2"/>
  <c r="K674" i="2" s="1"/>
  <c r="F681" i="2"/>
  <c r="I681" i="2" s="1"/>
  <c r="G702" i="2"/>
  <c r="F702" i="2"/>
  <c r="I702" i="2" s="1"/>
  <c r="K719" i="2"/>
  <c r="I719" i="2"/>
  <c r="G719" i="2"/>
  <c r="J725" i="2"/>
  <c r="H725" i="2" s="1"/>
  <c r="J760" i="2"/>
  <c r="F801" i="2"/>
  <c r="I801" i="2" s="1"/>
  <c r="J837" i="2"/>
  <c r="H837" i="2" s="1"/>
  <c r="I837" i="2"/>
  <c r="K837" i="2"/>
  <c r="G870" i="2"/>
  <c r="F870" i="2"/>
  <c r="K870" i="2" s="1"/>
  <c r="K920" i="2"/>
  <c r="I920" i="2"/>
  <c r="J920" i="2"/>
  <c r="H920" i="2" s="1"/>
  <c r="G939" i="2"/>
  <c r="F939" i="2"/>
  <c r="K939" i="2" s="1"/>
  <c r="G618" i="2"/>
  <c r="G626" i="2"/>
  <c r="G636" i="2"/>
  <c r="I654" i="2"/>
  <c r="G663" i="2"/>
  <c r="J664" i="2"/>
  <c r="I668" i="2"/>
  <c r="J686" i="2"/>
  <c r="H686" i="2" s="1"/>
  <c r="K692" i="2"/>
  <c r="J692" i="2"/>
  <c r="H692" i="2" s="1"/>
  <c r="G692" i="2"/>
  <c r="J696" i="2"/>
  <c r="H696" i="2" s="1"/>
  <c r="I696" i="2"/>
  <c r="K703" i="2"/>
  <c r="I703" i="2"/>
  <c r="G703" i="2"/>
  <c r="J707" i="2"/>
  <c r="H707" i="2" s="1"/>
  <c r="J719" i="2"/>
  <c r="H719" i="2" s="1"/>
  <c r="G724" i="2"/>
  <c r="F724" i="2"/>
  <c r="I724" i="2" s="1"/>
  <c r="K731" i="2"/>
  <c r="I731" i="2"/>
  <c r="I740" i="2"/>
  <c r="F773" i="2"/>
  <c r="J773" i="2" s="1"/>
  <c r="H773" i="2" s="1"/>
  <c r="G773" i="2"/>
  <c r="G838" i="2"/>
  <c r="F838" i="2"/>
  <c r="I838" i="2" s="1"/>
  <c r="J849" i="2"/>
  <c r="H849" i="2" s="1"/>
  <c r="I849" i="2"/>
  <c r="G878" i="2"/>
  <c r="F878" i="2"/>
  <c r="J878" i="2" s="1"/>
  <c r="H878" i="2" s="1"/>
  <c r="F882" i="2"/>
  <c r="I882" i="2" s="1"/>
  <c r="G662" i="2"/>
  <c r="I663" i="2"/>
  <c r="I669" i="2"/>
  <c r="F673" i="2"/>
  <c r="K673" i="2" s="1"/>
  <c r="F680" i="2"/>
  <c r="K686" i="2"/>
  <c r="G710" i="2"/>
  <c r="F710" i="2"/>
  <c r="J710" i="2" s="1"/>
  <c r="H710" i="2" s="1"/>
  <c r="G729" i="2"/>
  <c r="J740" i="2"/>
  <c r="H740" i="2" s="1"/>
  <c r="K752" i="2"/>
  <c r="J752" i="2"/>
  <c r="H752" i="2" s="1"/>
  <c r="J783" i="2"/>
  <c r="H783" i="2" s="1"/>
  <c r="K783" i="2"/>
  <c r="I783" i="2"/>
  <c r="K875" i="2"/>
  <c r="J875" i="2"/>
  <c r="H875" i="2" s="1"/>
  <c r="I875" i="2"/>
  <c r="F662" i="2"/>
  <c r="K662" i="2" s="1"/>
  <c r="F665" i="2"/>
  <c r="J665" i="2" s="1"/>
  <c r="H665" i="2" s="1"/>
  <c r="G673" i="2"/>
  <c r="F675" i="2"/>
  <c r="K675" i="2" s="1"/>
  <c r="I682" i="2"/>
  <c r="I692" i="2"/>
  <c r="J703" i="2"/>
  <c r="H703" i="2" s="1"/>
  <c r="G706" i="2"/>
  <c r="F706" i="2"/>
  <c r="I706" i="2" s="1"/>
  <c r="K713" i="2"/>
  <c r="I713" i="2"/>
  <c r="I715" i="2"/>
  <c r="J720" i="2"/>
  <c r="H720" i="2" s="1"/>
  <c r="I720" i="2"/>
  <c r="F729" i="2"/>
  <c r="J729" i="2" s="1"/>
  <c r="H729" i="2" s="1"/>
  <c r="G736" i="2"/>
  <c r="F736" i="2"/>
  <c r="I736" i="2" s="1"/>
  <c r="G758" i="2"/>
  <c r="F758" i="2"/>
  <c r="K758" i="2" s="1"/>
  <c r="F833" i="2"/>
  <c r="K833" i="2" s="1"/>
  <c r="G833" i="2"/>
  <c r="G656" i="2"/>
  <c r="G670" i="2"/>
  <c r="F670" i="2"/>
  <c r="I670" i="2" s="1"/>
  <c r="G711" i="2"/>
  <c r="G732" i="2"/>
  <c r="F732" i="2"/>
  <c r="J732" i="2" s="1"/>
  <c r="H732" i="2" s="1"/>
  <c r="F750" i="2"/>
  <c r="J750" i="2" s="1"/>
  <c r="F656" i="2"/>
  <c r="J656" i="2" s="1"/>
  <c r="H656" i="2" s="1"/>
  <c r="F661" i="2"/>
  <c r="I661" i="2" s="1"/>
  <c r="F667" i="2"/>
  <c r="J667" i="2" s="1"/>
  <c r="H667" i="2" s="1"/>
  <c r="F684" i="2"/>
  <c r="K684" i="2" s="1"/>
  <c r="F689" i="2"/>
  <c r="F695" i="2"/>
  <c r="J695" i="2" s="1"/>
  <c r="H695" i="2" s="1"/>
  <c r="K697" i="2"/>
  <c r="I697" i="2"/>
  <c r="J704" i="2"/>
  <c r="H704" i="2" s="1"/>
  <c r="I704" i="2"/>
  <c r="F711" i="2"/>
  <c r="J711" i="2" s="1"/>
  <c r="H711" i="2" s="1"/>
  <c r="G718" i="2"/>
  <c r="F718" i="2"/>
  <c r="I718" i="2" s="1"/>
  <c r="G737" i="2"/>
  <c r="G743" i="2"/>
  <c r="K743" i="2"/>
  <c r="J743" i="2"/>
  <c r="H743" i="2" s="1"/>
  <c r="I743" i="2"/>
  <c r="F771" i="2"/>
  <c r="I771" i="2" s="1"/>
  <c r="G771" i="2"/>
  <c r="J847" i="2"/>
  <c r="K864" i="2" s="1"/>
  <c r="I847" i="2"/>
  <c r="K847" i="2"/>
  <c r="G863" i="2"/>
  <c r="F863" i="2"/>
  <c r="J863" i="2" s="1"/>
  <c r="H863" i="2" s="1"/>
  <c r="F745" i="2"/>
  <c r="F747" i="2"/>
  <c r="J747" i="2" s="1"/>
  <c r="H747" i="2" s="1"/>
  <c r="G768" i="2"/>
  <c r="F768" i="2"/>
  <c r="I768" i="2" s="1"/>
  <c r="G792" i="2"/>
  <c r="F792" i="2"/>
  <c r="K792" i="2" s="1"/>
  <c r="G810" i="2"/>
  <c r="F810" i="2"/>
  <c r="K810" i="2" s="1"/>
  <c r="J669" i="2"/>
  <c r="H669" i="2" s="1"/>
  <c r="J679" i="2"/>
  <c r="H679" i="2" s="1"/>
  <c r="J687" i="2"/>
  <c r="H687" i="2" s="1"/>
  <c r="J697" i="2"/>
  <c r="H697" i="2" s="1"/>
  <c r="F701" i="2"/>
  <c r="K701" i="2" s="1"/>
  <c r="J705" i="2"/>
  <c r="F709" i="2"/>
  <c r="K709" i="2" s="1"/>
  <c r="J713" i="2"/>
  <c r="H713" i="2" s="1"/>
  <c r="F717" i="2"/>
  <c r="J723" i="2"/>
  <c r="H723" i="2" s="1"/>
  <c r="F727" i="2"/>
  <c r="K727" i="2" s="1"/>
  <c r="J731" i="2"/>
  <c r="H731" i="2" s="1"/>
  <c r="F735" i="2"/>
  <c r="G742" i="2"/>
  <c r="F742" i="2"/>
  <c r="K742" i="2" s="1"/>
  <c r="G747" i="2"/>
  <c r="J751" i="2"/>
  <c r="H751" i="2" s="1"/>
  <c r="G751" i="2"/>
  <c r="F753" i="2"/>
  <c r="F755" i="2"/>
  <c r="K755" i="2" s="1"/>
  <c r="G776" i="2"/>
  <c r="F776" i="2"/>
  <c r="J776" i="2" s="1"/>
  <c r="H776" i="2" s="1"/>
  <c r="K786" i="2"/>
  <c r="G797" i="2"/>
  <c r="F797" i="2"/>
  <c r="K797" i="2" s="1"/>
  <c r="J799" i="2"/>
  <c r="H799" i="2" s="1"/>
  <c r="I799" i="2"/>
  <c r="K802" i="2"/>
  <c r="G815" i="2"/>
  <c r="F815" i="2"/>
  <c r="K815" i="2" s="1"/>
  <c r="K819" i="2"/>
  <c r="J819" i="2"/>
  <c r="H819" i="2" s="1"/>
  <c r="G822" i="2"/>
  <c r="F822" i="2"/>
  <c r="J822" i="2" s="1"/>
  <c r="H822" i="2" s="1"/>
  <c r="K825" i="2"/>
  <c r="J825" i="2"/>
  <c r="H825" i="2" s="1"/>
  <c r="G825" i="2"/>
  <c r="I829" i="2"/>
  <c r="I846" i="2"/>
  <c r="K846" i="2"/>
  <c r="J846" i="2"/>
  <c r="H846" i="2" s="1"/>
  <c r="I898" i="2"/>
  <c r="I932" i="2"/>
  <c r="K932" i="2"/>
  <c r="G701" i="2"/>
  <c r="G709" i="2"/>
  <c r="G727" i="2"/>
  <c r="J759" i="2"/>
  <c r="H759" i="2" s="1"/>
  <c r="G759" i="2"/>
  <c r="F761" i="2"/>
  <c r="J761" i="2" s="1"/>
  <c r="H761" i="2" s="1"/>
  <c r="F765" i="2"/>
  <c r="K765" i="2" s="1"/>
  <c r="F784" i="2"/>
  <c r="J784" i="2" s="1"/>
  <c r="K793" i="2"/>
  <c r="J793" i="2"/>
  <c r="H793" i="2" s="1"/>
  <c r="G793" i="2"/>
  <c r="K811" i="2"/>
  <c r="J811" i="2"/>
  <c r="H811" i="2" s="1"/>
  <c r="J864" i="2"/>
  <c r="K883" i="2"/>
  <c r="J883" i="2"/>
  <c r="H883" i="2" s="1"/>
  <c r="I883" i="2"/>
  <c r="K898" i="2"/>
  <c r="J898" i="2"/>
  <c r="H898" i="2" s="1"/>
  <c r="G905" i="2"/>
  <c r="F905" i="2"/>
  <c r="K905" i="2" s="1"/>
  <c r="I749" i="2"/>
  <c r="I759" i="2"/>
  <c r="K774" i="2"/>
  <c r="G777" i="2"/>
  <c r="F779" i="2"/>
  <c r="K779" i="2" s="1"/>
  <c r="F781" i="2"/>
  <c r="K781" i="2" s="1"/>
  <c r="I793" i="2"/>
  <c r="G800" i="2"/>
  <c r="F800" i="2"/>
  <c r="K800" i="2" s="1"/>
  <c r="I811" i="2"/>
  <c r="K749" i="2"/>
  <c r="I752" i="2"/>
  <c r="K759" i="2"/>
  <c r="F777" i="2"/>
  <c r="J777" i="2" s="1"/>
  <c r="H777" i="2" s="1"/>
  <c r="G779" i="2"/>
  <c r="G781" i="2"/>
  <c r="K782" i="2"/>
  <c r="J785" i="2"/>
  <c r="H785" i="2" s="1"/>
  <c r="G785" i="2"/>
  <c r="F787" i="2"/>
  <c r="K787" i="2" s="1"/>
  <c r="G789" i="2"/>
  <c r="F789" i="2"/>
  <c r="K789" i="2" s="1"/>
  <c r="J791" i="2"/>
  <c r="H791" i="2" s="1"/>
  <c r="I791" i="2"/>
  <c r="K794" i="2"/>
  <c r="G807" i="2"/>
  <c r="F807" i="2"/>
  <c r="K807" i="2" s="1"/>
  <c r="J809" i="2"/>
  <c r="H809" i="2" s="1"/>
  <c r="I809" i="2"/>
  <c r="K812" i="2"/>
  <c r="G848" i="2"/>
  <c r="F848" i="2"/>
  <c r="J848" i="2" s="1"/>
  <c r="H848" i="2" s="1"/>
  <c r="J854" i="2"/>
  <c r="H854" i="2" s="1"/>
  <c r="K854" i="2"/>
  <c r="K910" i="2"/>
  <c r="I910" i="2"/>
  <c r="J910" i="2"/>
  <c r="H910" i="2" s="1"/>
  <c r="J746" i="2"/>
  <c r="H746" i="2" s="1"/>
  <c r="J754" i="2"/>
  <c r="J764" i="2"/>
  <c r="H764" i="2" s="1"/>
  <c r="J772" i="2"/>
  <c r="H772" i="2" s="1"/>
  <c r="J780" i="2"/>
  <c r="H780" i="2" s="1"/>
  <c r="J788" i="2"/>
  <c r="H788" i="2" s="1"/>
  <c r="I795" i="2"/>
  <c r="J796" i="2"/>
  <c r="H796" i="2" s="1"/>
  <c r="I803" i="2"/>
  <c r="J805" i="2"/>
  <c r="H805" i="2" s="1"/>
  <c r="I813" i="2"/>
  <c r="J814" i="2"/>
  <c r="I826" i="2"/>
  <c r="J829" i="2"/>
  <c r="H829" i="2" s="1"/>
  <c r="I842" i="2"/>
  <c r="G866" i="2"/>
  <c r="F866" i="2"/>
  <c r="I866" i="2" s="1"/>
  <c r="K888" i="2"/>
  <c r="J888" i="2"/>
  <c r="H888" i="2" s="1"/>
  <c r="G923" i="2"/>
  <c r="F923" i="2"/>
  <c r="K923" i="2" s="1"/>
  <c r="J933" i="2"/>
  <c r="I933" i="2"/>
  <c r="K940" i="2"/>
  <c r="K746" i="2"/>
  <c r="K764" i="2"/>
  <c r="I770" i="2"/>
  <c r="K772" i="2"/>
  <c r="I778" i="2"/>
  <c r="K780" i="2"/>
  <c r="I786" i="2"/>
  <c r="K788" i="2"/>
  <c r="I794" i="2"/>
  <c r="J795" i="2"/>
  <c r="H795" i="2" s="1"/>
  <c r="K796" i="2"/>
  <c r="I802" i="2"/>
  <c r="J803" i="2"/>
  <c r="H803" i="2" s="1"/>
  <c r="K805" i="2"/>
  <c r="I812" i="2"/>
  <c r="J813" i="2"/>
  <c r="H813" i="2" s="1"/>
  <c r="K814" i="2"/>
  <c r="K824" i="2"/>
  <c r="J824" i="2"/>
  <c r="F828" i="2"/>
  <c r="J828" i="2" s="1"/>
  <c r="H828" i="2" s="1"/>
  <c r="G844" i="2"/>
  <c r="K844" i="2"/>
  <c r="J844" i="2"/>
  <c r="H844" i="2" s="1"/>
  <c r="G852" i="2"/>
  <c r="F852" i="2"/>
  <c r="I852" i="2" s="1"/>
  <c r="I864" i="2"/>
  <c r="G871" i="2"/>
  <c r="K871" i="2"/>
  <c r="I871" i="2"/>
  <c r="I924" i="2"/>
  <c r="G834" i="2"/>
  <c r="K834" i="2"/>
  <c r="J834" i="2"/>
  <c r="H834" i="2" s="1"/>
  <c r="G853" i="2"/>
  <c r="K853" i="2"/>
  <c r="I853" i="2"/>
  <c r="J857" i="2"/>
  <c r="J871" i="2"/>
  <c r="H871" i="2" s="1"/>
  <c r="G874" i="2"/>
  <c r="F874" i="2"/>
  <c r="I874" i="2" s="1"/>
  <c r="F896" i="2"/>
  <c r="J896" i="2" s="1"/>
  <c r="H896" i="2" s="1"/>
  <c r="I906" i="2"/>
  <c r="J941" i="2"/>
  <c r="H941" i="2" s="1"/>
  <c r="I941" i="2"/>
  <c r="G860" i="2"/>
  <c r="F860" i="2"/>
  <c r="I860" i="2" s="1"/>
  <c r="G879" i="2"/>
  <c r="F886" i="2"/>
  <c r="K886" i="2" s="1"/>
  <c r="G897" i="2"/>
  <c r="K906" i="2"/>
  <c r="J906" i="2"/>
  <c r="H906" i="2" s="1"/>
  <c r="F915" i="2"/>
  <c r="J915" i="2" s="1"/>
  <c r="G931" i="2"/>
  <c r="F931" i="2"/>
  <c r="J931" i="2" s="1"/>
  <c r="H931" i="2" s="1"/>
  <c r="I820" i="2"/>
  <c r="F823" i="2"/>
  <c r="K823" i="2" s="1"/>
  <c r="I824" i="2"/>
  <c r="I839" i="2"/>
  <c r="F843" i="2"/>
  <c r="G845" i="2"/>
  <c r="K845" i="2"/>
  <c r="K849" i="2"/>
  <c r="J853" i="2"/>
  <c r="H853" i="2" s="1"/>
  <c r="G856" i="2"/>
  <c r="F856" i="2"/>
  <c r="I856" i="2" s="1"/>
  <c r="I867" i="2"/>
  <c r="F879" i="2"/>
  <c r="J879" i="2" s="1"/>
  <c r="H879" i="2" s="1"/>
  <c r="G887" i="2"/>
  <c r="K887" i="2"/>
  <c r="J887" i="2"/>
  <c r="H887" i="2" s="1"/>
  <c r="I887" i="2"/>
  <c r="F897" i="2"/>
  <c r="I897" i="2" s="1"/>
  <c r="I916" i="2"/>
  <c r="J932" i="2"/>
  <c r="H932" i="2" s="1"/>
  <c r="G851" i="2"/>
  <c r="G859" i="2"/>
  <c r="G869" i="2"/>
  <c r="G877" i="2"/>
  <c r="G885" i="2"/>
  <c r="G895" i="2"/>
  <c r="G903" i="2"/>
  <c r="G912" i="2"/>
  <c r="J916" i="2"/>
  <c r="H916" i="2" s="1"/>
  <c r="G921" i="2"/>
  <c r="J924" i="2"/>
  <c r="F928" i="2"/>
  <c r="I928" i="2" s="1"/>
  <c r="G929" i="2"/>
  <c r="F936" i="2"/>
  <c r="G937" i="2"/>
  <c r="J940" i="2"/>
  <c r="H940" i="2" s="1"/>
  <c r="K941" i="2"/>
  <c r="G936" i="2"/>
  <c r="G849" i="2"/>
  <c r="I851" i="2"/>
  <c r="I859" i="2"/>
  <c r="I869" i="2"/>
  <c r="I877" i="2"/>
  <c r="I885" i="2"/>
  <c r="F892" i="2"/>
  <c r="I892" i="2" s="1"/>
  <c r="I895" i="2"/>
  <c r="F900" i="2"/>
  <c r="I900" i="2" s="1"/>
  <c r="I903" i="2"/>
  <c r="F908" i="2"/>
  <c r="I908" i="2" s="1"/>
  <c r="I912" i="2"/>
  <c r="F918" i="2"/>
  <c r="K918" i="2" s="1"/>
  <c r="I921" i="2"/>
  <c r="F926" i="2"/>
  <c r="I929" i="2"/>
  <c r="F934" i="2"/>
  <c r="I937" i="2"/>
  <c r="F942" i="2"/>
  <c r="J942" i="2" s="1"/>
  <c r="H942" i="2" s="1"/>
  <c r="J851" i="2"/>
  <c r="H851" i="2" s="1"/>
  <c r="F855" i="2"/>
  <c r="J859" i="2"/>
  <c r="H859" i="2" s="1"/>
  <c r="F865" i="2"/>
  <c r="J865" i="2" s="1"/>
  <c r="J869" i="2"/>
  <c r="H869" i="2" s="1"/>
  <c r="F873" i="2"/>
  <c r="J873" i="2" s="1"/>
  <c r="H873" i="2" s="1"/>
  <c r="J877" i="2"/>
  <c r="H877" i="2" s="1"/>
  <c r="F881" i="2"/>
  <c r="J881" i="2" s="1"/>
  <c r="H881" i="2" s="1"/>
  <c r="J885" i="2"/>
  <c r="H885" i="2" s="1"/>
  <c r="F891" i="2"/>
  <c r="G892" i="2"/>
  <c r="J895" i="2"/>
  <c r="H895" i="2" s="1"/>
  <c r="F899" i="2"/>
  <c r="J899" i="2" s="1"/>
  <c r="H899" i="2" s="1"/>
  <c r="J903" i="2"/>
  <c r="H903" i="2" s="1"/>
  <c r="F907" i="2"/>
  <c r="G908" i="2"/>
  <c r="J912" i="2"/>
  <c r="H912" i="2" s="1"/>
  <c r="F917" i="2"/>
  <c r="I917" i="2" s="1"/>
  <c r="G918" i="2"/>
  <c r="J921" i="2"/>
  <c r="H921" i="2" s="1"/>
  <c r="F925" i="2"/>
  <c r="I925" i="2" s="1"/>
  <c r="G926" i="2"/>
  <c r="J929" i="2"/>
  <c r="H929" i="2" s="1"/>
  <c r="G934" i="2"/>
  <c r="J937" i="2"/>
  <c r="H937" i="2" s="1"/>
  <c r="G942" i="2"/>
  <c r="F904" i="2"/>
  <c r="I904" i="2" s="1"/>
  <c r="F914" i="2"/>
  <c r="I914" i="2" s="1"/>
  <c r="F922" i="2"/>
  <c r="I922" i="2" s="1"/>
  <c r="F930" i="2"/>
  <c r="I930" i="2" s="1"/>
  <c r="F938" i="2"/>
  <c r="J938" i="2" s="1"/>
  <c r="H938" i="2" s="1"/>
  <c r="K754" i="2" l="1"/>
  <c r="H754" i="2"/>
  <c r="K638" i="2"/>
  <c r="K717" i="2"/>
  <c r="H640" i="2"/>
  <c r="H705" i="2"/>
  <c r="K72" i="2"/>
  <c r="I8" i="2"/>
  <c r="H622" i="2"/>
  <c r="H566" i="2"/>
  <c r="K566" i="2"/>
  <c r="H543" i="2"/>
  <c r="H509" i="2"/>
  <c r="H496" i="2"/>
  <c r="H353" i="2"/>
  <c r="H337" i="2"/>
  <c r="H137" i="2"/>
  <c r="K69" i="2"/>
  <c r="H64" i="2"/>
  <c r="H21" i="2"/>
  <c r="K843" i="2"/>
  <c r="J7" i="2"/>
  <c r="H7" i="2" s="1"/>
  <c r="J8" i="2"/>
  <c r="H8" i="2" s="1"/>
  <c r="H6" i="2"/>
  <c r="H924" i="2"/>
  <c r="H933" i="2"/>
  <c r="H909" i="2"/>
  <c r="H865" i="2"/>
  <c r="H857" i="2"/>
  <c r="H850" i="2"/>
  <c r="H847" i="2"/>
  <c r="H824" i="2"/>
  <c r="K767" i="2"/>
  <c r="H760" i="2"/>
  <c r="H699" i="2"/>
  <c r="K671" i="2"/>
  <c r="H664" i="2"/>
  <c r="H649" i="2"/>
  <c r="H632" i="2"/>
  <c r="K614" i="2"/>
  <c r="H624" i="2"/>
  <c r="H605" i="2"/>
  <c r="H561" i="2"/>
  <c r="H539" i="2"/>
  <c r="K502" i="2"/>
  <c r="H531" i="2"/>
  <c r="H514" i="2"/>
  <c r="H508" i="2"/>
  <c r="H506" i="2"/>
  <c r="K473" i="2"/>
  <c r="K467" i="2"/>
  <c r="H453" i="2"/>
  <c r="K461" i="2"/>
  <c r="H415" i="2"/>
  <c r="K414" i="2"/>
  <c r="H404" i="2"/>
  <c r="H389" i="2"/>
  <c r="K384" i="2"/>
  <c r="H375" i="2"/>
  <c r="H357" i="2"/>
  <c r="H52" i="2"/>
  <c r="H299" i="2"/>
  <c r="H290" i="2"/>
  <c r="H273" i="2"/>
  <c r="I43" i="2"/>
  <c r="I17" i="2"/>
  <c r="H331" i="2"/>
  <c r="H321" i="2"/>
  <c r="H303" i="2"/>
  <c r="K303" i="2"/>
  <c r="H254" i="2"/>
  <c r="H243" i="2"/>
  <c r="H238" i="2"/>
  <c r="H217" i="2"/>
  <c r="H171" i="2"/>
  <c r="H155" i="2"/>
  <c r="K148" i="2"/>
  <c r="H121" i="2"/>
  <c r="K84" i="2"/>
  <c r="K61" i="2"/>
  <c r="I737" i="2"/>
  <c r="H82" i="2"/>
  <c r="K82" i="2"/>
  <c r="J753" i="2"/>
  <c r="H59" i="2"/>
  <c r="K724" i="2"/>
  <c r="H56" i="2"/>
  <c r="I103" i="2"/>
  <c r="J810" i="2"/>
  <c r="H810" i="2" s="1"/>
  <c r="I810" i="2"/>
  <c r="I637" i="2"/>
  <c r="J874" i="2"/>
  <c r="H874" i="2" s="1"/>
  <c r="K714" i="2"/>
  <c r="K635" i="2"/>
  <c r="H42" i="2"/>
  <c r="I78" i="2"/>
  <c r="I488" i="2"/>
  <c r="J488" i="2"/>
  <c r="H488" i="2" s="1"/>
  <c r="K737" i="2"/>
  <c r="K103" i="2"/>
  <c r="J801" i="2"/>
  <c r="H801" i="2" s="1"/>
  <c r="J69" i="2"/>
  <c r="K832" i="2" s="1"/>
  <c r="K219" i="2"/>
  <c r="J78" i="2"/>
  <c r="H78" i="2" s="1"/>
  <c r="J724" i="2"/>
  <c r="H724" i="2" s="1"/>
  <c r="K688" i="2"/>
  <c r="J61" i="2"/>
  <c r="K321" i="2" s="1"/>
  <c r="K822" i="2"/>
  <c r="K628" i="2"/>
  <c r="I609" i="2"/>
  <c r="K729" i="2"/>
  <c r="J609" i="2"/>
  <c r="H609" i="2" s="1"/>
  <c r="I327" i="2"/>
  <c r="K702" i="2"/>
  <c r="H31" i="2"/>
  <c r="I779" i="2"/>
  <c r="K468" i="2"/>
  <c r="J54" i="2"/>
  <c r="H54" i="2" s="1"/>
  <c r="I371" i="2"/>
  <c r="K245" i="2"/>
  <c r="I674" i="2"/>
  <c r="J691" i="2"/>
  <c r="H691" i="2" s="1"/>
  <c r="K492" i="2"/>
  <c r="I384" i="2"/>
  <c r="I53" i="2"/>
  <c r="K324" i="2"/>
  <c r="J327" i="2"/>
  <c r="H327" i="2" s="1"/>
  <c r="I822" i="2"/>
  <c r="I923" i="2"/>
  <c r="J758" i="2"/>
  <c r="H758" i="2" s="1"/>
  <c r="K646" i="2"/>
  <c r="J628" i="2"/>
  <c r="H628" i="2" s="1"/>
  <c r="I493" i="2"/>
  <c r="I400" i="2"/>
  <c r="K852" i="2"/>
  <c r="K437" i="2"/>
  <c r="J400" i="2"/>
  <c r="H400" i="2" s="1"/>
  <c r="J87" i="2"/>
  <c r="K129" i="2" s="1"/>
  <c r="J324" i="2"/>
  <c r="K87" i="2"/>
  <c r="J787" i="2"/>
  <c r="H787" i="2" s="1"/>
  <c r="J905" i="2"/>
  <c r="H905" i="2" s="1"/>
  <c r="K732" i="2"/>
  <c r="K577" i="2"/>
  <c r="I577" i="2"/>
  <c r="J416" i="2"/>
  <c r="H416" i="2" s="1"/>
  <c r="K416" i="2"/>
  <c r="K297" i="2"/>
  <c r="J779" i="2"/>
  <c r="H779" i="2" s="1"/>
  <c r="K718" i="2"/>
  <c r="I358" i="2"/>
  <c r="K410" i="2"/>
  <c r="J43" i="2"/>
  <c r="H43" i="2" s="1"/>
  <c r="I61" i="2"/>
  <c r="J908" i="2"/>
  <c r="H908" i="2" s="1"/>
  <c r="K828" i="2"/>
  <c r="K594" i="2"/>
  <c r="J329" i="2"/>
  <c r="H329" i="2" s="1"/>
  <c r="K197" i="2"/>
  <c r="J25" i="2"/>
  <c r="H25" i="2" s="1"/>
  <c r="I95" i="2"/>
  <c r="I193" i="2"/>
  <c r="J718" i="2"/>
  <c r="H718" i="2" s="1"/>
  <c r="J900" i="2"/>
  <c r="K909" i="2" s="1"/>
  <c r="I695" i="2"/>
  <c r="I655" i="2"/>
  <c r="J601" i="2"/>
  <c r="K516" i="2"/>
  <c r="I219" i="2"/>
  <c r="J193" i="2"/>
  <c r="H193" i="2" s="1"/>
  <c r="I175" i="2"/>
  <c r="H23" i="2"/>
  <c r="K900" i="2"/>
  <c r="I828" i="2"/>
  <c r="J925" i="2"/>
  <c r="K896" i="2"/>
  <c r="K776" i="2"/>
  <c r="K747" i="2"/>
  <c r="J646" i="2"/>
  <c r="I481" i="2"/>
  <c r="J584" i="2"/>
  <c r="K632" i="2" s="1"/>
  <c r="I452" i="2"/>
  <c r="J497" i="2"/>
  <c r="H497" i="2" s="1"/>
  <c r="J309" i="2"/>
  <c r="H309" i="2" s="1"/>
  <c r="K250" i="2"/>
  <c r="J95" i="2"/>
  <c r="H95" i="2" s="1"/>
  <c r="I915" i="2"/>
  <c r="J771" i="2"/>
  <c r="H771" i="2" s="1"/>
  <c r="J550" i="2"/>
  <c r="K127" i="2"/>
  <c r="J225" i="2"/>
  <c r="K930" i="2"/>
  <c r="K874" i="2"/>
  <c r="J923" i="2"/>
  <c r="H923" i="2" s="1"/>
  <c r="I735" i="2"/>
  <c r="I776" i="2"/>
  <c r="I645" i="2"/>
  <c r="K507" i="2"/>
  <c r="J821" i="2"/>
  <c r="H821" i="2" s="1"/>
  <c r="K559" i="2"/>
  <c r="I504" i="2"/>
  <c r="I594" i="2"/>
  <c r="J411" i="2"/>
  <c r="H411" i="2" s="1"/>
  <c r="I332" i="2"/>
  <c r="K369" i="2"/>
  <c r="J330" i="2"/>
  <c r="H330" i="2" s="1"/>
  <c r="J340" i="2"/>
  <c r="H340" i="2" s="1"/>
  <c r="J151" i="2"/>
  <c r="H151" i="2" s="1"/>
  <c r="I77" i="2"/>
  <c r="I253" i="2"/>
  <c r="K26" i="2"/>
  <c r="K25" i="2"/>
  <c r="J769" i="2"/>
  <c r="H769" i="2" s="1"/>
  <c r="I671" i="2"/>
  <c r="J510" i="2"/>
  <c r="K531" i="2" s="1"/>
  <c r="I784" i="2"/>
  <c r="J553" i="2"/>
  <c r="H553" i="2" s="1"/>
  <c r="I467" i="2"/>
  <c r="I411" i="2"/>
  <c r="J406" i="2"/>
  <c r="H406" i="2" s="1"/>
  <c r="K175" i="2"/>
  <c r="I70" i="2"/>
  <c r="I172" i="2"/>
  <c r="K33" i="2"/>
  <c r="J504" i="2"/>
  <c r="H504" i="2" s="1"/>
  <c r="K88" i="2"/>
  <c r="K332" i="2"/>
  <c r="I673" i="2"/>
  <c r="J930" i="2"/>
  <c r="H930" i="2" s="1"/>
  <c r="K860" i="2"/>
  <c r="J882" i="2"/>
  <c r="J666" i="2"/>
  <c r="H666" i="2" s="1"/>
  <c r="J651" i="2"/>
  <c r="H651" i="2" s="1"/>
  <c r="K510" i="2"/>
  <c r="I610" i="2"/>
  <c r="K553" i="2"/>
  <c r="I437" i="2"/>
  <c r="J511" i="2"/>
  <c r="H511" i="2" s="1"/>
  <c r="J474" i="2"/>
  <c r="H474" i="2" s="1"/>
  <c r="J350" i="2"/>
  <c r="H350" i="2" s="1"/>
  <c r="I26" i="2"/>
  <c r="I88" i="2"/>
  <c r="K768" i="2"/>
  <c r="I620" i="2"/>
  <c r="K241" i="2"/>
  <c r="I750" i="2"/>
  <c r="I758" i="2"/>
  <c r="K710" i="2"/>
  <c r="K882" i="2"/>
  <c r="K666" i="2"/>
  <c r="K525" i="2"/>
  <c r="K474" i="2"/>
  <c r="K267" i="2"/>
  <c r="I151" i="2"/>
  <c r="K931" i="2"/>
  <c r="I710" i="2"/>
  <c r="K878" i="2"/>
  <c r="K773" i="2"/>
  <c r="K821" i="2"/>
  <c r="K429" i="2"/>
  <c r="K286" i="2"/>
  <c r="J297" i="2"/>
  <c r="H297" i="2" s="1"/>
  <c r="I18" i="2"/>
  <c r="J245" i="2"/>
  <c r="K326" i="2" s="1"/>
  <c r="H14" i="2"/>
  <c r="I685" i="2"/>
  <c r="J608" i="2"/>
  <c r="H608" i="2" s="1"/>
  <c r="K489" i="2"/>
  <c r="I492" i="2"/>
  <c r="I450" i="2"/>
  <c r="I414" i="2"/>
  <c r="K455" i="2"/>
  <c r="J398" i="2"/>
  <c r="H398" i="2" s="1"/>
  <c r="J368" i="2"/>
  <c r="K371" i="2" s="1"/>
  <c r="J346" i="2"/>
  <c r="H346" i="2" s="1"/>
  <c r="K216" i="2"/>
  <c r="I279" i="2"/>
  <c r="J211" i="2"/>
  <c r="H211" i="2" s="1"/>
  <c r="J229" i="2"/>
  <c r="K275" i="2" s="1"/>
  <c r="K848" i="2"/>
  <c r="K856" i="2"/>
  <c r="K866" i="2"/>
  <c r="I709" i="2"/>
  <c r="I761" i="2"/>
  <c r="K801" i="2"/>
  <c r="K683" i="2"/>
  <c r="I818" i="2"/>
  <c r="J835" i="2"/>
  <c r="H835" i="2" s="1"/>
  <c r="J685" i="2"/>
  <c r="H685" i="2" s="1"/>
  <c r="I639" i="2"/>
  <c r="I569" i="2"/>
  <c r="K569" i="2"/>
  <c r="J546" i="2"/>
  <c r="H546" i="2" s="1"/>
  <c r="K608" i="2"/>
  <c r="J607" i="2"/>
  <c r="H607" i="2" s="1"/>
  <c r="K481" i="2"/>
  <c r="I458" i="2"/>
  <c r="J450" i="2"/>
  <c r="H450" i="2" s="1"/>
  <c r="J414" i="2"/>
  <c r="K426" i="2" s="1"/>
  <c r="I478" i="2"/>
  <c r="I419" i="2"/>
  <c r="I429" i="2"/>
  <c r="J358" i="2"/>
  <c r="H358" i="2" s="1"/>
  <c r="I388" i="2"/>
  <c r="K388" i="2"/>
  <c r="K301" i="2"/>
  <c r="K211" i="2"/>
  <c r="K229" i="2"/>
  <c r="I305" i="2"/>
  <c r="I123" i="2"/>
  <c r="I242" i="2"/>
  <c r="J914" i="2"/>
  <c r="H914" i="2" s="1"/>
  <c r="J838" i="2"/>
  <c r="H838" i="2" s="1"/>
  <c r="J736" i="2"/>
  <c r="H736" i="2" s="1"/>
  <c r="I619" i="2"/>
  <c r="I544" i="2"/>
  <c r="I638" i="2"/>
  <c r="J611" i="2"/>
  <c r="H611" i="2" s="1"/>
  <c r="J537" i="2"/>
  <c r="H537" i="2" s="1"/>
  <c r="J525" i="2"/>
  <c r="I519" i="2"/>
  <c r="I403" i="2"/>
  <c r="J458" i="2"/>
  <c r="H458" i="2" s="1"/>
  <c r="J478" i="2"/>
  <c r="K486" i="2" s="1"/>
  <c r="K242" i="2"/>
  <c r="J96" i="2"/>
  <c r="H96" i="2" s="1"/>
  <c r="J305" i="2"/>
  <c r="H305" i="2" s="1"/>
  <c r="J519" i="2"/>
  <c r="H519" i="2" s="1"/>
  <c r="J866" i="2"/>
  <c r="H866" i="2" s="1"/>
  <c r="I701" i="2"/>
  <c r="K728" i="2"/>
  <c r="K835" i="2"/>
  <c r="J860" i="2"/>
  <c r="H860" i="2" s="1"/>
  <c r="I787" i="2"/>
  <c r="I905" i="2"/>
  <c r="I863" i="2"/>
  <c r="J727" i="2"/>
  <c r="H727" i="2" s="1"/>
  <c r="K711" i="2"/>
  <c r="K736" i="2"/>
  <c r="J673" i="2"/>
  <c r="H673" i="2" s="1"/>
  <c r="I652" i="2"/>
  <c r="J702" i="2"/>
  <c r="H702" i="2" s="1"/>
  <c r="J714" i="2"/>
  <c r="H714" i="2" s="1"/>
  <c r="I691" i="2"/>
  <c r="I684" i="2"/>
  <c r="K769" i="2"/>
  <c r="I683" i="2"/>
  <c r="J602" i="2"/>
  <c r="H602" i="2" s="1"/>
  <c r="I536" i="2"/>
  <c r="J638" i="2"/>
  <c r="J639" i="2"/>
  <c r="H639" i="2" s="1"/>
  <c r="K611" i="2"/>
  <c r="K537" i="2"/>
  <c r="J476" i="2"/>
  <c r="H476" i="2" s="1"/>
  <c r="K607" i="2"/>
  <c r="J544" i="2"/>
  <c r="H544" i="2" s="1"/>
  <c r="I518" i="2"/>
  <c r="K465" i="2"/>
  <c r="J635" i="2"/>
  <c r="H635" i="2" s="1"/>
  <c r="I576" i="2"/>
  <c r="K476" i="2"/>
  <c r="K452" i="2"/>
  <c r="K511" i="2"/>
  <c r="K475" i="2"/>
  <c r="I410" i="2"/>
  <c r="I335" i="2"/>
  <c r="I432" i="2"/>
  <c r="K350" i="2"/>
  <c r="K329" i="2"/>
  <c r="J336" i="2"/>
  <c r="H336" i="2" s="1"/>
  <c r="K406" i="2"/>
  <c r="J241" i="2"/>
  <c r="H241" i="2" s="1"/>
  <c r="J197" i="2"/>
  <c r="H197" i="2" s="1"/>
  <c r="K312" i="2"/>
  <c r="K128" i="2"/>
  <c r="I310" i="2"/>
  <c r="J253" i="2"/>
  <c r="H253" i="2" s="1"/>
  <c r="I119" i="2"/>
  <c r="K838" i="2"/>
  <c r="K761" i="2"/>
  <c r="I800" i="2"/>
  <c r="K863" i="2"/>
  <c r="I651" i="2"/>
  <c r="J545" i="2"/>
  <c r="K518" i="2"/>
  <c r="I440" i="2"/>
  <c r="I516" i="2"/>
  <c r="K380" i="2"/>
  <c r="J494" i="2"/>
  <c r="H494" i="2" s="1"/>
  <c r="J432" i="2"/>
  <c r="H432" i="2" s="1"/>
  <c r="K233" i="2"/>
  <c r="J53" i="2"/>
  <c r="H53" i="2" s="1"/>
  <c r="I312" i="2"/>
  <c r="I276" i="2"/>
  <c r="I237" i="2"/>
  <c r="J119" i="2"/>
  <c r="H119" i="2" s="1"/>
  <c r="I385" i="2"/>
  <c r="K123" i="2"/>
  <c r="J856" i="2"/>
  <c r="H856" i="2" s="1"/>
  <c r="K892" i="2"/>
  <c r="I747" i="2"/>
  <c r="K695" i="2"/>
  <c r="J689" i="2"/>
  <c r="J671" i="2"/>
  <c r="K698" i="2" s="1"/>
  <c r="K585" i="2"/>
  <c r="K545" i="2"/>
  <c r="K571" i="2"/>
  <c r="K556" i="2"/>
  <c r="J536" i="2"/>
  <c r="H536" i="2" s="1"/>
  <c r="J583" i="2"/>
  <c r="H583" i="2" s="1"/>
  <c r="J483" i="2"/>
  <c r="H483" i="2" s="1"/>
  <c r="K460" i="2"/>
  <c r="J507" i="2"/>
  <c r="H507" i="2" s="1"/>
  <c r="J440" i="2"/>
  <c r="H440" i="2" s="1"/>
  <c r="K494" i="2"/>
  <c r="K354" i="2"/>
  <c r="I346" i="2"/>
  <c r="J371" i="2"/>
  <c r="K374" i="2" s="1"/>
  <c r="J362" i="2"/>
  <c r="K310" i="2"/>
  <c r="J267" i="2"/>
  <c r="H267" i="2" s="1"/>
  <c r="I340" i="2"/>
  <c r="I149" i="2"/>
  <c r="J135" i="2"/>
  <c r="H135" i="2" s="1"/>
  <c r="K164" i="2"/>
  <c r="I226" i="2"/>
  <c r="I185" i="2"/>
  <c r="I144" i="2"/>
  <c r="J904" i="2"/>
  <c r="H904" i="2" s="1"/>
  <c r="J100" i="2"/>
  <c r="K584" i="2" s="1"/>
  <c r="I100" i="2"/>
  <c r="I855" i="2"/>
  <c r="K855" i="2"/>
  <c r="J820" i="2"/>
  <c r="J565" i="2"/>
  <c r="H565" i="2" s="1"/>
  <c r="I565" i="2"/>
  <c r="I422" i="2"/>
  <c r="I7" i="2"/>
  <c r="I114" i="2"/>
  <c r="J74" i="2"/>
  <c r="H74" i="2" s="1"/>
  <c r="I74" i="2"/>
  <c r="K74" i="2"/>
  <c r="J892" i="2"/>
  <c r="H892" i="2" s="1"/>
  <c r="I907" i="2"/>
  <c r="K907" i="2"/>
  <c r="J922" i="2"/>
  <c r="H922" i="2" s="1"/>
  <c r="J897" i="2"/>
  <c r="H897" i="2" s="1"/>
  <c r="I879" i="2"/>
  <c r="J823" i="2"/>
  <c r="H823" i="2" s="1"/>
  <c r="J800" i="2"/>
  <c r="H800" i="2" s="1"/>
  <c r="I727" i="2"/>
  <c r="I792" i="2"/>
  <c r="J684" i="2"/>
  <c r="K689" i="2" s="1"/>
  <c r="K655" i="2"/>
  <c r="I773" i="2"/>
  <c r="I939" i="2"/>
  <c r="I870" i="2"/>
  <c r="J709" i="2"/>
  <c r="H709" i="2" s="1"/>
  <c r="J907" i="2"/>
  <c r="H907" i="2" s="1"/>
  <c r="I689" i="2"/>
  <c r="J735" i="2"/>
  <c r="K750" i="2" s="1"/>
  <c r="J670" i="2"/>
  <c r="H670" i="2" s="1"/>
  <c r="J818" i="2"/>
  <c r="H818" i="2" s="1"/>
  <c r="J603" i="2"/>
  <c r="H603" i="2" s="1"/>
  <c r="J620" i="2"/>
  <c r="H620" i="2" s="1"/>
  <c r="I529" i="2"/>
  <c r="J610" i="2"/>
  <c r="H610" i="2" s="1"/>
  <c r="I502" i="2"/>
  <c r="K512" i="2"/>
  <c r="J493" i="2"/>
  <c r="H493" i="2" s="1"/>
  <c r="K771" i="2"/>
  <c r="I559" i="2"/>
  <c r="K526" i="2"/>
  <c r="K574" i="2"/>
  <c r="K550" i="2"/>
  <c r="K483" i="2"/>
  <c r="K576" i="2"/>
  <c r="J422" i="2"/>
  <c r="H422" i="2" s="1"/>
  <c r="J467" i="2"/>
  <c r="K472" i="2" s="1"/>
  <c r="J485" i="2"/>
  <c r="H485" i="2" s="1"/>
  <c r="I475" i="2"/>
  <c r="I316" i="2"/>
  <c r="I490" i="2"/>
  <c r="J380" i="2"/>
  <c r="H380" i="2" s="1"/>
  <c r="I319" i="2"/>
  <c r="K316" i="2"/>
  <c r="I434" i="2"/>
  <c r="K362" i="2"/>
  <c r="K293" i="2"/>
  <c r="K257" i="2"/>
  <c r="K225" i="2"/>
  <c r="K189" i="2"/>
  <c r="K376" i="2"/>
  <c r="J376" i="2"/>
  <c r="H376" i="2" s="1"/>
  <c r="J285" i="2"/>
  <c r="H285" i="2" s="1"/>
  <c r="K260" i="2"/>
  <c r="J215" i="2"/>
  <c r="H215" i="2" s="1"/>
  <c r="K190" i="2"/>
  <c r="K330" i="2"/>
  <c r="J279" i="2"/>
  <c r="H279" i="2" s="1"/>
  <c r="I182" i="2"/>
  <c r="I154" i="2"/>
  <c r="I115" i="2"/>
  <c r="K115" i="2"/>
  <c r="K114" i="2"/>
  <c r="I200" i="2"/>
  <c r="J149" i="2"/>
  <c r="H149" i="2" s="1"/>
  <c r="J70" i="2"/>
  <c r="H70" i="2" s="1"/>
  <c r="I48" i="2"/>
  <c r="J48" i="2"/>
  <c r="H48" i="2" s="1"/>
  <c r="J359" i="2"/>
  <c r="K322" i="2"/>
  <c r="J237" i="2"/>
  <c r="H237" i="2" s="1"/>
  <c r="I216" i="2"/>
  <c r="K133" i="2"/>
  <c r="J133" i="2"/>
  <c r="H133" i="2" s="1"/>
  <c r="I302" i="2"/>
  <c r="J185" i="2"/>
  <c r="H185" i="2" s="1"/>
  <c r="I157" i="2"/>
  <c r="K100" i="2"/>
  <c r="I263" i="2"/>
  <c r="K34" i="2"/>
  <c r="K77" i="2"/>
  <c r="K125" i="2"/>
  <c r="J617" i="2"/>
  <c r="H617" i="2" s="1"/>
  <c r="K617" i="2"/>
  <c r="I322" i="2"/>
  <c r="I823" i="2"/>
  <c r="J717" i="2"/>
  <c r="K595" i="2"/>
  <c r="I190" i="2"/>
  <c r="K328" i="2"/>
  <c r="K904" i="2"/>
  <c r="I843" i="2"/>
  <c r="I931" i="2"/>
  <c r="K897" i="2"/>
  <c r="K879" i="2"/>
  <c r="J789" i="2"/>
  <c r="H789" i="2" s="1"/>
  <c r="I789" i="2"/>
  <c r="I717" i="2"/>
  <c r="I797" i="2"/>
  <c r="J797" i="2"/>
  <c r="H797" i="2" s="1"/>
  <c r="J755" i="2"/>
  <c r="H755" i="2" s="1"/>
  <c r="I755" i="2"/>
  <c r="J742" i="2"/>
  <c r="H742" i="2" s="1"/>
  <c r="I742" i="2"/>
  <c r="J792" i="2"/>
  <c r="H792" i="2" s="1"/>
  <c r="I745" i="2"/>
  <c r="I833" i="2"/>
  <c r="J939" i="2"/>
  <c r="H939" i="2" s="1"/>
  <c r="J870" i="2"/>
  <c r="H870" i="2" s="1"/>
  <c r="K652" i="2"/>
  <c r="I732" i="2"/>
  <c r="J637" i="2"/>
  <c r="H637" i="2" s="1"/>
  <c r="I603" i="2"/>
  <c r="K661" i="2"/>
  <c r="J502" i="2"/>
  <c r="K506" i="2" s="1"/>
  <c r="I556" i="2"/>
  <c r="J529" i="2"/>
  <c r="H529" i="2" s="1"/>
  <c r="I625" i="2"/>
  <c r="K490" i="2"/>
  <c r="K420" i="2"/>
  <c r="I420" i="2"/>
  <c r="J460" i="2"/>
  <c r="H460" i="2" s="1"/>
  <c r="I369" i="2"/>
  <c r="I530" i="2"/>
  <c r="I455" i="2"/>
  <c r="I402" i="2"/>
  <c r="J447" i="2"/>
  <c r="H447" i="2" s="1"/>
  <c r="J374" i="2"/>
  <c r="K395" i="2" s="1"/>
  <c r="K368" i="2"/>
  <c r="J434" i="2"/>
  <c r="H434" i="2" s="1"/>
  <c r="I390" i="2"/>
  <c r="K302" i="2"/>
  <c r="J257" i="2"/>
  <c r="H257" i="2" s="1"/>
  <c r="K234" i="2"/>
  <c r="J189" i="2"/>
  <c r="H189" i="2" s="1"/>
  <c r="I203" i="2"/>
  <c r="I289" i="2"/>
  <c r="I167" i="2"/>
  <c r="I128" i="2"/>
  <c r="J92" i="2"/>
  <c r="H92" i="2" s="1"/>
  <c r="I92" i="2"/>
  <c r="I69" i="2"/>
  <c r="J44" i="2"/>
  <c r="H44" i="2" s="1"/>
  <c r="I22" i="2"/>
  <c r="J22" i="2"/>
  <c r="H22" i="2" s="1"/>
  <c r="I54" i="2"/>
  <c r="K319" i="2"/>
  <c r="K107" i="2"/>
  <c r="I271" i="2"/>
  <c r="I164" i="2"/>
  <c r="K131" i="2"/>
  <c r="I131" i="2"/>
  <c r="J157" i="2"/>
  <c r="H157" i="2" s="1"/>
  <c r="J263" i="2"/>
  <c r="H263" i="2" s="1"/>
  <c r="I159" i="2"/>
  <c r="K117" i="2"/>
  <c r="K96" i="2"/>
  <c r="I891" i="2"/>
  <c r="K891" i="2"/>
  <c r="K656" i="2"/>
  <c r="I662" i="2"/>
  <c r="J662" i="2"/>
  <c r="H662" i="2" s="1"/>
  <c r="K484" i="2"/>
  <c r="K922" i="2"/>
  <c r="I881" i="2"/>
  <c r="K881" i="2"/>
  <c r="K942" i="2"/>
  <c r="I942" i="2"/>
  <c r="I938" i="2"/>
  <c r="K917" i="2"/>
  <c r="K938" i="2"/>
  <c r="J918" i="2"/>
  <c r="H918" i="2" s="1"/>
  <c r="I918" i="2"/>
  <c r="K936" i="2"/>
  <c r="J936" i="2"/>
  <c r="H936" i="2" s="1"/>
  <c r="J843" i="2"/>
  <c r="I848" i="2"/>
  <c r="I936" i="2"/>
  <c r="I753" i="2"/>
  <c r="J745" i="2"/>
  <c r="K778" i="2" s="1"/>
  <c r="I711" i="2"/>
  <c r="K670" i="2"/>
  <c r="J833" i="2"/>
  <c r="H833" i="2" s="1"/>
  <c r="I728" i="2"/>
  <c r="I602" i="2"/>
  <c r="J585" i="2"/>
  <c r="H585" i="2" s="1"/>
  <c r="I601" i="2"/>
  <c r="J484" i="2"/>
  <c r="H484" i="2" s="1"/>
  <c r="J554" i="2"/>
  <c r="K605" i="2" s="1"/>
  <c r="J552" i="2"/>
  <c r="H552" i="2" s="1"/>
  <c r="J562" i="2"/>
  <c r="H562" i="2" s="1"/>
  <c r="I489" i="2"/>
  <c r="I480" i="2"/>
  <c r="J420" i="2"/>
  <c r="H420" i="2" s="1"/>
  <c r="J530" i="2"/>
  <c r="H530" i="2" s="1"/>
  <c r="K528" i="2"/>
  <c r="K442" i="2"/>
  <c r="J402" i="2"/>
  <c r="K453" i="2" s="1"/>
  <c r="I372" i="2"/>
  <c r="K447" i="2"/>
  <c r="K372" i="2"/>
  <c r="I336" i="2"/>
  <c r="I398" i="2"/>
  <c r="I497" i="2"/>
  <c r="K390" i="2"/>
  <c r="K285" i="2"/>
  <c r="K249" i="2"/>
  <c r="K215" i="2"/>
  <c r="I328" i="2"/>
  <c r="J301" i="2"/>
  <c r="H301" i="2" s="1"/>
  <c r="K276" i="2"/>
  <c r="J233" i="2"/>
  <c r="H233" i="2" s="1"/>
  <c r="K208" i="2"/>
  <c r="I250" i="2"/>
  <c r="J203" i="2"/>
  <c r="J289" i="2"/>
  <c r="H289" i="2" s="1"/>
  <c r="J167" i="2"/>
  <c r="H167" i="2" s="1"/>
  <c r="J141" i="2"/>
  <c r="H141" i="2" s="1"/>
  <c r="K141" i="2"/>
  <c r="I66" i="2"/>
  <c r="J66" i="2"/>
  <c r="H66" i="2" s="1"/>
  <c r="I44" i="2"/>
  <c r="I359" i="2"/>
  <c r="I208" i="2"/>
  <c r="J271" i="2"/>
  <c r="H271" i="2" s="1"/>
  <c r="J159" i="2"/>
  <c r="H159" i="2" s="1"/>
  <c r="J408" i="2"/>
  <c r="H408" i="2" s="1"/>
  <c r="I873" i="2"/>
  <c r="K873" i="2"/>
  <c r="J917" i="2"/>
  <c r="K925" i="2" s="1"/>
  <c r="J807" i="2"/>
  <c r="H807" i="2" s="1"/>
  <c r="I807" i="2"/>
  <c r="K777" i="2"/>
  <c r="I777" i="2"/>
  <c r="K820" i="2"/>
  <c r="I815" i="2"/>
  <c r="J815" i="2"/>
  <c r="H815" i="2" s="1"/>
  <c r="I675" i="2"/>
  <c r="J675" i="2"/>
  <c r="H675" i="2" s="1"/>
  <c r="J674" i="2"/>
  <c r="H674" i="2" s="1"/>
  <c r="I656" i="2"/>
  <c r="I667" i="2"/>
  <c r="I698" i="2"/>
  <c r="J515" i="2"/>
  <c r="H515" i="2" s="1"/>
  <c r="I498" i="2"/>
  <c r="K498" i="2"/>
  <c r="J480" i="2"/>
  <c r="H480" i="2" s="1"/>
  <c r="J645" i="2"/>
  <c r="H645" i="2" s="1"/>
  <c r="J382" i="2"/>
  <c r="H382" i="2" s="1"/>
  <c r="K385" i="2"/>
  <c r="J275" i="2"/>
  <c r="J207" i="2"/>
  <c r="K331" i="2" s="1"/>
  <c r="K335" i="2"/>
  <c r="J33" i="2"/>
  <c r="I139" i="2"/>
  <c r="K139" i="2"/>
  <c r="J40" i="2"/>
  <c r="H40" i="2" s="1"/>
  <c r="I40" i="2"/>
  <c r="J109" i="2"/>
  <c r="H109" i="2" s="1"/>
  <c r="I109" i="2"/>
  <c r="K40" i="2"/>
  <c r="I234" i="2"/>
  <c r="J30" i="2"/>
  <c r="H30" i="2" s="1"/>
  <c r="I30" i="2"/>
  <c r="J426" i="2"/>
  <c r="K430" i="2" s="1"/>
  <c r="I426" i="2"/>
  <c r="I886" i="2"/>
  <c r="I899" i="2"/>
  <c r="K899" i="2"/>
  <c r="J934" i="2"/>
  <c r="H934" i="2" s="1"/>
  <c r="I934" i="2"/>
  <c r="J886" i="2"/>
  <c r="I896" i="2"/>
  <c r="K908" i="2"/>
  <c r="K934" i="2"/>
  <c r="J765" i="2"/>
  <c r="H765" i="2" s="1"/>
  <c r="I765" i="2"/>
  <c r="J768" i="2"/>
  <c r="H768" i="2" s="1"/>
  <c r="J701" i="2"/>
  <c r="H701" i="2" s="1"/>
  <c r="J706" i="2"/>
  <c r="H706" i="2" s="1"/>
  <c r="I878" i="2"/>
  <c r="I643" i="2"/>
  <c r="J891" i="2"/>
  <c r="K915" i="2" s="1"/>
  <c r="J698" i="2"/>
  <c r="K770" i="2" s="1"/>
  <c r="I688" i="2"/>
  <c r="K599" i="2"/>
  <c r="J599" i="2"/>
  <c r="H599" i="2" s="1"/>
  <c r="I567" i="2"/>
  <c r="I512" i="2"/>
  <c r="I571" i="2"/>
  <c r="J549" i="2"/>
  <c r="H549" i="2" s="1"/>
  <c r="J541" i="2"/>
  <c r="H541" i="2" s="1"/>
  <c r="J533" i="2"/>
  <c r="H533" i="2" s="1"/>
  <c r="K485" i="2"/>
  <c r="I574" i="2"/>
  <c r="J625" i="2"/>
  <c r="H625" i="2" s="1"/>
  <c r="K546" i="2"/>
  <c r="I465" i="2"/>
  <c r="I468" i="2"/>
  <c r="J442" i="2"/>
  <c r="H442" i="2" s="1"/>
  <c r="I528" i="2"/>
  <c r="K419" i="2"/>
  <c r="I382" i="2"/>
  <c r="K309" i="2"/>
  <c r="K207" i="2"/>
  <c r="J384" i="2"/>
  <c r="K554" i="2" s="1"/>
  <c r="K294" i="2"/>
  <c r="J249" i="2"/>
  <c r="H249" i="2" s="1"/>
  <c r="K226" i="2"/>
  <c r="I260" i="2"/>
  <c r="I135" i="2"/>
  <c r="I125" i="2"/>
  <c r="K105" i="2"/>
  <c r="I105" i="2"/>
  <c r="J84" i="2"/>
  <c r="K172" i="2" s="1"/>
  <c r="I84" i="2"/>
  <c r="J34" i="2"/>
  <c r="H34" i="2" s="1"/>
  <c r="I12" i="2"/>
  <c r="J12" i="2"/>
  <c r="K23" i="2" s="1"/>
  <c r="J144" i="2"/>
  <c r="H144" i="2" s="1"/>
  <c r="J107" i="2"/>
  <c r="I294" i="2"/>
  <c r="K66" i="2"/>
  <c r="I408" i="2"/>
  <c r="J627" i="2"/>
  <c r="H627" i="2" s="1"/>
  <c r="J595" i="2"/>
  <c r="H595" i="2" s="1"/>
  <c r="K392" i="2"/>
  <c r="J392" i="2"/>
  <c r="H392" i="2" s="1"/>
  <c r="J4" i="2"/>
  <c r="K18" i="2" s="1"/>
  <c r="I4" i="2"/>
  <c r="J926" i="2"/>
  <c r="H926" i="2" s="1"/>
  <c r="I926" i="2"/>
  <c r="J680" i="2"/>
  <c r="I680" i="2"/>
  <c r="K914" i="2"/>
  <c r="I865" i="2"/>
  <c r="K865" i="2"/>
  <c r="K928" i="2"/>
  <c r="J928" i="2"/>
  <c r="H928" i="2" s="1"/>
  <c r="J852" i="2"/>
  <c r="H852" i="2" s="1"/>
  <c r="J781" i="2"/>
  <c r="H781" i="2" s="1"/>
  <c r="I781" i="2"/>
  <c r="K926" i="2"/>
  <c r="J661" i="2"/>
  <c r="H661" i="2" s="1"/>
  <c r="K667" i="2"/>
  <c r="K706" i="2"/>
  <c r="K665" i="2"/>
  <c r="I665" i="2"/>
  <c r="I729" i="2"/>
  <c r="K681" i="2"/>
  <c r="I627" i="2"/>
  <c r="J681" i="2"/>
  <c r="H681" i="2" s="1"/>
  <c r="J855" i="2"/>
  <c r="H855" i="2" s="1"/>
  <c r="K600" i="2"/>
  <c r="J600" i="2"/>
  <c r="H600" i="2" s="1"/>
  <c r="K643" i="2"/>
  <c r="J619" i="2"/>
  <c r="I552" i="2"/>
  <c r="K567" i="2"/>
  <c r="K549" i="2"/>
  <c r="K541" i="2"/>
  <c r="K533" i="2"/>
  <c r="J542" i="2"/>
  <c r="H542" i="2" s="1"/>
  <c r="K515" i="2"/>
  <c r="I583" i="2"/>
  <c r="K562" i="2"/>
  <c r="K542" i="2"/>
  <c r="J526" i="2"/>
  <c r="H526" i="2" s="1"/>
  <c r="I392" i="2"/>
  <c r="J354" i="2"/>
  <c r="H354" i="2" s="1"/>
  <c r="K403" i="2"/>
  <c r="J293" i="2"/>
  <c r="H293" i="2" s="1"/>
  <c r="K268" i="2"/>
  <c r="K200" i="2"/>
  <c r="K182" i="2"/>
  <c r="I117" i="2"/>
  <c r="K154" i="2"/>
  <c r="I268" i="2"/>
  <c r="J139" i="2"/>
  <c r="H139" i="2" s="1"/>
  <c r="J58" i="2"/>
  <c r="H58" i="2" s="1"/>
  <c r="I58" i="2"/>
  <c r="I286" i="2"/>
  <c r="K102" i="2"/>
  <c r="J102" i="2"/>
  <c r="H102" i="2" s="1"/>
  <c r="J127" i="2"/>
  <c r="H127" i="2" s="1"/>
  <c r="K92" i="2"/>
  <c r="K22" i="2"/>
  <c r="H925" i="2" l="1"/>
  <c r="H917" i="2"/>
  <c r="H886" i="2"/>
  <c r="K784" i="2"/>
  <c r="K745" i="2"/>
  <c r="K753" i="2"/>
  <c r="K735" i="2"/>
  <c r="H753" i="2"/>
  <c r="H745" i="2"/>
  <c r="H735" i="2"/>
  <c r="H717" i="2"/>
  <c r="H646" i="2"/>
  <c r="K680" i="2"/>
  <c r="H4" i="2"/>
  <c r="K622" i="2"/>
  <c r="H619" i="2"/>
  <c r="H402" i="2"/>
  <c r="H69" i="2"/>
  <c r="G69" i="2"/>
  <c r="K933" i="2"/>
  <c r="K924" i="2"/>
  <c r="H900" i="2"/>
  <c r="H891" i="2"/>
  <c r="H882" i="2"/>
  <c r="H843" i="2"/>
  <c r="H820" i="2"/>
  <c r="H698" i="2"/>
  <c r="H689" i="2"/>
  <c r="H684" i="2"/>
  <c r="H680" i="2"/>
  <c r="H601" i="2"/>
  <c r="H584" i="2"/>
  <c r="H554" i="2"/>
  <c r="H550" i="2"/>
  <c r="H545" i="2"/>
  <c r="H510" i="2"/>
  <c r="H478" i="2"/>
  <c r="H467" i="2"/>
  <c r="H414" i="2"/>
  <c r="H384" i="2"/>
  <c r="H374" i="2"/>
  <c r="H371" i="2"/>
  <c r="H368" i="2"/>
  <c r="H359" i="2"/>
  <c r="H100" i="2"/>
  <c r="H33" i="2"/>
  <c r="G33" i="2"/>
  <c r="H362" i="2"/>
  <c r="H324" i="2"/>
  <c r="H275" i="2"/>
  <c r="H245" i="2"/>
  <c r="H229" i="2"/>
  <c r="H225" i="2"/>
  <c r="H207" i="2"/>
  <c r="H203" i="2"/>
  <c r="H107" i="2"/>
  <c r="H87" i="2"/>
  <c r="H61" i="2"/>
  <c r="H12" i="2"/>
</calcChain>
</file>

<file path=xl/sharedStrings.xml><?xml version="1.0" encoding="utf-8"?>
<sst xmlns="http://schemas.openxmlformats.org/spreadsheetml/2006/main" count="2318" uniqueCount="739">
  <si>
    <t>ID</t>
  </si>
  <si>
    <t>PRED_ID</t>
  </si>
  <si>
    <t>MARKER_AUTO</t>
  </si>
  <si>
    <t>PREDICATE</t>
  </si>
  <si>
    <t>TEXT</t>
  </si>
  <si>
    <t>SENTENCE</t>
  </si>
  <si>
    <t>MARKER</t>
  </si>
  <si>
    <t>TARGET</t>
  </si>
  <si>
    <t>RELATION</t>
  </si>
  <si>
    <t>COMMENT</t>
  </si>
  <si>
    <t>1</t>
  </si>
  <si>
    <t>2</t>
  </si>
  <si>
    <t>_</t>
  </si>
  <si>
    <t>Regenfall</t>
  </si>
  <si>
    <t>Heftige Regenfälle , Überschwemmung gibt Anlass zu Rettungen in Louisiana , Mississippi</t>
  </si>
  <si>
    <t>file://conllu/de/cbsnews.146291.conllu#s1_0</t>
  </si>
  <si>
    <t>8</t>
  </si>
  <si>
    <t>zwingen</t>
  </si>
  <si>
    <t>Heftige Regenfälle und großflächige Überschwemmungen in Louisiana zwangen den Gouverneur dazu , am an dem Freitag den Notstand auszurufen .</t>
  </si>
  <si>
    <t>file://conllu/de/cbsnews.146291.conllu#s2_0</t>
  </si>
  <si>
    <t>3</t>
  </si>
  <si>
    <t>10</t>
  </si>
  <si>
    <t>rechnen</t>
  </si>
  <si>
    <t>Es wird den ganzen Samstag über mit mehr Regenfällen gerechnet .</t>
  </si>
  <si>
    <t>file://conllu/de/cbsnews.146291.conllu#s3_0</t>
  </si>
  <si>
    <t>4</t>
  </si>
  <si>
    <t>12</t>
  </si>
  <si>
    <t>überfluten</t>
  </si>
  <si>
    <t>Zahlreiche Flüsse im in dem Südosten Louisianas und dem Süden des Mississippis überfluteten ihre Ufer und drohten mit großflächigen Überschwemmungen nach extremen Regenfällen , berichtete der Nationale Wetterdienst .</t>
  </si>
  <si>
    <t>file://conllu/de/cbsnews.146291.conllu#s4_0</t>
  </si>
  <si>
    <t>5</t>
  </si>
  <si>
    <t>teilen</t>
  </si>
  <si>
    <t>Der Gouverneur von Louisiana John Bel Edwards teilte mit , dass Staatsbeamte im in dem ständigen Kontakt mit den örtlichen Behörden stehen und Hilfe zu den betroffenen Gemeinden bereits unterwegs sei .</t>
  </si>
  <si>
    <t>file://conllu/de/cbsnews.146291.conllu#s5_0</t>
  </si>
  <si>
    <t>6</t>
  </si>
  <si>
    <t>18</t>
  </si>
  <si>
    <t>Mike Steele , ein Sprecher für das Office of Homeland Security and Emergency Preparedness des Gouverneurs , teilte mit , dass sich die Anfragen für Hochwasserfahrzeuge , Boote und Sandsäcke mehrten .</t>
  </si>
  <si>
    <t>file://conllu/de/cbsnews.146291.conllu#s6_0</t>
  </si>
  <si>
    <t>7</t>
  </si>
  <si>
    <t>sagen</t>
  </si>
  <si>
    <t>Steele sagte , dass allein die Gemeinde Tangipahoa zehntausend Sandsäcke angefordert hätte .</t>
  </si>
  <si>
    <t>file://conllu/de/cbsnews.146291.conllu#s7_0</t>
  </si>
  <si>
    <t>13</t>
  </si>
  <si>
    <t>einsetzen</t>
  </si>
  <si>
    <t>Ein Überschwemmungswarnsystem wird über weite Teile im in dem Süden Louisianas bis Samstag eingesetzt .</t>
  </si>
  <si>
    <t>file://conllu/de/cbsnews.146291.conllu#s8_0</t>
  </si>
  <si>
    <t>9</t>
  </si>
  <si>
    <t>lassen</t>
  </si>
  <si>
    <t>Der Wetterdienst ließ verlautbaren , dass in diesem Gebiet zusätzliche 3 bis 5 Zoll an Regen fallen könnten .</t>
  </si>
  <si>
    <t>file://conllu/de/cbsnews.146291.conllu#s9_0</t>
  </si>
  <si>
    <t>11</t>
  </si>
  <si>
    <t>34</t>
  </si>
  <si>
    <t>erreichen</t>
  </si>
  <si>
    <t>Der Fluss Comite in der Nähe Baton Rouges und der Fluss Amite in der Nähe Denham Springs , die sich beide in Louisiana befinden , werden aller Wahrscheinlichkeit nach über das Wochenende Rekordpegel erreichen .</t>
  </si>
  <si>
    <t>file://conllu/de/cbsnews.146291.conllu#s11_0</t>
  </si>
  <si>
    <t>Der Metereologe Alek Krautmann sagt , dass beide Flüsse viele Häuser in den Vorortgegenden nahe Baton Rouge überschwemmen könnten .</t>
  </si>
  <si>
    <t>file://conllu/de/cbsnews.146291.conllu#s12_0</t>
  </si>
  <si>
    <t>Er sagte auch , dass eine stromabwärts gerichtete Überschwemmung in Ascension Parish eine Gefahr darstellt , da diese über die getretenen Flüsse nur langsam in den Lake Maurepas fließen werden .</t>
  </si>
  <si>
    <t>file://conllu/de/cbsnews.146291.conllu#s13_0</t>
  </si>
  <si>
    <t>14</t>
  </si>
  <si>
    <t>Der Fluss Tickfaw , südlich der Mississippi Staatsgrenze in Liverpool , Louisiana , erreichte am an dem Freitag bereits um 09.00 den höchsten Stand , der jemals aufgezeichnet wurde .</t>
  </si>
  <si>
    <t>file://conllu/de/cbsnews.146291.conllu#s14_0</t>
  </si>
  <si>
    <t>15</t>
  </si>
  <si>
    <t>zupfen</t>
  </si>
  <si>
    <t>Rettungsteams zupften noch immer Leute aus dem Flutwasser in den Bezirken Amite und Wilkinson im in dem Südwesten von Mississippi .</t>
  </si>
  <si>
    <t>file://conllu/de/cbsnews.146291.conllu#s15_0</t>
  </si>
  <si>
    <t>16</t>
  </si>
  <si>
    <t>befinden</t>
  </si>
  <si>
    <t>Leroy Hansford , seine Frau und sein Stiefsohn befanden sich unter denjenigen , die am an dem Freitag in der Nähe von Gloster gerettet wurden .</t>
  </si>
  <si>
    <t>file://conllu/de/cbsnews.146291.conllu#s16_0</t>
  </si>
  <si>
    <t>17</t>
  </si>
  <si>
    <t>Hansford , 62 , sagt , dass Wasser von Beaver Creek , das normalerweise mehr als 400 Fuß von seinem Haus entfernt liegt , über Nacht stark anstieg .</t>
  </si>
  <si>
    <t>file://conllu/de/cbsnews.146291.conllu#s17_0</t>
  </si>
  <si>
    <t>warnen (warnen sagen)</t>
  </si>
  <si>
    <t>Er sagte , dass ihn ein weiterer Stiefsohn , der in der Nähe wohnt , gewarnt hätte .</t>
  </si>
  <si>
    <t>file://conllu/de/cbsnews.146291.conllu#s18_0</t>
  </si>
  <si>
    <t>19</t>
  </si>
  <si>
    <t>&amp;quot; Wir sind aufgewacht und das Wasser strömte und strömte herein , &amp;quot; sagte Hansford .</t>
  </si>
  <si>
    <t>file://conllu/de/cbsnews.146291.conllu#s19_0</t>
  </si>
  <si>
    <t>20</t>
  </si>
  <si>
    <t>Es erreichte meine Taille .</t>
  </si>
  <si>
    <t>file://conllu/de/cbsnews.146291.conllu#s20_0</t>
  </si>
  <si>
    <t>21</t>
  </si>
  <si>
    <t>26</t>
  </si>
  <si>
    <t>sehen (sehen sagen)</t>
  </si>
  <si>
    <t>Seine Frau sagte Hansford , dass sie in den 48 Jahren , in denen sie dort lebte , noch nie einen solchen Hochstand des Flusses gesehen hätte .</t>
  </si>
  <si>
    <t>file://conllu/de/cbsnews.146291.conllu#s21_0</t>
  </si>
  <si>
    <t>22</t>
  </si>
  <si>
    <t>Hansford sagte , dass er und seine Familienmitglieder alle Behinderungen hätten und er der Einzige wäre , der schwimmen kann .</t>
  </si>
  <si>
    <t>file://conllu/de/cbsnews.146291.conllu#s22_0</t>
  </si>
  <si>
    <t>23</t>
  </si>
  <si>
    <t>Hansford sagte , dass Nothelfer alle drei in einem großen Militär-LKW gerettet hätten und sie zu der nächsten Feuerwache in Gloster gebracht hätten , wo sie bis zum zu dem Freitag untergebracht waren .</t>
  </si>
  <si>
    <t>file://conllu/de/cbsnews.146291.conllu#s23_0</t>
  </si>
  <si>
    <t>24</t>
  </si>
  <si>
    <t>Krautmann sagte , dass die Überschwemmung &amp;quot; sich schnell ausgebreitet &amp;quot; hatte , da es weiterhin schwere Regenfälle gab und , dass die Behörden Evakuierungsanweisungen in Betracht zögen .</t>
  </si>
  <si>
    <t>file://conllu/de/cbsnews.146291.conllu#s24_0</t>
  </si>
  <si>
    <t>25</t>
  </si>
  <si>
    <t>melden</t>
  </si>
  <si>
    <t>Laut Krautmann meldete ein Beobachter in der Nähe von Livingstone von Mitternacht bis Freitag morgen von 13,75 Zoll Regen .</t>
  </si>
  <si>
    <t>file://conllu/de/cbsnews.146291.conllu#s25_0</t>
  </si>
  <si>
    <t>Krautmann sagte , dass der Boden durch die Regenfälle seit Mittwoch erheblich vollgesogen sei .</t>
  </si>
  <si>
    <t>file://conllu/de/cbsnews.146291.conllu#s26_0</t>
  </si>
  <si>
    <t>27</t>
  </si>
  <si>
    <t>geben</t>
  </si>
  <si>
    <t>Die Behörden gaben an , dass schwere Regenfälle und Straßenüberschwemmungen die Rettung von Einwohnern aus ihren Häusern in Tangipahoa Parish und Unterrichtsausfall in fünf Schulbezirken verursachten .</t>
  </si>
  <si>
    <t>file://conllu/de/cbsnews.146291.conllu#s27_0</t>
  </si>
  <si>
    <t>28</t>
  </si>
  <si>
    <t>berichten</t>
  </si>
  <si>
    <t>Der CBS Tochtersender WWL berichtete , dass eine Beigeordnete in Tangipahoa 200 überschwemmte Häuser angab .</t>
  </si>
  <si>
    <t>file://conllu/de/cbsnews.146291.conllu#s28_0</t>
  </si>
  <si>
    <t>29</t>
  </si>
  <si>
    <t>evakuieren</t>
  </si>
  <si>
    <t>Die Einwohner wurden in zwei Kirchen evakuiert , die jetzt beide überschwemmt wurden .</t>
  </si>
  <si>
    <t>file://conllu/de/cbsnews.146291.conllu#s29_0</t>
  </si>
  <si>
    <t>30</t>
  </si>
  <si>
    <t>Der Vorsteher der Gemeinde Robby Miller sagte , dass die Behörden 72 Leute und sieben Haustiere gerettet hätten , die vom von dem Hochwasser angespült wurden .</t>
  </si>
  <si>
    <t>file://conllu/de/cbsnews.146291.conllu#s30_0</t>
  </si>
  <si>
    <t>31</t>
  </si>
  <si>
    <t>einrichten</t>
  </si>
  <si>
    <t>In den Städten Amite und Hammond wurden Notunterkünfte eingerichtet , um die Evakuierten zu beherbergen .</t>
  </si>
  <si>
    <t>file://conllu/de/cbsnews.146291.conllu#s31_0</t>
  </si>
  <si>
    <t>32</t>
  </si>
  <si>
    <t>zurückgehen</t>
  </si>
  <si>
    <t>&amp;quot; Sobald das Wasser anfängt zurückzugehen , werden sie wieder in ihre Häuser zurückgehen können , &amp;quot; sagte er .</t>
  </si>
  <si>
    <t>file://conllu/de/cbsnews.146291.conllu#s32_0</t>
  </si>
  <si>
    <t>33</t>
  </si>
  <si>
    <t>schließen</t>
  </si>
  <si>
    <t>In der Stadt Hammond der Gemeinde Tangipahoa wurden fast zwei dutzend Straßen aufgrund des Hochwassers geschlossen und Sandsäcke für die Bewohner zur zu der Mitnahme bereitgestellt , die hoffen , das Wasser aus ihren Häusern und Geschäften halten zu können .</t>
  </si>
  <si>
    <t>file://conllu/de/cbsnews.146291.conllu#s33_0</t>
  </si>
  <si>
    <t>Landrum</t>
  </si>
  <si>
    <t>&amp;quot; Die letzte große Überschwemmung , die wir hatten , war im in dem März , &amp;quot; sagte Lacy Landrum von der Stadtverwaltung .</t>
  </si>
  <si>
    <t>file://conllu/de/cbsnews.146291.conllu#s34_0</t>
  </si>
  <si>
    <t>35</t>
  </si>
  <si>
    <t>scheinen</t>
  </si>
  <si>
    <t>Dies scheint ein ähnlicher Vorfall zu werden .</t>
  </si>
  <si>
    <t>file://conllu/de/cbsnews.146291.conllu#s35_0</t>
  </si>
  <si>
    <t>36</t>
  </si>
  <si>
    <t>In Mississipp sagte der Notfallmanager Rupert Lacy des Harrison Countys , dass es an der Golfküste weiterhin regnete .</t>
  </si>
  <si>
    <t>file://conllu/de/cbsnews.146291.conllu#s36_0</t>
  </si>
  <si>
    <t>37</t>
  </si>
  <si>
    <t>melden (melden melden)</t>
  </si>
  <si>
    <t>Laut seinen Angaben sollen eine Handvoll Häuser am an dem Donnerstag als überschwemmt gemeldet worden sein , aber am an dem Freitag wurden bis jetzt keine gemeldet .</t>
  </si>
  <si>
    <t>file://conllu/de/cbsnews.146291.conllu#s37_0</t>
  </si>
  <si>
    <t>38</t>
  </si>
  <si>
    <t>leben</t>
  </si>
  <si>
    <t>Keith Townson , Manager bei Shopper Value Foods in Amite , lebt bereits seit 40 Jahren in der Gegend .</t>
  </si>
  <si>
    <t>file://conllu/de/cbsnews.146291.conllu#s38_0</t>
  </si>
  <si>
    <t>39</t>
  </si>
  <si>
    <t>sehen (sehen sehen)</t>
  </si>
  <si>
    <t>&amp;quot; Ich habe Wasser an Orten gesehen , an denen ich es nie zuvor gesehen habe , &amp;quot; sagte Townson , &amp;quot; und es kommt noch immer . &amp;quot;</t>
  </si>
  <si>
    <t>file://conllu/de/cbsnews.146291.conllu#s39_0</t>
  </si>
  <si>
    <t>WORD</t>
  </si>
  <si>
    <t>GR</t>
  </si>
  <si>
    <t>NP_TYPE</t>
  </si>
  <si>
    <t>REF_AUTO</t>
  </si>
  <si>
    <t>COREF</t>
  </si>
  <si>
    <t>REF</t>
  </si>
  <si>
    <t>IS</t>
  </si>
  <si>
    <t>CB</t>
  </si>
  <si>
    <t>GR_ANTE</t>
  </si>
  <si>
    <t>REF_DIST</t>
  </si>
  <si>
    <t>REF_DIST_ANTE</t>
  </si>
  <si>
    <t># text = Heftige Regenfälle, Überschwemmung gibt Anlass zu Rettungen in Louisiana, Mississippi</t>
  </si>
  <si>
    <t>Heftige</t>
  </si>
  <si>
    <t>Regenfälle</t>
  </si>
  <si>
    <t>other</t>
  </si>
  <si>
    <t>indef-np.bare</t>
  </si>
  <si>
    <t>,</t>
  </si>
  <si>
    <t>Überschwemmung</t>
  </si>
  <si>
    <t>SBJ_2</t>
  </si>
  <si>
    <t>gibt</t>
  </si>
  <si>
    <t>Anlass</t>
  </si>
  <si>
    <t>OBJ_2</t>
  </si>
  <si>
    <t>zu</t>
  </si>
  <si>
    <t>other_4</t>
  </si>
  <si>
    <t>pron.pind</t>
  </si>
  <si>
    <t>Rettungen</t>
  </si>
  <si>
    <t>other_3</t>
  </si>
  <si>
    <t>in</t>
  </si>
  <si>
    <t>Louisiana</t>
  </si>
  <si>
    <t>ne</t>
  </si>
  <si>
    <t>?OLD</t>
  </si>
  <si>
    <t>Mississippi</t>
  </si>
  <si>
    <t>other_5</t>
  </si>
  <si>
    <t># text = Heftige Regenfälle und großflächige Überschwemmungen in Louisiana zwangen den Gouverneur dazu, am Freitag den Notstand auszurufen.</t>
  </si>
  <si>
    <t>SBJ</t>
  </si>
  <si>
    <t>und</t>
  </si>
  <si>
    <t>großflächige</t>
  </si>
  <si>
    <t>Überschwemmungen</t>
  </si>
  <si>
    <t>other_2</t>
  </si>
  <si>
    <t>zwangen</t>
  </si>
  <si>
    <t>den</t>
  </si>
  <si>
    <t>Gouverneur</t>
  </si>
  <si>
    <t>OBJ</t>
  </si>
  <si>
    <t>def-np.the</t>
  </si>
  <si>
    <t>dazu</t>
  </si>
  <si>
    <t>an</t>
  </si>
  <si>
    <t>dem</t>
  </si>
  <si>
    <t>Freitag</t>
  </si>
  <si>
    <t>Notstand</t>
  </si>
  <si>
    <t>auszurufen</t>
  </si>
  <si>
    <t>.</t>
  </si>
  <si>
    <t># text = Es wird den ganzen Samstag über mit mehr Regenfällen gerechnet.</t>
  </si>
  <si>
    <t>Es</t>
  </si>
  <si>
    <t>wird</t>
  </si>
  <si>
    <t>ganzen</t>
  </si>
  <si>
    <t>Samstag</t>
  </si>
  <si>
    <t>über</t>
  </si>
  <si>
    <t>mit</t>
  </si>
  <si>
    <t>mehr</t>
  </si>
  <si>
    <t>Regenfällen</t>
  </si>
  <si>
    <t>gerechnet</t>
  </si>
  <si>
    <t># text = Zahlreiche Flüsse im Südosten Louisianas und dem Süden des Mississippis überfluteten ihre Ufer und drohten mit großflächigen Überschwemmungen nach extremen Regenfällen, berichtete der Nationale Wetterdienst.</t>
  </si>
  <si>
    <t>Zahlreiche</t>
  </si>
  <si>
    <t>Flüsse</t>
  </si>
  <si>
    <t>indef-np.quant</t>
  </si>
  <si>
    <t>Südosten</t>
  </si>
  <si>
    <t>Louisianas</t>
  </si>
  <si>
    <t>Süden</t>
  </si>
  <si>
    <t>des</t>
  </si>
  <si>
    <t>Mississippis</t>
  </si>
  <si>
    <t>überfluteten</t>
  </si>
  <si>
    <t>ihre</t>
  </si>
  <si>
    <t>Ufer</t>
  </si>
  <si>
    <t>indef-np</t>
  </si>
  <si>
    <t>drohten</t>
  </si>
  <si>
    <t>großflächigen</t>
  </si>
  <si>
    <t>nach</t>
  </si>
  <si>
    <t>extremen</t>
  </si>
  <si>
    <t>berichtete</t>
  </si>
  <si>
    <t>der</t>
  </si>
  <si>
    <t>Nationale</t>
  </si>
  <si>
    <t>Wetterdienst</t>
  </si>
  <si>
    <t># text = Der Gouverneur von Louisiana John Bel Edwards teilte mit, dass Staatsbeamte im ständigen Kontakt mit den örtlichen Behörden stehen und Hilfe zu den betroffenen Gemeinden bereits unterwegs sei.</t>
  </si>
  <si>
    <t>Der</t>
  </si>
  <si>
    <t>von</t>
  </si>
  <si>
    <t>John</t>
  </si>
  <si>
    <t>Bel</t>
  </si>
  <si>
    <t>Edwards</t>
  </si>
  <si>
    <t>teilte</t>
  </si>
  <si>
    <t>dass</t>
  </si>
  <si>
    <t>Staatsbeamte</t>
  </si>
  <si>
    <t>ständigen</t>
  </si>
  <si>
    <t>Kontakt</t>
  </si>
  <si>
    <t>örtlichen</t>
  </si>
  <si>
    <t>Behörden</t>
  </si>
  <si>
    <t>stehen</t>
  </si>
  <si>
    <t>Hilfe</t>
  </si>
  <si>
    <t>betroffenen</t>
  </si>
  <si>
    <t>Gemeinden</t>
  </si>
  <si>
    <t>bereits</t>
  </si>
  <si>
    <t>unterwegs</t>
  </si>
  <si>
    <t>sei</t>
  </si>
  <si>
    <t># text = Mike Steele, ein Sprecher für das Office of Homeland Security and Emergency Preparedness des Gouverneurs, teilte mit, dass sich die Anfragen für Hochwasserfahrzeuge, Boote und Sandsäcke mehrten.</t>
  </si>
  <si>
    <t>Mike</t>
  </si>
  <si>
    <t>Steele</t>
  </si>
  <si>
    <t>ein</t>
  </si>
  <si>
    <t>Sprecher</t>
  </si>
  <si>
    <t>indef-np.a</t>
  </si>
  <si>
    <t>für</t>
  </si>
  <si>
    <t>das</t>
  </si>
  <si>
    <t>Office</t>
  </si>
  <si>
    <t>of</t>
  </si>
  <si>
    <t>Homeland</t>
  </si>
  <si>
    <t>Security</t>
  </si>
  <si>
    <t>and</t>
  </si>
  <si>
    <t>Emergency</t>
  </si>
  <si>
    <t>Preparedness</t>
  </si>
  <si>
    <t>Gouverneurs</t>
  </si>
  <si>
    <t>sich</t>
  </si>
  <si>
    <t>die</t>
  </si>
  <si>
    <t>Anfragen</t>
  </si>
  <si>
    <t>Hochwasserfahrzeuge</t>
  </si>
  <si>
    <t>Boote</t>
  </si>
  <si>
    <t>Sandsäcke</t>
  </si>
  <si>
    <t>mehrten</t>
  </si>
  <si>
    <t># text = Steele sagte, dass allein die Gemeinde Tangipahoa zehntausend Sandsäcke angefordert hätte.</t>
  </si>
  <si>
    <t>pron</t>
  </si>
  <si>
    <t>sagte</t>
  </si>
  <si>
    <t>allein</t>
  </si>
  <si>
    <t>Gemeinde</t>
  </si>
  <si>
    <t>Tangipahoa</t>
  </si>
  <si>
    <t>zehntausend</t>
  </si>
  <si>
    <t>angefordert</t>
  </si>
  <si>
    <t>hätte</t>
  </si>
  <si>
    <t># text = Ein Überschwemmungswarnsystem wird über weite Teile im Süden Louisianas bis Samstag eingesetzt.</t>
  </si>
  <si>
    <t>Ein</t>
  </si>
  <si>
    <t>Überschwemmungswarnsystem</t>
  </si>
  <si>
    <t>weite</t>
  </si>
  <si>
    <t>Teile</t>
  </si>
  <si>
    <t>def-np.poss</t>
  </si>
  <si>
    <t>bis</t>
  </si>
  <si>
    <t>eingesetzt</t>
  </si>
  <si>
    <t># text = Der Wetterdienst ließ verlautbaren, dass in diesem Gebiet zusätzliche 3 bis 5 Zoll an Regen fallen könnten.</t>
  </si>
  <si>
    <t>ließ</t>
  </si>
  <si>
    <t>verlautbaren</t>
  </si>
  <si>
    <t>diesem</t>
  </si>
  <si>
    <t>pron.pds</t>
  </si>
  <si>
    <t>Gebiet</t>
  </si>
  <si>
    <t>def-np.dem</t>
  </si>
  <si>
    <t>zusätzliche</t>
  </si>
  <si>
    <t>Zoll</t>
  </si>
  <si>
    <t>Regen</t>
  </si>
  <si>
    <t>fallen</t>
  </si>
  <si>
    <t>könnten</t>
  </si>
  <si>
    <t># text = Im Süden Alabamas wurde am Freitag ein Flutfrühwarnsystem eingesetzt, während es im Gebiet Mobile weiterhin regnete.</t>
  </si>
  <si>
    <t>In</t>
  </si>
  <si>
    <t>Alabamas</t>
  </si>
  <si>
    <t>wurde</t>
  </si>
  <si>
    <t>Flutfrühwarnsystem</t>
  </si>
  <si>
    <t>während</t>
  </si>
  <si>
    <t>es</t>
  </si>
  <si>
    <t>pron.pper</t>
  </si>
  <si>
    <t>Mobile</t>
  </si>
  <si>
    <t>weiterhin</t>
  </si>
  <si>
    <t>regnete</t>
  </si>
  <si>
    <t># text = Der Fluss Comite in der Nähe Baton Rouges und der Fluss Amite in der Nähe Denham Springs, die sich beide in Louisiana befinden, werden aller Wahrscheinlichkeit nach über das Wochenende Rekordpegel erreichen.</t>
  </si>
  <si>
    <t>Fluss</t>
  </si>
  <si>
    <t>Comite</t>
  </si>
  <si>
    <t>Nähe</t>
  </si>
  <si>
    <t>Baton</t>
  </si>
  <si>
    <t>Rouges</t>
  </si>
  <si>
    <t>Amite</t>
  </si>
  <si>
    <t>Denham</t>
  </si>
  <si>
    <t>Springs</t>
  </si>
  <si>
    <t>SBJ_5</t>
  </si>
  <si>
    <t>beide</t>
  </si>
  <si>
    <t>werden</t>
  </si>
  <si>
    <t>aller</t>
  </si>
  <si>
    <t>Wahrscheinlichkeit</t>
  </si>
  <si>
    <t>Wochenende</t>
  </si>
  <si>
    <t>Rekordpegel</t>
  </si>
  <si>
    <t># text = Der Metereologe Alek Krautmann sagt, dass beide Flüsse viele Häuser in den Vorortgegenden nahe Baton Rouge überschwemmen könnten.</t>
  </si>
  <si>
    <t>Metereologe</t>
  </si>
  <si>
    <t>Alek</t>
  </si>
  <si>
    <t>Krautmann</t>
  </si>
  <si>
    <t>sagt</t>
  </si>
  <si>
    <t>def-np.quant</t>
  </si>
  <si>
    <t>viele</t>
  </si>
  <si>
    <t>Häuser</t>
  </si>
  <si>
    <t>Vorortgegenden</t>
  </si>
  <si>
    <t>nahe</t>
  </si>
  <si>
    <t>Rouge</t>
  </si>
  <si>
    <t>überschwemmen</t>
  </si>
  <si>
    <t># text = Er sagte auch, dass eine stromabwärts gerichtete Überschwemmung in Ascension Parish eine Gefahr darstellt, da diese über die getretenen Flüsse nur langsam in den Lake Maurepas fließen werden.</t>
  </si>
  <si>
    <t>Er</t>
  </si>
  <si>
    <t>auch</t>
  </si>
  <si>
    <t>eine</t>
  </si>
  <si>
    <t>stromabwärts</t>
  </si>
  <si>
    <t>gerichtete</t>
  </si>
  <si>
    <t>Ascension</t>
  </si>
  <si>
    <t>Parish</t>
  </si>
  <si>
    <t>Gefahr</t>
  </si>
  <si>
    <t>darstellt</t>
  </si>
  <si>
    <t>da</t>
  </si>
  <si>
    <t>diese</t>
  </si>
  <si>
    <t>getretenen</t>
  </si>
  <si>
    <t>nur</t>
  </si>
  <si>
    <t>langsam</t>
  </si>
  <si>
    <t>Lake</t>
  </si>
  <si>
    <t>Maurepas</t>
  </si>
  <si>
    <t>fließen</t>
  </si>
  <si>
    <t># text = Der Fluss Tickfaw, südlich der Mississippi Staatsgrenze in Liverpool, Louisiana, erreichte am Freitag bereits um 09.00 den höchsten Stand, der jemals aufgezeichnet wurde.</t>
  </si>
  <si>
    <t>Tickfaw</t>
  </si>
  <si>
    <t>südlich</t>
  </si>
  <si>
    <t>Staatsgrenze</t>
  </si>
  <si>
    <t>Liverpool</t>
  </si>
  <si>
    <t>erreichte</t>
  </si>
  <si>
    <t>um</t>
  </si>
  <si>
    <t>09.00</t>
  </si>
  <si>
    <t>höchsten</t>
  </si>
  <si>
    <t>Stand</t>
  </si>
  <si>
    <t>SBJ_3</t>
  </si>
  <si>
    <t>jemals</t>
  </si>
  <si>
    <t>aufgezeichnet</t>
  </si>
  <si>
    <t># text = Rettungsteams zupften noch immer Leute aus dem Flutwasser in den Bezirken Amite und Wilkinson im Südwesten von Mississippi.</t>
  </si>
  <si>
    <t>Rettungsteams</t>
  </si>
  <si>
    <t>zupften</t>
  </si>
  <si>
    <t>noch</t>
  </si>
  <si>
    <t>immer</t>
  </si>
  <si>
    <t>Leute</t>
  </si>
  <si>
    <t>aus</t>
  </si>
  <si>
    <t>Flutwasser</t>
  </si>
  <si>
    <t>Bezirken</t>
  </si>
  <si>
    <t>Wilkinson</t>
  </si>
  <si>
    <t>Südwesten</t>
  </si>
  <si>
    <t># text = Leroy Hansford, seine Frau und sein Stiefsohn befanden sich unter denjenigen, die am Freitag in der Nähe von Gloster gerettet wurden.</t>
  </si>
  <si>
    <t>Leroy</t>
  </si>
  <si>
    <t>Hansford</t>
  </si>
  <si>
    <t>seine</t>
  </si>
  <si>
    <t>Frau</t>
  </si>
  <si>
    <t>sein</t>
  </si>
  <si>
    <t>Stiefsohn</t>
  </si>
  <si>
    <t>befanden</t>
  </si>
  <si>
    <t>unter</t>
  </si>
  <si>
    <t>denjenigen</t>
  </si>
  <si>
    <t>Gloster</t>
  </si>
  <si>
    <t>gerettet</t>
  </si>
  <si>
    <t>wurden</t>
  </si>
  <si>
    <t># text = Hansford, 62, sagt, dass Wasser von Beaver Creek, das normalerweise mehr als 400 Fuß von seinem Haus entfernt liegt, über Nacht stark anstieg.</t>
  </si>
  <si>
    <t>62</t>
  </si>
  <si>
    <t>Wasser</t>
  </si>
  <si>
    <t>Beaver</t>
  </si>
  <si>
    <t>Creek</t>
  </si>
  <si>
    <t>SBJ_4</t>
  </si>
  <si>
    <t>normalerweise</t>
  </si>
  <si>
    <t>als</t>
  </si>
  <si>
    <t>400</t>
  </si>
  <si>
    <t>Fuß</t>
  </si>
  <si>
    <t>seinem</t>
  </si>
  <si>
    <t>Haus</t>
  </si>
  <si>
    <t>entfernt</t>
  </si>
  <si>
    <t>liegt</t>
  </si>
  <si>
    <t>Nacht</t>
  </si>
  <si>
    <t>stark</t>
  </si>
  <si>
    <t>anstieg</t>
  </si>
  <si>
    <t># text = Er sagte, dass ihn ein weiterer Stiefsohn, der in der Nähe wohnt, gewarnt hätte.</t>
  </si>
  <si>
    <t>ihn</t>
  </si>
  <si>
    <t>weiterer</t>
  </si>
  <si>
    <t>wohnt</t>
  </si>
  <si>
    <t>gewarnt</t>
  </si>
  <si>
    <t>--</t>
  </si>
  <si>
    <t># text = \"Wir sind aufgewacht und das Wasser strömte und strömte herein,\" sagte Hansford.</t>
  </si>
  <si>
    <t>&amp;quot;</t>
  </si>
  <si>
    <t>Wir</t>
  </si>
  <si>
    <t>sind</t>
  </si>
  <si>
    <t>aufgewacht</t>
  </si>
  <si>
    <t>OBJ_3</t>
  </si>
  <si>
    <t>strömte</t>
  </si>
  <si>
    <t>herein</t>
  </si>
  <si>
    <t># text = Es erreichte meine Taille.</t>
  </si>
  <si>
    <t>meine</t>
  </si>
  <si>
    <t>Taille</t>
  </si>
  <si>
    <t># text = Seine Frau sagte Hansford, dass sie in den 48 Jahren, in denen sie dort lebte, noch nie einen solchen Hochstand des Flusses gesehen hätte.</t>
  </si>
  <si>
    <t>Seine</t>
  </si>
  <si>
    <t>sie</t>
  </si>
  <si>
    <t>48</t>
  </si>
  <si>
    <t>Jahren</t>
  </si>
  <si>
    <t>denen</t>
  </si>
  <si>
    <t>dort</t>
  </si>
  <si>
    <t>lebte</t>
  </si>
  <si>
    <t>nie</t>
  </si>
  <si>
    <t>einen</t>
  </si>
  <si>
    <t>solchen</t>
  </si>
  <si>
    <t>Hochstand</t>
  </si>
  <si>
    <t>Flusses</t>
  </si>
  <si>
    <t>gesehen</t>
  </si>
  <si>
    <t># text = Hansford sagte, dass er und seine Familienmitglieder alle Behinderungen hätten und er der Einzige wäre, der schwimmen kann.</t>
  </si>
  <si>
    <t>er</t>
  </si>
  <si>
    <t>Familienmitglieder</t>
  </si>
  <si>
    <t>alle</t>
  </si>
  <si>
    <t>Behinderungen</t>
  </si>
  <si>
    <t>hätten</t>
  </si>
  <si>
    <t>Einzige</t>
  </si>
  <si>
    <t>wäre</t>
  </si>
  <si>
    <t>schwimmen</t>
  </si>
  <si>
    <t>kann</t>
  </si>
  <si>
    <t># text = Hansford sagte, dass Nothelfer alle drei in einem großen Militär-LKW gerettet hätten und sie zu der nächsten Feuerwache in Gloster gebracht hätten, wo sie bis zum Freitag untergebracht waren.</t>
  </si>
  <si>
    <t>Nothelfer</t>
  </si>
  <si>
    <t>drei</t>
  </si>
  <si>
    <t>einem</t>
  </si>
  <si>
    <t>großen</t>
  </si>
  <si>
    <t>Militär-LKW</t>
  </si>
  <si>
    <t>nächsten</t>
  </si>
  <si>
    <t>Feuerwache</t>
  </si>
  <si>
    <t>gebracht</t>
  </si>
  <si>
    <t>wo</t>
  </si>
  <si>
    <t>untergebracht</t>
  </si>
  <si>
    <t>waren</t>
  </si>
  <si>
    <t># text = Krautmann sagte, dass die Überschwemmung \"sich schnell ausgebreitet\" hatte, da es weiterhin schwere Regenfälle gab und, dass die Behörden Evakuierungsanweisungen in Betracht zögen.</t>
  </si>
  <si>
    <t>schnell</t>
  </si>
  <si>
    <t>ausgebreitet</t>
  </si>
  <si>
    <t>hatte</t>
  </si>
  <si>
    <t>schwere</t>
  </si>
  <si>
    <t>gab</t>
  </si>
  <si>
    <t>Evakuierungsanweisungen</t>
  </si>
  <si>
    <t>Betracht</t>
  </si>
  <si>
    <t>zögen</t>
  </si>
  <si>
    <t># text = Laut Krautmann meldete ein Beobachter in der Nähe von Livingstone von Mitternacht bis Freitag morgen von 13,75 Zoll Regen.</t>
  </si>
  <si>
    <t>Laut</t>
  </si>
  <si>
    <t>meldete</t>
  </si>
  <si>
    <t>Beobachter</t>
  </si>
  <si>
    <t>Livingstone</t>
  </si>
  <si>
    <t>Mitternacht</t>
  </si>
  <si>
    <t>morgen</t>
  </si>
  <si>
    <t>13,75</t>
  </si>
  <si>
    <t># text = Krautmann sagte, dass der Boden durch die Regenfälle seit Mittwoch erheblich vollgesogen sei.</t>
  </si>
  <si>
    <t>Boden</t>
  </si>
  <si>
    <t>durch</t>
  </si>
  <si>
    <t>seit</t>
  </si>
  <si>
    <t>Mittwoch</t>
  </si>
  <si>
    <t>erheblich</t>
  </si>
  <si>
    <t>vollgesogen</t>
  </si>
  <si>
    <t># text = Die Behörden gaben an, dass schwere Regenfälle und Straßenüberschwemmungen die Rettung von Einwohnern aus ihren Häusern in Tangipahoa Parish und Unterrichtsausfall in fünf Schulbezirken verursachten.</t>
  </si>
  <si>
    <t>Die</t>
  </si>
  <si>
    <t>gaben</t>
  </si>
  <si>
    <t>Straßenüberschwemmungen</t>
  </si>
  <si>
    <t>Rettung</t>
  </si>
  <si>
    <t>Einwohnern</t>
  </si>
  <si>
    <t>ihren</t>
  </si>
  <si>
    <t>Häusern</t>
  </si>
  <si>
    <t>Unterrichtsausfall</t>
  </si>
  <si>
    <t>fünf</t>
  </si>
  <si>
    <t>Schulbezirken</t>
  </si>
  <si>
    <t>other_6</t>
  </si>
  <si>
    <t>verursachten</t>
  </si>
  <si>
    <t># text = Der CBS-Tochtersender WWL berichtete, dass eine Beigeordnete in Tangipahoa 200 überschwemmte Häuser angab.</t>
  </si>
  <si>
    <t>CBS</t>
  </si>
  <si>
    <t>Tochtersender</t>
  </si>
  <si>
    <t>WWL</t>
  </si>
  <si>
    <t>Beigeordnete</t>
  </si>
  <si>
    <t>200</t>
  </si>
  <si>
    <t>überschwemmte</t>
  </si>
  <si>
    <t>angab</t>
  </si>
  <si>
    <t># text = Die Einwohner wurden in zwei Kirchen evakuiert, die jetzt beide überschwemmt wurden.</t>
  </si>
  <si>
    <t>Einwohner</t>
  </si>
  <si>
    <t>zwei</t>
  </si>
  <si>
    <t>Kirchen</t>
  </si>
  <si>
    <t>evakuiert</t>
  </si>
  <si>
    <t>jetzt</t>
  </si>
  <si>
    <t>überschwemmt</t>
  </si>
  <si>
    <t># text = Der Vorsteher der Gemeinde Robby Miller sagte, dass die Behörden 72 Leute und sieben Haustiere gerettet hätten, die vom Hochwasser angespült wurden.</t>
  </si>
  <si>
    <t>Vorsteher</t>
  </si>
  <si>
    <t>Robby</t>
  </si>
  <si>
    <t>Miller</t>
  </si>
  <si>
    <t>72</t>
  </si>
  <si>
    <t>sieben</t>
  </si>
  <si>
    <t>Haustiere</t>
  </si>
  <si>
    <t>Hochwasser</t>
  </si>
  <si>
    <t>angespült</t>
  </si>
  <si>
    <t># text = In den Städten Amite und Hammond wurden Notunterkünfte eingerichtet, um die Evakuierten zu beherbergen.</t>
  </si>
  <si>
    <t>Städten</t>
  </si>
  <si>
    <t>Hammond</t>
  </si>
  <si>
    <t>Notunterkünfte</t>
  </si>
  <si>
    <t>eingerichtet</t>
  </si>
  <si>
    <t>Evakuierten</t>
  </si>
  <si>
    <t>beherbergen</t>
  </si>
  <si>
    <t># text = "Sobald das Wasser anfängt zurückzugehen, werden sie wieder in ihre Häuser zurückgehen können," sagte er.</t>
  </si>
  <si>
    <t>Sobald</t>
  </si>
  <si>
    <t>anfängt</t>
  </si>
  <si>
    <t>zurückzugehen</t>
  </si>
  <si>
    <t>wieder</t>
  </si>
  <si>
    <t>können</t>
  </si>
  <si>
    <t># text = In der Stadt Hammond der Gemeinde Tangipahoa wurden fast zwei dutzend Straßen aufgrund des Hochwassers geschlossen und Sandsäcke für die Bewohner zur Mitnahme bereitgestellt, die hoffen, das Wasser aus ihren Häusern und Geschäften halten zu können.</t>
  </si>
  <si>
    <t>Stadt</t>
  </si>
  <si>
    <t>fast</t>
  </si>
  <si>
    <t>dutzend</t>
  </si>
  <si>
    <t>Straßen</t>
  </si>
  <si>
    <t>aufgrund</t>
  </si>
  <si>
    <t>Hochwassers</t>
  </si>
  <si>
    <t>geschlossen</t>
  </si>
  <si>
    <t>Bewohner</t>
  </si>
  <si>
    <t>Mitnahme</t>
  </si>
  <si>
    <t>bereitgestellt</t>
  </si>
  <si>
    <t>hoffen</t>
  </si>
  <si>
    <t>Geschäften</t>
  </si>
  <si>
    <t>halten</t>
  </si>
  <si>
    <t># text = "Die letzte große Überschwemmung, die wir hatten, war im März," sagte Lacy Landrum von der Stadtverwaltung.</t>
  </si>
  <si>
    <t>letzte</t>
  </si>
  <si>
    <t>große</t>
  </si>
  <si>
    <t>OBJ_5</t>
  </si>
  <si>
    <t>wir</t>
  </si>
  <si>
    <t>hatten</t>
  </si>
  <si>
    <t>war</t>
  </si>
  <si>
    <t>März</t>
  </si>
  <si>
    <t>Lacy</t>
  </si>
  <si>
    <t>Stadtverwaltung</t>
  </si>
  <si>
    <t># text = Dies scheint ein ähnlicher Vorfall zu werden.</t>
  </si>
  <si>
    <t>Dies</t>
  </si>
  <si>
    <t>scheint</t>
  </si>
  <si>
    <t>ähnlicher</t>
  </si>
  <si>
    <t>Vorfall</t>
  </si>
  <si>
    <t># text = In Mississipp sagte der Notfallmanager Rupert Lacy des Harrison Countys, dass es an der Golfküste weiterhin regnete.</t>
  </si>
  <si>
    <t>Mississipp</t>
  </si>
  <si>
    <t>Notfallmanager</t>
  </si>
  <si>
    <t>Rupert</t>
  </si>
  <si>
    <t>Harrison</t>
  </si>
  <si>
    <t>Countys</t>
  </si>
  <si>
    <t>Golfküste</t>
  </si>
  <si>
    <t># text = Laut seinen Angaben sollen eine Handvoll Häuser am Donnerstag als überschwemmt gemeldet worden sein, aber am Freitag wurden bis jetzt keine gemeldet.</t>
  </si>
  <si>
    <t>seinen</t>
  </si>
  <si>
    <t>Angaben</t>
  </si>
  <si>
    <t>sollen</t>
  </si>
  <si>
    <t>Handvoll</t>
  </si>
  <si>
    <t>Donnerstag</t>
  </si>
  <si>
    <t>gemeldet</t>
  </si>
  <si>
    <t>worden</t>
  </si>
  <si>
    <t>aber</t>
  </si>
  <si>
    <t>keine</t>
  </si>
  <si>
    <t># text = Keith Townson, Manager bei Shopper Value Foods in Amite, lebt bereits seit 40 Jahren in der Gegend.</t>
  </si>
  <si>
    <t>Keith</t>
  </si>
  <si>
    <t>Townson</t>
  </si>
  <si>
    <t>Manager</t>
  </si>
  <si>
    <t>bei</t>
  </si>
  <si>
    <t>Shopper</t>
  </si>
  <si>
    <t>Value</t>
  </si>
  <si>
    <t>Foods</t>
  </si>
  <si>
    <t>lebt</t>
  </si>
  <si>
    <t>40</t>
  </si>
  <si>
    <t>Gegend</t>
  </si>
  <si>
    <t># text = "Ich habe Wasser an Orten gesehen, an denen ich es nie zuvor gesehen habe," sagte Townson, "und es kommt noch immer."</t>
  </si>
  <si>
    <t>Ich</t>
  </si>
  <si>
    <t>habe</t>
  </si>
  <si>
    <t>Orten</t>
  </si>
  <si>
    <t>ich</t>
  </si>
  <si>
    <t>zuvor</t>
  </si>
  <si>
    <t>kommt</t>
  </si>
  <si>
    <t>louisiana</t>
  </si>
  <si>
    <t>SIT</t>
  </si>
  <si>
    <t>freitag</t>
  </si>
  <si>
    <t>samstag</t>
  </si>
  <si>
    <t>suedosten_lou</t>
  </si>
  <si>
    <t>sueden_miss</t>
  </si>
  <si>
    <t>nationaler_wetterdienst</t>
  </si>
  <si>
    <t>john_edwards</t>
  </si>
  <si>
    <t>PRED</t>
  </si>
  <si>
    <t>GEN</t>
  </si>
  <si>
    <t>IDIOM</t>
  </si>
  <si>
    <t>betroffene_gemeinden</t>
  </si>
  <si>
    <t>mike_steele</t>
  </si>
  <si>
    <t>office_sep</t>
  </si>
  <si>
    <t>kein auto ref</t>
  </si>
  <si>
    <t>tangipahoa</t>
  </si>
  <si>
    <t>sueden_lou</t>
  </si>
  <si>
    <t>wetterdienst</t>
  </si>
  <si>
    <t>artikel</t>
  </si>
  <si>
    <t>sueden_alabama</t>
  </si>
  <si>
    <t>alabama</t>
  </si>
  <si>
    <t>EXPL</t>
  </si>
  <si>
    <t>mobile</t>
  </si>
  <si>
    <t>comite</t>
  </si>
  <si>
    <t>baton_rouges</t>
  </si>
  <si>
    <t>amite</t>
  </si>
  <si>
    <t>denham_springs</t>
  </si>
  <si>
    <t>beide&gt;comite,amite</t>
  </si>
  <si>
    <t>GROUP</t>
  </si>
  <si>
    <t>wochenende</t>
  </si>
  <si>
    <t>alek_krautmann</t>
  </si>
  <si>
    <t>OLD</t>
  </si>
  <si>
    <t>ascension_parish</t>
  </si>
  <si>
    <t>lake_maurepas</t>
  </si>
  <si>
    <t>tickfaw</t>
  </si>
  <si>
    <t>liverpool</t>
  </si>
  <si>
    <t>mississippi_staat</t>
  </si>
  <si>
    <t>oertliche_behoerden</t>
  </si>
  <si>
    <t>ueberschwemmung_ascension</t>
  </si>
  <si>
    <t>Antezedens</t>
  </si>
  <si>
    <t>uebergetretene_fluesse</t>
  </si>
  <si>
    <t>wilkinson</t>
  </si>
  <si>
    <t>leroy_hansford</t>
  </si>
  <si>
    <t>frau_leroy</t>
  </si>
  <si>
    <t>gloster</t>
  </si>
  <si>
    <t>geretteten_gloster</t>
  </si>
  <si>
    <t>parser error</t>
  </si>
  <si>
    <t>beaver_creek</t>
  </si>
  <si>
    <t>haus_leroy</t>
  </si>
  <si>
    <t>id, weil nacherwähnt</t>
  </si>
  <si>
    <t>sohn_leroy</t>
  </si>
  <si>
    <t>hansfords&gt;leroy_hansford,frau_leroy,sohn_leroy</t>
  </si>
  <si>
    <t>taille_leroy</t>
  </si>
  <si>
    <t>48_jahre</t>
  </si>
  <si>
    <t>hansfords</t>
  </si>
  <si>
    <t>livingstone</t>
  </si>
  <si>
    <t>mittwoch</t>
  </si>
  <si>
    <t>wwl</t>
  </si>
  <si>
    <t>einwohner_tangipahoa</t>
  </si>
  <si>
    <t>zwei_kirchen</t>
  </si>
  <si>
    <t>antezedens</t>
  </si>
  <si>
    <t>hammond</t>
  </si>
  <si>
    <t>robby_miller</t>
  </si>
  <si>
    <t>maerz</t>
  </si>
  <si>
    <t>lacy_landrum</t>
  </si>
  <si>
    <t>rupert_lacy</t>
  </si>
  <si>
    <t>harrison_county</t>
  </si>
  <si>
    <t>golfkueste</t>
  </si>
  <si>
    <t>angaben_lacy</t>
  </si>
  <si>
    <t>donnerstag</t>
  </si>
  <si>
    <t>keith_townson</t>
  </si>
  <si>
    <t>shopper_value_foods</t>
  </si>
  <si>
    <t>ueberschwemmungen</t>
  </si>
  <si>
    <t>ufer_fluesse</t>
  </si>
  <si>
    <t>anfragen_hilfe</t>
  </si>
  <si>
    <t>vorortgegenden_baton</t>
  </si>
  <si>
    <t>stand_tickfaw</t>
  </si>
  <si>
    <t>flutwasser_amite_wilkinson</t>
  </si>
  <si>
    <t>amite_county</t>
  </si>
  <si>
    <t>flutwasser_beaver</t>
  </si>
  <si>
    <t>frau_sohn&gt;frau_leroy,sohn_leroy</t>
  </si>
  <si>
    <t>feuerwache_gloster</t>
  </si>
  <si>
    <t>boden</t>
  </si>
  <si>
    <t>regenfaelle</t>
  </si>
  <si>
    <t>rettung_einwohner</t>
  </si>
  <si>
    <t>haeuser_einwohner</t>
  </si>
  <si>
    <t>hochwasser_tangipahoa</t>
  </si>
  <si>
    <t>stadtverwaltung_hammond</t>
  </si>
  <si>
    <t>letzte_ueberschwemmung</t>
  </si>
  <si>
    <t>FAMILIAR</t>
  </si>
  <si>
    <t>FOCUS</t>
  </si>
  <si>
    <t>ACTIVATED</t>
  </si>
  <si>
    <t>UNIQUE</t>
  </si>
  <si>
    <t>TYPE</t>
  </si>
  <si>
    <t>broad</t>
  </si>
  <si>
    <t>(kurz gesagt)</t>
  </si>
  <si>
    <t>conjunction</t>
  </si>
  <si>
    <t>(außerdem)</t>
  </si>
  <si>
    <t>result</t>
  </si>
  <si>
    <t>(folglich)</t>
  </si>
  <si>
    <t>before</t>
  </si>
  <si>
    <t>(zuvor)</t>
  </si>
  <si>
    <t>specific</t>
  </si>
  <si>
    <t>(konkret)</t>
  </si>
  <si>
    <t>instance</t>
  </si>
  <si>
    <t>allein (zum Beispiel)</t>
  </si>
  <si>
    <t>(daher)</t>
  </si>
  <si>
    <t>(etwa)</t>
  </si>
  <si>
    <t>restatement</t>
  </si>
  <si>
    <t>(nämlich)</t>
  </si>
  <si>
    <t>Fehler Nummerierung: ID 10 fehlt</t>
  </si>
  <si>
    <t>(infolgedessen)</t>
  </si>
  <si>
    <t>am Freitag (zuvor)</t>
  </si>
  <si>
    <t>after</t>
  </si>
  <si>
    <t>(später)</t>
  </si>
  <si>
    <t>(unter anderem)</t>
  </si>
  <si>
    <t>(als Folge)</t>
  </si>
  <si>
    <t>über Nacht (zuvor)</t>
  </si>
  <si>
    <t>synchrony</t>
  </si>
  <si>
    <t>(gleichzeitig)</t>
  </si>
  <si>
    <t>durch die Regenfälle (dadurch)</t>
  </si>
  <si>
    <t>(und)</t>
  </si>
  <si>
    <t>means</t>
  </si>
  <si>
    <t>(indem)</t>
  </si>
  <si>
    <t>achievement</t>
  </si>
  <si>
    <t>(dadurch)</t>
  </si>
  <si>
    <t>sobald (später)</t>
  </si>
  <si>
    <t>im März (zuvor)</t>
  </si>
  <si>
    <t>similarity</t>
  </si>
  <si>
    <t>ein ähnlicher Vorfall</t>
  </si>
  <si>
    <t>am Donnerstag (zuvor)</t>
  </si>
  <si>
    <t>(als Beispiel)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</si>
</sst>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workbookViewId="0">
      <pane xSplit="5" ySplit="1" topLeftCell="G36" activePane="bottomRight" state="frozen"/>
      <selection pane="topRight" activeCell="F1" sqref="F1"/>
      <selection pane="bottomLeft" activeCell="A2" sqref="A2"/>
      <selection pane="bottomRight" activeCell="I40" sqref="I40"/>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702</v>
      </c>
      <c r="H2" s="10">
        <v>2</v>
      </c>
      <c r="I2" s="11" t="s">
        <v>701</v>
      </c>
      <c r="J2" s="12"/>
    </row>
    <row r="3" spans="1:10" ht="60" customHeight="1" x14ac:dyDescent="0.3">
      <c r="A3" s="6" t="s">
        <v>11</v>
      </c>
      <c r="B3" s="6" t="s">
        <v>16</v>
      </c>
      <c r="C3" s="6" t="s">
        <v>12</v>
      </c>
      <c r="D3" s="7" t="s">
        <v>17</v>
      </c>
      <c r="E3" s="8" t="s">
        <v>18</v>
      </c>
      <c r="F3" s="6" t="s">
        <v>19</v>
      </c>
      <c r="G3" s="9" t="s">
        <v>706</v>
      </c>
      <c r="H3" s="10">
        <v>4</v>
      </c>
      <c r="I3" s="11" t="s">
        <v>705</v>
      </c>
      <c r="J3" s="12"/>
    </row>
    <row r="4" spans="1:10" ht="60" customHeight="1" x14ac:dyDescent="0.3">
      <c r="A4" s="6" t="s">
        <v>20</v>
      </c>
      <c r="B4" s="6" t="s">
        <v>21</v>
      </c>
      <c r="C4" s="6" t="s">
        <v>12</v>
      </c>
      <c r="D4" s="7" t="s">
        <v>22</v>
      </c>
      <c r="E4" s="8" t="s">
        <v>23</v>
      </c>
      <c r="F4" s="6" t="s">
        <v>24</v>
      </c>
      <c r="G4" s="9" t="s">
        <v>704</v>
      </c>
      <c r="H4" s="10">
        <v>2</v>
      </c>
      <c r="I4" s="11" t="s">
        <v>703</v>
      </c>
      <c r="J4" s="12"/>
    </row>
    <row r="5" spans="1:10" ht="60" customHeight="1" x14ac:dyDescent="0.3">
      <c r="A5" s="6" t="s">
        <v>25</v>
      </c>
      <c r="B5" s="6" t="s">
        <v>26</v>
      </c>
      <c r="C5" s="6" t="s">
        <v>12</v>
      </c>
      <c r="D5" s="7" t="s">
        <v>27</v>
      </c>
      <c r="E5" s="8" t="s">
        <v>28</v>
      </c>
      <c r="F5" s="6" t="s">
        <v>29</v>
      </c>
      <c r="G5" s="9" t="s">
        <v>708</v>
      </c>
      <c r="H5" s="10">
        <v>3</v>
      </c>
      <c r="I5" s="11" t="s">
        <v>707</v>
      </c>
      <c r="J5" s="12"/>
    </row>
    <row r="6" spans="1:10" ht="60" customHeight="1" x14ac:dyDescent="0.3">
      <c r="A6" s="6" t="s">
        <v>30</v>
      </c>
      <c r="B6" s="6" t="s">
        <v>16</v>
      </c>
      <c r="C6" s="6" t="s">
        <v>12</v>
      </c>
      <c r="D6" s="7" t="s">
        <v>31</v>
      </c>
      <c r="E6" s="8" t="s">
        <v>32</v>
      </c>
      <c r="F6" s="6" t="s">
        <v>33</v>
      </c>
      <c r="G6" s="9" t="s">
        <v>710</v>
      </c>
      <c r="H6" s="10">
        <v>2</v>
      </c>
      <c r="I6" s="11" t="s">
        <v>709</v>
      </c>
      <c r="J6" s="12"/>
    </row>
    <row r="7" spans="1:10" ht="60" customHeight="1" x14ac:dyDescent="0.3">
      <c r="A7" s="6" t="s">
        <v>34</v>
      </c>
      <c r="B7" s="6" t="s">
        <v>35</v>
      </c>
      <c r="C7" s="6" t="s">
        <v>12</v>
      </c>
      <c r="D7" s="7" t="s">
        <v>31</v>
      </c>
      <c r="E7" s="8" t="s">
        <v>36</v>
      </c>
      <c r="F7" s="6" t="s">
        <v>37</v>
      </c>
      <c r="G7" s="9" t="s">
        <v>704</v>
      </c>
      <c r="H7" s="10">
        <v>5</v>
      </c>
      <c r="I7" s="11" t="s">
        <v>703</v>
      </c>
      <c r="J7" s="12"/>
    </row>
    <row r="8" spans="1:10" ht="60" customHeight="1" x14ac:dyDescent="0.3">
      <c r="A8" s="6" t="s">
        <v>38</v>
      </c>
      <c r="B8" s="6" t="s">
        <v>11</v>
      </c>
      <c r="C8" s="6" t="s">
        <v>12</v>
      </c>
      <c r="D8" s="7" t="s">
        <v>39</v>
      </c>
      <c r="E8" s="8" t="s">
        <v>40</v>
      </c>
      <c r="F8" s="6" t="s">
        <v>41</v>
      </c>
      <c r="G8" s="9" t="s">
        <v>712</v>
      </c>
      <c r="H8" s="10">
        <v>6</v>
      </c>
      <c r="I8" s="11" t="s">
        <v>711</v>
      </c>
      <c r="J8" s="12"/>
    </row>
    <row r="9" spans="1:10" ht="60" customHeight="1" x14ac:dyDescent="0.3">
      <c r="A9" s="6" t="s">
        <v>16</v>
      </c>
      <c r="B9" s="6" t="s">
        <v>42</v>
      </c>
      <c r="C9" s="6" t="s">
        <v>12</v>
      </c>
      <c r="D9" s="7" t="s">
        <v>43</v>
      </c>
      <c r="E9" s="8" t="s">
        <v>44</v>
      </c>
      <c r="F9" s="6" t="s">
        <v>45</v>
      </c>
      <c r="G9" s="9" t="s">
        <v>713</v>
      </c>
      <c r="H9" s="10">
        <v>3</v>
      </c>
      <c r="I9" s="11" t="s">
        <v>705</v>
      </c>
      <c r="J9" s="12"/>
    </row>
    <row r="10" spans="1:10" ht="60" customHeight="1" x14ac:dyDescent="0.3">
      <c r="A10" s="6" t="s">
        <v>46</v>
      </c>
      <c r="B10" s="6" t="s">
        <v>20</v>
      </c>
      <c r="C10" s="6" t="s">
        <v>12</v>
      </c>
      <c r="D10" s="7" t="s">
        <v>47</v>
      </c>
      <c r="E10" s="8" t="s">
        <v>48</v>
      </c>
      <c r="F10" s="6" t="s">
        <v>49</v>
      </c>
      <c r="G10" s="9" t="s">
        <v>716</v>
      </c>
      <c r="H10" s="10">
        <v>3</v>
      </c>
      <c r="I10" s="11" t="s">
        <v>715</v>
      </c>
      <c r="J10" s="12"/>
    </row>
    <row r="11" spans="1:10" ht="60" customHeight="1" x14ac:dyDescent="0.3">
      <c r="A11" s="6" t="s">
        <v>50</v>
      </c>
      <c r="B11" s="6" t="s">
        <v>51</v>
      </c>
      <c r="C11" s="6" t="s">
        <v>12</v>
      </c>
      <c r="D11" s="7" t="s">
        <v>52</v>
      </c>
      <c r="E11" s="8" t="s">
        <v>53</v>
      </c>
      <c r="F11" s="6" t="s">
        <v>54</v>
      </c>
      <c r="G11" s="9" t="s">
        <v>714</v>
      </c>
      <c r="H11" s="10">
        <v>9</v>
      </c>
      <c r="I11" s="11" t="s">
        <v>711</v>
      </c>
      <c r="J11" s="12" t="s">
        <v>717</v>
      </c>
    </row>
    <row r="12" spans="1:10" ht="60" customHeight="1" x14ac:dyDescent="0.3">
      <c r="A12" s="6" t="s">
        <v>26</v>
      </c>
      <c r="B12" s="6" t="s">
        <v>30</v>
      </c>
      <c r="C12" s="6" t="s">
        <v>12</v>
      </c>
      <c r="D12" s="7" t="s">
        <v>39</v>
      </c>
      <c r="E12" s="8" t="s">
        <v>55</v>
      </c>
      <c r="F12" s="6" t="s">
        <v>56</v>
      </c>
      <c r="G12" s="9" t="s">
        <v>718</v>
      </c>
      <c r="H12" s="10">
        <v>11</v>
      </c>
      <c r="I12" s="11" t="s">
        <v>705</v>
      </c>
      <c r="J12" s="12"/>
    </row>
    <row r="13" spans="1:10" ht="60" customHeight="1" x14ac:dyDescent="0.3">
      <c r="A13" s="6" t="s">
        <v>42</v>
      </c>
      <c r="B13" s="6" t="s">
        <v>11</v>
      </c>
      <c r="C13" s="6" t="s">
        <v>12</v>
      </c>
      <c r="D13" s="7" t="s">
        <v>39</v>
      </c>
      <c r="E13" s="8" t="s">
        <v>57</v>
      </c>
      <c r="F13" s="6" t="s">
        <v>58</v>
      </c>
      <c r="G13" s="9" t="s">
        <v>346</v>
      </c>
      <c r="H13" s="10">
        <v>12</v>
      </c>
      <c r="I13" s="11" t="s">
        <v>703</v>
      </c>
      <c r="J13" s="12"/>
    </row>
    <row r="14" spans="1:10" ht="60" customHeight="1" x14ac:dyDescent="0.3">
      <c r="A14" s="6" t="s">
        <v>59</v>
      </c>
      <c r="B14" s="6" t="s">
        <v>59</v>
      </c>
      <c r="C14" s="6" t="s">
        <v>12</v>
      </c>
      <c r="D14" s="7" t="s">
        <v>52</v>
      </c>
      <c r="E14" s="8" t="s">
        <v>60</v>
      </c>
      <c r="F14" s="6" t="s">
        <v>61</v>
      </c>
      <c r="G14" s="9" t="s">
        <v>719</v>
      </c>
      <c r="H14" s="10">
        <v>13</v>
      </c>
      <c r="I14" s="11" t="s">
        <v>707</v>
      </c>
      <c r="J14" s="12"/>
    </row>
    <row r="15" spans="1:10" ht="60" customHeight="1" x14ac:dyDescent="0.3">
      <c r="A15" s="6" t="s">
        <v>62</v>
      </c>
      <c r="B15" s="6" t="s">
        <v>11</v>
      </c>
      <c r="C15" s="6" t="s">
        <v>12</v>
      </c>
      <c r="D15" s="7" t="s">
        <v>63</v>
      </c>
      <c r="E15" s="8" t="s">
        <v>64</v>
      </c>
      <c r="F15" s="6" t="s">
        <v>65</v>
      </c>
      <c r="G15" s="9" t="s">
        <v>723</v>
      </c>
      <c r="H15" s="10">
        <v>14</v>
      </c>
      <c r="I15" s="11" t="s">
        <v>705</v>
      </c>
      <c r="J15" s="12"/>
    </row>
    <row r="16" spans="1:10" ht="60" customHeight="1" x14ac:dyDescent="0.3">
      <c r="A16" s="6" t="s">
        <v>66</v>
      </c>
      <c r="B16" s="6" t="s">
        <v>46</v>
      </c>
      <c r="C16" s="6" t="s">
        <v>12</v>
      </c>
      <c r="D16" s="7" t="s">
        <v>67</v>
      </c>
      <c r="E16" s="8" t="s">
        <v>68</v>
      </c>
      <c r="F16" s="6" t="s">
        <v>69</v>
      </c>
      <c r="G16" s="9" t="s">
        <v>722</v>
      </c>
      <c r="H16" s="10">
        <v>15</v>
      </c>
      <c r="I16" s="11" t="s">
        <v>711</v>
      </c>
      <c r="J16" s="12"/>
    </row>
    <row r="17" spans="1:10" ht="60" customHeight="1" x14ac:dyDescent="0.3">
      <c r="A17" s="6" t="s">
        <v>70</v>
      </c>
      <c r="B17" s="6" t="s">
        <v>30</v>
      </c>
      <c r="C17" s="6" t="s">
        <v>12</v>
      </c>
      <c r="D17" s="7" t="s">
        <v>39</v>
      </c>
      <c r="E17" s="8" t="s">
        <v>71</v>
      </c>
      <c r="F17" s="6" t="s">
        <v>72</v>
      </c>
      <c r="G17" s="9" t="s">
        <v>724</v>
      </c>
      <c r="H17" s="10">
        <v>16</v>
      </c>
      <c r="I17" s="11" t="s">
        <v>707</v>
      </c>
      <c r="J17" s="12"/>
    </row>
    <row r="18" spans="1:10" ht="60" customHeight="1" x14ac:dyDescent="0.3">
      <c r="A18" s="6" t="s">
        <v>35</v>
      </c>
      <c r="B18" s="6" t="s">
        <v>66</v>
      </c>
      <c r="C18" s="6" t="s">
        <v>12</v>
      </c>
      <c r="D18" s="7" t="s">
        <v>73</v>
      </c>
      <c r="E18" s="8" t="s">
        <v>74</v>
      </c>
      <c r="F18" s="6" t="s">
        <v>75</v>
      </c>
      <c r="G18" s="9" t="s">
        <v>726</v>
      </c>
      <c r="H18" s="10">
        <v>17</v>
      </c>
      <c r="I18" s="11" t="s">
        <v>725</v>
      </c>
      <c r="J18" s="12"/>
    </row>
    <row r="19" spans="1:10" ht="60" customHeight="1" x14ac:dyDescent="0.3">
      <c r="A19" s="6" t="s">
        <v>76</v>
      </c>
      <c r="B19" s="6" t="s">
        <v>59</v>
      </c>
      <c r="C19" s="6" t="s">
        <v>12</v>
      </c>
      <c r="D19" s="7" t="s">
        <v>39</v>
      </c>
      <c r="E19" s="8" t="s">
        <v>77</v>
      </c>
      <c r="F19" s="6" t="s">
        <v>78</v>
      </c>
      <c r="G19" s="9" t="s">
        <v>713</v>
      </c>
      <c r="H19" s="10">
        <v>18</v>
      </c>
      <c r="I19" s="11" t="s">
        <v>705</v>
      </c>
      <c r="J19" s="12"/>
    </row>
    <row r="20" spans="1:10" ht="60" customHeight="1" x14ac:dyDescent="0.3">
      <c r="A20" s="6" t="s">
        <v>79</v>
      </c>
      <c r="B20" s="6" t="s">
        <v>11</v>
      </c>
      <c r="C20" s="6" t="s">
        <v>12</v>
      </c>
      <c r="D20" s="7" t="s">
        <v>52</v>
      </c>
      <c r="E20" s="8" t="s">
        <v>80</v>
      </c>
      <c r="F20" s="6" t="s">
        <v>81</v>
      </c>
      <c r="G20" s="9" t="s">
        <v>710</v>
      </c>
      <c r="H20" s="10">
        <v>19</v>
      </c>
      <c r="I20" s="11" t="s">
        <v>709</v>
      </c>
      <c r="J20" s="12"/>
    </row>
    <row r="21" spans="1:10" ht="60" customHeight="1" x14ac:dyDescent="0.3">
      <c r="A21" s="6" t="s">
        <v>82</v>
      </c>
      <c r="B21" s="6" t="s">
        <v>83</v>
      </c>
      <c r="C21" s="6" t="s">
        <v>12</v>
      </c>
      <c r="D21" s="7" t="s">
        <v>84</v>
      </c>
      <c r="E21" s="8" t="s">
        <v>85</v>
      </c>
      <c r="F21" s="6" t="s">
        <v>86</v>
      </c>
      <c r="G21" s="9" t="s">
        <v>710</v>
      </c>
      <c r="H21" s="10">
        <v>20</v>
      </c>
      <c r="I21" s="11" t="s">
        <v>709</v>
      </c>
      <c r="J21" s="12"/>
    </row>
    <row r="22" spans="1:10" ht="60" customHeight="1" x14ac:dyDescent="0.3">
      <c r="A22" s="6" t="s">
        <v>87</v>
      </c>
      <c r="B22" s="6" t="s">
        <v>11</v>
      </c>
      <c r="C22" s="6" t="s">
        <v>12</v>
      </c>
      <c r="D22" s="7" t="s">
        <v>39</v>
      </c>
      <c r="E22" s="8" t="s">
        <v>88</v>
      </c>
      <c r="F22" s="6" t="s">
        <v>89</v>
      </c>
      <c r="G22" s="9" t="s">
        <v>704</v>
      </c>
      <c r="H22" s="10">
        <v>19</v>
      </c>
      <c r="I22" s="11" t="s">
        <v>703</v>
      </c>
      <c r="J22" s="12"/>
    </row>
    <row r="23" spans="1:10" ht="60" customHeight="1" x14ac:dyDescent="0.3">
      <c r="A23" s="6" t="s">
        <v>90</v>
      </c>
      <c r="B23" s="6" t="s">
        <v>11</v>
      </c>
      <c r="C23" s="6" t="s">
        <v>12</v>
      </c>
      <c r="D23" s="7" t="s">
        <v>39</v>
      </c>
      <c r="E23" s="8" t="s">
        <v>91</v>
      </c>
      <c r="F23" s="6" t="s">
        <v>92</v>
      </c>
      <c r="G23" s="9" t="s">
        <v>721</v>
      </c>
      <c r="H23" s="10">
        <v>20</v>
      </c>
      <c r="I23" s="11" t="s">
        <v>720</v>
      </c>
      <c r="J23" s="12"/>
    </row>
    <row r="24" spans="1:10" ht="60" customHeight="1" x14ac:dyDescent="0.3">
      <c r="A24" s="6" t="s">
        <v>93</v>
      </c>
      <c r="B24" s="6" t="s">
        <v>11</v>
      </c>
      <c r="C24" s="6" t="s">
        <v>12</v>
      </c>
      <c r="D24" s="7" t="s">
        <v>39</v>
      </c>
      <c r="E24" s="8" t="s">
        <v>94</v>
      </c>
      <c r="F24" s="6" t="s">
        <v>95</v>
      </c>
      <c r="G24" s="9" t="s">
        <v>704</v>
      </c>
      <c r="H24" s="10">
        <v>13</v>
      </c>
      <c r="I24" s="11" t="s">
        <v>703</v>
      </c>
      <c r="J24" s="12"/>
    </row>
    <row r="25" spans="1:10" ht="60" customHeight="1" x14ac:dyDescent="0.3">
      <c r="A25" s="6" t="s">
        <v>96</v>
      </c>
      <c r="B25" s="6" t="s">
        <v>20</v>
      </c>
      <c r="C25" s="6" t="s">
        <v>12</v>
      </c>
      <c r="D25" s="7" t="s">
        <v>97</v>
      </c>
      <c r="E25" s="8" t="s">
        <v>98</v>
      </c>
      <c r="F25" s="6" t="s">
        <v>99</v>
      </c>
      <c r="G25" s="9" t="s">
        <v>710</v>
      </c>
      <c r="H25" s="10">
        <v>24</v>
      </c>
      <c r="I25" s="11" t="s">
        <v>709</v>
      </c>
      <c r="J25" s="12"/>
    </row>
    <row r="26" spans="1:10" ht="60" customHeight="1" x14ac:dyDescent="0.3">
      <c r="A26" s="6" t="s">
        <v>83</v>
      </c>
      <c r="B26" s="6" t="s">
        <v>11</v>
      </c>
      <c r="C26" s="6" t="s">
        <v>12</v>
      </c>
      <c r="D26" s="7" t="s">
        <v>39</v>
      </c>
      <c r="E26" s="8" t="s">
        <v>100</v>
      </c>
      <c r="F26" s="6" t="s">
        <v>101</v>
      </c>
      <c r="G26" s="9" t="s">
        <v>727</v>
      </c>
      <c r="H26" s="10">
        <v>25</v>
      </c>
      <c r="I26" s="11" t="s">
        <v>705</v>
      </c>
      <c r="J26" s="12"/>
    </row>
    <row r="27" spans="1:10" ht="60" customHeight="1" x14ac:dyDescent="0.3">
      <c r="A27" s="6" t="s">
        <v>102</v>
      </c>
      <c r="B27" s="6" t="s">
        <v>20</v>
      </c>
      <c r="C27" s="6" t="s">
        <v>12</v>
      </c>
      <c r="D27" s="7" t="s">
        <v>103</v>
      </c>
      <c r="E27" s="8" t="s">
        <v>104</v>
      </c>
      <c r="F27" s="6" t="s">
        <v>105</v>
      </c>
      <c r="G27" s="9" t="s">
        <v>728</v>
      </c>
      <c r="H27" s="10">
        <v>26</v>
      </c>
      <c r="I27" s="11" t="s">
        <v>703</v>
      </c>
      <c r="J27" s="12"/>
    </row>
    <row r="28" spans="1:10" ht="60" customHeight="1" x14ac:dyDescent="0.3">
      <c r="A28" s="6" t="s">
        <v>106</v>
      </c>
      <c r="B28" s="6" t="s">
        <v>34</v>
      </c>
      <c r="C28" s="6" t="s">
        <v>12</v>
      </c>
      <c r="D28" s="7" t="s">
        <v>107</v>
      </c>
      <c r="E28" s="8" t="s">
        <v>108</v>
      </c>
      <c r="F28" s="6" t="s">
        <v>109</v>
      </c>
      <c r="G28" s="9" t="s">
        <v>710</v>
      </c>
      <c r="H28" s="10">
        <v>27</v>
      </c>
      <c r="I28" s="11" t="s">
        <v>709</v>
      </c>
      <c r="J28" s="12"/>
    </row>
    <row r="29" spans="1:10" ht="60" customHeight="1" x14ac:dyDescent="0.3">
      <c r="A29" s="6" t="s">
        <v>110</v>
      </c>
      <c r="B29" s="6" t="s">
        <v>38</v>
      </c>
      <c r="C29" s="6" t="s">
        <v>12</v>
      </c>
      <c r="D29" s="7" t="s">
        <v>111</v>
      </c>
      <c r="E29" s="8" t="s">
        <v>112</v>
      </c>
      <c r="F29" s="6" t="s">
        <v>113</v>
      </c>
      <c r="G29" s="9" t="s">
        <v>730</v>
      </c>
      <c r="H29" s="10">
        <v>27</v>
      </c>
      <c r="I29" s="11" t="s">
        <v>729</v>
      </c>
      <c r="J29" s="12"/>
    </row>
    <row r="30" spans="1:10" ht="60" customHeight="1" x14ac:dyDescent="0.3">
      <c r="A30" s="6" t="s">
        <v>114</v>
      </c>
      <c r="B30" s="6" t="s">
        <v>38</v>
      </c>
      <c r="C30" s="6" t="s">
        <v>12</v>
      </c>
      <c r="D30" s="7" t="s">
        <v>39</v>
      </c>
      <c r="E30" s="8" t="s">
        <v>115</v>
      </c>
      <c r="F30" s="6" t="s">
        <v>116</v>
      </c>
      <c r="G30" s="9" t="s">
        <v>732</v>
      </c>
      <c r="H30" s="10">
        <v>27</v>
      </c>
      <c r="I30" s="11" t="s">
        <v>731</v>
      </c>
      <c r="J30" s="12"/>
    </row>
    <row r="31" spans="1:10" ht="60" customHeight="1" x14ac:dyDescent="0.3">
      <c r="A31" s="6" t="s">
        <v>117</v>
      </c>
      <c r="B31" s="6" t="s">
        <v>46</v>
      </c>
      <c r="C31" s="6" t="s">
        <v>12</v>
      </c>
      <c r="D31" s="7" t="s">
        <v>118</v>
      </c>
      <c r="E31" s="8" t="s">
        <v>119</v>
      </c>
      <c r="F31" s="6" t="s">
        <v>120</v>
      </c>
      <c r="G31" s="9" t="s">
        <v>721</v>
      </c>
      <c r="H31" s="10">
        <v>30</v>
      </c>
      <c r="I31" s="11" t="s">
        <v>720</v>
      </c>
      <c r="J31" s="12"/>
    </row>
    <row r="32" spans="1:10" ht="60" customHeight="1" x14ac:dyDescent="0.3">
      <c r="A32" s="6" t="s">
        <v>121</v>
      </c>
      <c r="B32" s="6" t="s">
        <v>59</v>
      </c>
      <c r="C32" s="6" t="s">
        <v>12</v>
      </c>
      <c r="D32" s="7" t="s">
        <v>122</v>
      </c>
      <c r="E32" s="8" t="s">
        <v>123</v>
      </c>
      <c r="F32" s="6" t="s">
        <v>124</v>
      </c>
      <c r="G32" s="9" t="s">
        <v>733</v>
      </c>
      <c r="H32" s="10">
        <v>31</v>
      </c>
      <c r="I32" s="11" t="s">
        <v>720</v>
      </c>
      <c r="J32" s="12"/>
    </row>
    <row r="33" spans="1:10" ht="60" customHeight="1" x14ac:dyDescent="0.3">
      <c r="A33" s="6" t="s">
        <v>125</v>
      </c>
      <c r="B33" s="6" t="s">
        <v>66</v>
      </c>
      <c r="C33" s="6" t="s">
        <v>12</v>
      </c>
      <c r="D33" s="7" t="s">
        <v>126</v>
      </c>
      <c r="E33" s="8" t="s">
        <v>127</v>
      </c>
      <c r="F33" s="6" t="s">
        <v>128</v>
      </c>
      <c r="G33" s="9" t="s">
        <v>704</v>
      </c>
      <c r="H33" s="10">
        <v>31</v>
      </c>
      <c r="I33" s="11" t="s">
        <v>703</v>
      </c>
      <c r="J33" s="12"/>
    </row>
    <row r="34" spans="1:10" ht="60" customHeight="1" x14ac:dyDescent="0.3">
      <c r="A34" s="6" t="s">
        <v>51</v>
      </c>
      <c r="B34" s="6" t="s">
        <v>76</v>
      </c>
      <c r="C34" s="6" t="s">
        <v>12</v>
      </c>
      <c r="D34" s="7" t="s">
        <v>129</v>
      </c>
      <c r="E34" s="8" t="s">
        <v>130</v>
      </c>
      <c r="F34" s="6" t="s">
        <v>131</v>
      </c>
      <c r="G34" s="9" t="s">
        <v>734</v>
      </c>
      <c r="H34" s="10">
        <v>27</v>
      </c>
      <c r="I34" s="11" t="s">
        <v>707</v>
      </c>
      <c r="J34" s="12"/>
    </row>
    <row r="35" spans="1:10" ht="60" customHeight="1" x14ac:dyDescent="0.3">
      <c r="A35" s="6" t="s">
        <v>132</v>
      </c>
      <c r="B35" s="6" t="s">
        <v>11</v>
      </c>
      <c r="C35" s="6" t="s">
        <v>12</v>
      </c>
      <c r="D35" s="7" t="s">
        <v>133</v>
      </c>
      <c r="E35" s="8" t="s">
        <v>134</v>
      </c>
      <c r="F35" s="6" t="s">
        <v>135</v>
      </c>
      <c r="G35" s="9" t="s">
        <v>736</v>
      </c>
      <c r="H35" s="10">
        <v>34</v>
      </c>
      <c r="I35" s="11" t="s">
        <v>735</v>
      </c>
      <c r="J35" s="12"/>
    </row>
    <row r="36" spans="1:10" ht="60" customHeight="1" x14ac:dyDescent="0.3">
      <c r="A36" s="6" t="s">
        <v>136</v>
      </c>
      <c r="B36" s="6" t="s">
        <v>20</v>
      </c>
      <c r="C36" s="6" t="s">
        <v>12</v>
      </c>
      <c r="D36" s="7" t="s">
        <v>39</v>
      </c>
      <c r="E36" s="8" t="s">
        <v>137</v>
      </c>
      <c r="F36" s="6" t="s">
        <v>138</v>
      </c>
      <c r="G36" s="9" t="s">
        <v>726</v>
      </c>
      <c r="H36" s="10">
        <v>15</v>
      </c>
      <c r="I36" s="11" t="s">
        <v>725</v>
      </c>
      <c r="J36" s="12"/>
    </row>
    <row r="37" spans="1:10" ht="60" customHeight="1" x14ac:dyDescent="0.3">
      <c r="A37" s="6" t="s">
        <v>139</v>
      </c>
      <c r="B37" s="6" t="s">
        <v>96</v>
      </c>
      <c r="C37" s="6" t="s">
        <v>12</v>
      </c>
      <c r="D37" s="7" t="s">
        <v>140</v>
      </c>
      <c r="E37" s="8" t="s">
        <v>141</v>
      </c>
      <c r="F37" s="6" t="s">
        <v>142</v>
      </c>
      <c r="G37" s="9" t="s">
        <v>737</v>
      </c>
      <c r="H37" s="10">
        <v>36</v>
      </c>
      <c r="I37" s="11" t="s">
        <v>707</v>
      </c>
      <c r="J37" s="12"/>
    </row>
    <row r="38" spans="1:10" ht="60" customHeight="1" x14ac:dyDescent="0.3">
      <c r="A38" s="6" t="s">
        <v>143</v>
      </c>
      <c r="B38" s="6" t="s">
        <v>26</v>
      </c>
      <c r="C38" s="6" t="s">
        <v>12</v>
      </c>
      <c r="D38" s="7" t="s">
        <v>144</v>
      </c>
      <c r="E38" s="8" t="s">
        <v>145</v>
      </c>
      <c r="F38" s="6" t="s">
        <v>146</v>
      </c>
      <c r="G38" s="9" t="s">
        <v>738</v>
      </c>
      <c r="H38" s="10">
        <v>36</v>
      </c>
      <c r="I38" s="11" t="s">
        <v>711</v>
      </c>
      <c r="J38" s="12"/>
    </row>
    <row r="39" spans="1:10" ht="60" customHeight="1" x14ac:dyDescent="0.3">
      <c r="A39" s="6" t="s">
        <v>147</v>
      </c>
      <c r="B39" s="6" t="s">
        <v>62</v>
      </c>
      <c r="C39" s="6" t="s">
        <v>12</v>
      </c>
      <c r="D39" s="7" t="s">
        <v>148</v>
      </c>
      <c r="E39" s="8" t="s">
        <v>149</v>
      </c>
      <c r="F39" s="6" t="s">
        <v>150</v>
      </c>
      <c r="G39" s="9" t="s">
        <v>728</v>
      </c>
      <c r="H39" s="10">
        <v>38</v>
      </c>
      <c r="I39" s="11" t="s">
        <v>703</v>
      </c>
      <c r="J3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42"/>
  <sheetViews>
    <sheetView workbookViewId="0">
      <pane xSplit="1" ySplit="1" topLeftCell="B450" activePane="bottomRight" state="frozen"/>
      <selection pane="topRight" activeCell="B1" sqref="B1"/>
      <selection pane="bottomLeft" activeCell="A2" sqref="A2"/>
      <selection pane="bottomRight" activeCell="N655" sqref="N655"/>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151</v>
      </c>
      <c r="B1" s="13" t="s">
        <v>152</v>
      </c>
      <c r="C1" s="13" t="s">
        <v>153</v>
      </c>
      <c r="D1" s="13" t="s">
        <v>154</v>
      </c>
      <c r="E1" s="14" t="s">
        <v>155</v>
      </c>
      <c r="F1" s="15" t="s">
        <v>156</v>
      </c>
      <c r="G1" s="16" t="s">
        <v>157</v>
      </c>
      <c r="H1" s="17" t="s">
        <v>158</v>
      </c>
      <c r="I1" s="18" t="s">
        <v>159</v>
      </c>
      <c r="J1" s="18" t="s">
        <v>160</v>
      </c>
      <c r="K1" s="18" t="s">
        <v>161</v>
      </c>
      <c r="L1" s="19" t="s">
        <v>9</v>
      </c>
    </row>
    <row r="2" spans="1:12" x14ac:dyDescent="0.3">
      <c r="A2" t="s">
        <v>162</v>
      </c>
    </row>
    <row r="3" spans="1:12" x14ac:dyDescent="0.3">
      <c r="A3" t="s">
        <v>163</v>
      </c>
      <c r="E3" s="20" t="str">
        <f t="shared" ref="E3:E13"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4"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164</v>
      </c>
      <c r="B4" s="26" t="s">
        <v>165</v>
      </c>
      <c r="C4" s="26" t="s">
        <v>166</v>
      </c>
      <c r="E4" s="20" t="s">
        <v>690</v>
      </c>
      <c r="F4" s="21" t="str">
        <f>IF(OR(E4="",E4="!!!"),"",IF(NOT(ISNA(VLOOKUP(E4,E$1:E3,1,FALSE()))),"OLD",IF(AND(E4&lt;&gt;"",E4&lt;&gt;"!!!"),"NEW","")))</f>
        <v>NEW</v>
      </c>
      <c r="G4" s="22" t="s">
        <v>696</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t="s">
        <v>646</v>
      </c>
    </row>
    <row r="5" spans="1:12" x14ac:dyDescent="0.3">
      <c r="A5" t="s">
        <v>167</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168</v>
      </c>
      <c r="B6" s="26" t="s">
        <v>169</v>
      </c>
      <c r="C6" s="26" t="s">
        <v>166</v>
      </c>
      <c r="E6" s="20" t="s">
        <v>679</v>
      </c>
      <c r="F6" s="21" t="str">
        <f>IF(OR(E6="",E6="!!!"),"",IF(NOT(ISNA(VLOOKUP(E6,E$1:E5,1,FALSE()))),"OLD",IF(AND(E6&lt;&gt;"",E6&lt;&gt;"!!!"),"NEW","")))</f>
        <v>NEW</v>
      </c>
      <c r="G6" s="22" t="s">
        <v>696</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t="s">
        <v>646</v>
      </c>
    </row>
    <row r="7" spans="1:12" x14ac:dyDescent="0.3">
      <c r="A7" t="s">
        <v>170</v>
      </c>
      <c r="E7" s="20" t="str">
        <f t="shared" si="0"/>
        <v/>
      </c>
      <c r="F7" s="21" t="str">
        <f>IF(OR(E7="",E7="!!!"),"",IF(NOT(ISNA(VLOOKUP(E7,E$1:E6,1,FALSE()))),"OLD",IF(AND(E7&lt;&gt;"",E7&lt;&gt;"!!!"),"NEW","")))</f>
        <v/>
      </c>
      <c r="G7" s="22" t="str">
        <f>IF(OR(E7="",E7="!!!"),"",IF(OR(J7=0,AND(J7=1,K7=1),AND(J7=1,I7="SBJ"),AND(J7=1,I7=0)),"?IN_FOCUS",IF(J7&lt;=2,"?ACTIVATED",IF(J7&lt;&gt;"","?FAMILIAR",IF(F7="NEW",IF(ISNA(VLOOKUP(E7,#REF!,1,FALSE())),"?TYPE_IDENTIFIABLE","?REFERENTIAL"),"_")))))</f>
        <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171</v>
      </c>
      <c r="B8" s="26" t="s">
        <v>172</v>
      </c>
      <c r="C8" s="26" t="s">
        <v>166</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173</v>
      </c>
      <c r="B9" s="26" t="s">
        <v>174</v>
      </c>
      <c r="C9" s="26" t="s">
        <v>175</v>
      </c>
      <c r="E9" s="20" t="str">
        <f t="shared" si="0"/>
        <v/>
      </c>
      <c r="F9" s="21" t="str">
        <f>IF(OR(E9="",E9="!!!"),"",IF(NOT(ISNA(VLOOKUP(E9,E$1:E8,1,FALSE()))),"OLD",IF(AND(E9&lt;&gt;"",E9&lt;&gt;"!!!"),"NEW","")))</f>
        <v/>
      </c>
      <c r="G9" s="22" t="str">
        <f>IF(OR(E9="",E9="!!!"),"",IF(OR(J9=0,AND(J9=1,K9=1),AND(J9=1,I9="SBJ"),AND(J9=1,I9=0)),"?IN_FOCUS",IF(J9&lt;=2,"?ACTIVATED",IF(J9&lt;&gt;"","?FAMILIAR",IF(F9="NEW",IF(ISNA(VLOOKUP(E9,#REF!,1,FALSE())),"?TYPE_IDENTIFIABLE","?REFERENTIAL"),"_")))))</f>
        <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176</v>
      </c>
      <c r="B10" s="26" t="s">
        <v>177</v>
      </c>
      <c r="C10" s="26" t="s">
        <v>166</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178</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2" spans="1:12" x14ac:dyDescent="0.3">
      <c r="A12" t="s">
        <v>179</v>
      </c>
      <c r="B12" s="26" t="s">
        <v>174</v>
      </c>
      <c r="C12" s="26" t="s">
        <v>180</v>
      </c>
      <c r="D12" s="26" t="s">
        <v>181</v>
      </c>
      <c r="E12" s="20" t="s">
        <v>607</v>
      </c>
      <c r="F12" s="21" t="str">
        <f>IF(OR(E12="",E12="!!!"),"",IF(NOT(ISNA(VLOOKUP(E12,E$1:E11,1,FALSE()))),"OLD",IF(AND(E12&lt;&gt;"",E12&lt;&gt;"!!!"),"NEW","")))</f>
        <v>NEW</v>
      </c>
      <c r="G12" s="22" t="s">
        <v>696</v>
      </c>
      <c r="H12" s="23" t="str">
        <f t="shared" ca="1" si="1"/>
        <v/>
      </c>
      <c r="I12" s="24" t="str">
        <f>IF(OR(E12="",E12="!!!",F12="NEW"),"",INDEX(B$2:B11,-1+SUMPRODUCT(MAX(ROW(E$2:E11)*(E12=E$2:E11)))))</f>
        <v/>
      </c>
      <c r="J12" s="24" t="str">
        <f ca="1">IF(OR(E12="",E12="!!!",F12="NEW"),"",COUNTBLANK(OFFSET(A$1,,,SUMPRODUCT(MAX(ROW(E$2:E12)*(E12=E$2:E12)))))-COUNTBLANK(OFFSET(A$1,,,SUMPRODUCT(MAX(ROW(E$1:E11)*(E2=E$1:E11))))))</f>
        <v/>
      </c>
      <c r="K12" s="24" t="str">
        <f>IF(OR(E12="",E12="!!!",F12="NEW"),"",INDEX(J$1:J11,SUMPRODUCT(MAX(ROW(E$1:E11)*(E12=E$1:E11)))))</f>
        <v/>
      </c>
      <c r="L12" s="25"/>
    </row>
    <row r="13" spans="1:12" x14ac:dyDescent="0.3">
      <c r="A13" t="s">
        <v>167</v>
      </c>
      <c r="E13" s="20" t="str">
        <f t="shared" si="0"/>
        <v/>
      </c>
      <c r="F13" s="21" t="str">
        <f>IF(OR(E13="",E13="!!!"),"",IF(NOT(ISNA(VLOOKUP(E13,E$1:E12,1,FALSE()))),"OLD",IF(AND(E13&lt;&gt;"",E13&lt;&gt;"!!!"),"NEW","")))</f>
        <v/>
      </c>
      <c r="G13" s="22" t="str">
        <f>IF(OR(E13="",E13="!!!"),"",IF(OR(J13=0,AND(J13=1,K13=1),AND(J13=1,I13="SBJ"),AND(J13=1,I13=0)),"?IN_FOCUS",IF(J13&lt;=2,"?ACTIVATED",IF(J13&lt;&gt;"","?FAMILIAR",IF(F13="NEW",IF(ISNA(VLOOKUP(E13,#REF!,1,FALSE())),"?TYPE_IDENTIFIABLE","?REFERENTIAL"),"_")))))</f>
        <v/>
      </c>
      <c r="H13" s="23" t="str">
        <f t="shared" ca="1" si="1"/>
        <v/>
      </c>
      <c r="I13" s="24" t="str">
        <f>IF(OR(E13="",E13="!!!",F13="NEW"),"",INDEX(B$2:B12,-1+SUMPRODUCT(MAX(ROW(E$2:E12)*(E13=E$2:E12)))))</f>
        <v/>
      </c>
      <c r="J13" s="24" t="str">
        <f ca="1">IF(OR(E13="",E13="!!!",F13="NEW"),"",COUNTBLANK(OFFSET(A$1,,,SUMPRODUCT(MAX(ROW(E$2:E13)*(E13=E$2:E13)))))-COUNTBLANK(OFFSET(A$1,,,SUMPRODUCT(MAX(ROW(E$1:E12)*(E2=E$1:E12))))))</f>
        <v/>
      </c>
      <c r="K13" s="24" t="str">
        <f>IF(OR(E13="",E13="!!!",F13="NEW"),"",INDEX(J$1:J12,SUMPRODUCT(MAX(ROW(E$1:E12)*(E13=E$1:E12)))))</f>
        <v/>
      </c>
      <c r="L13" s="25"/>
    </row>
    <row r="14" spans="1:12" x14ac:dyDescent="0.3">
      <c r="A14" t="s">
        <v>182</v>
      </c>
      <c r="B14" s="26" t="s">
        <v>183</v>
      </c>
      <c r="C14" s="26" t="s">
        <v>180</v>
      </c>
      <c r="D14" s="26" t="s">
        <v>181</v>
      </c>
      <c r="E14" s="20" t="s">
        <v>643</v>
      </c>
      <c r="F14" s="21" t="str">
        <f>IF(OR(E14="",E14="!!!"),"",IF(NOT(ISNA(VLOOKUP(E14,E$1:E13,1,FALSE()))),"OLD",IF(AND(E14&lt;&gt;"",E14&lt;&gt;"!!!"),"NEW","")))</f>
        <v>NEW</v>
      </c>
      <c r="G14" s="22" t="s">
        <v>696</v>
      </c>
      <c r="H14" s="23" t="str">
        <f t="shared" ca="1" si="1"/>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6" spans="1:12" x14ac:dyDescent="0.3">
      <c r="A16" t="s">
        <v>184</v>
      </c>
    </row>
    <row r="17" spans="1:12" x14ac:dyDescent="0.3">
      <c r="A17" t="s">
        <v>163</v>
      </c>
      <c r="E17" s="20" t="str">
        <f t="shared" ref="E17:E35" si="2">IF(D17="?OLD","!!!","")</f>
        <v/>
      </c>
      <c r="F17" s="21" t="str">
        <f>IF(OR(E17="",E17="!!!"),"",IF(NOT(ISNA(VLOOKUP(E17,E$1:E16,1,FALSE()))),"OLD",IF(AND(E17&lt;&gt;"",E17&lt;&gt;"!!!"),"NEW","")))</f>
        <v/>
      </c>
      <c r="G17" s="22" t="str">
        <f>IF(OR(E17="",E17="!!!"),"",IF(OR(J17=0,AND(J17=1,K17=1),AND(J17=1,I17="SBJ"),AND(J17=1,I17=0)),"?IN_FOCUS",IF(J17&lt;=2,"?ACTIVATED",IF(J17&lt;&gt;"","?FAMILIAR",IF(F17="NEW",IF(ISNA(VLOOKUP(E17,#REF!,1,FALSE())),"?TYPE_IDENTIFIABLE","?REFERENTIAL"),"_")))))</f>
        <v/>
      </c>
      <c r="H17" s="23" t="str">
        <f t="shared" ref="H17:H35" ca="1" si="3">IF(J17&lt;&gt;1,"",IF(I17="SBJ","CB","?"))</f>
        <v/>
      </c>
      <c r="I17" s="24" t="str">
        <f>IF(OR(E17="",E17="!!!",F17="NEW"),"",INDEX(B$2:B16,-1+SUMPRODUCT(MAX(ROW(E$2:E16)*(E17=E$2:E16)))))</f>
        <v/>
      </c>
      <c r="J17" s="24" t="str">
        <f ca="1">IF(OR(E17="",E17="!!!",F17="NEW"),"",COUNTBLANK(OFFSET(A$1,,,SUMPRODUCT(MAX(ROW(E$2:E17)*(E17=E$2:E17)))))-COUNTBLANK(OFFSET(A$1,,,SUMPRODUCT(MAX(ROW(E$1:E16)*(E2=E$1:E16))))))</f>
        <v/>
      </c>
      <c r="K17" s="24" t="str">
        <f>IF(OR(E17="",E17="!!!",F17="NEW"),"",INDEX(J$1:J16,SUMPRODUCT(MAX(ROW(E$1:E16)*(E17=E$1:E16)))))</f>
        <v/>
      </c>
      <c r="L17" s="25"/>
    </row>
    <row r="18" spans="1:12" x14ac:dyDescent="0.3">
      <c r="A18" t="s">
        <v>164</v>
      </c>
      <c r="B18" s="26" t="s">
        <v>185</v>
      </c>
      <c r="C18" s="26" t="s">
        <v>166</v>
      </c>
      <c r="E18" s="20" t="s">
        <v>690</v>
      </c>
      <c r="F18" s="21" t="str">
        <f>IF(OR(E18="",E18="!!!"),"",IF(NOT(ISNA(VLOOKUP(E18,E$1:E17,1,FALSE()))),"OLD",IF(AND(E18&lt;&gt;"",E18&lt;&gt;"!!!"),"NEW","")))</f>
        <v>OLD</v>
      </c>
      <c r="G18" s="22" t="s">
        <v>697</v>
      </c>
      <c r="H18" s="23" t="s">
        <v>158</v>
      </c>
      <c r="I18" s="24" t="str">
        <f>IF(OR(E18="",E18="!!!",F18="NEW"),"",INDEX(B$2:B17,-1+SUMPRODUCT(MAX(ROW(E$2:E17)*(E18=E$2:E17)))))</f>
        <v>other</v>
      </c>
      <c r="J18" s="24">
        <f ca="1">IF(OR(E18="",E18="!!!",F18="NEW"),"",COUNTBLANK(OFFSET(A$1,,,SUMPRODUCT(MAX(ROW(E$2:E18)*(E18=E$2:E18)))))-COUNTBLANK(OFFSET(A$1,,,SUMPRODUCT(MAX(ROW(E$1:E17)*(E2=E$1:E17))))))</f>
        <v>0</v>
      </c>
      <c r="K18" s="24" t="str">
        <f ca="1">IF(OR(E18="",E18="!!!",F18="NEW"),"",INDEX(J$1:J17,SUMPRODUCT(MAX(ROW(E$1:E17)*(E18=E$1:E17)))))</f>
        <v/>
      </c>
      <c r="L18" s="25"/>
    </row>
    <row r="19" spans="1:12" x14ac:dyDescent="0.3">
      <c r="A19" t="s">
        <v>186</v>
      </c>
      <c r="E19" s="20" t="str">
        <f t="shared" si="2"/>
        <v/>
      </c>
      <c r="F19" s="21"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3">
      <c r="A20" t="s">
        <v>187</v>
      </c>
      <c r="E20" s="20" t="str">
        <f t="shared" si="2"/>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188</v>
      </c>
      <c r="B21" s="26" t="s">
        <v>189</v>
      </c>
      <c r="C21" s="26" t="s">
        <v>166</v>
      </c>
      <c r="E21" s="20" t="s">
        <v>679</v>
      </c>
      <c r="F21" s="21" t="str">
        <f>IF(OR(E21="",E21="!!!"),"",IF(NOT(ISNA(VLOOKUP(E21,E$1:E20,1,FALSE()))),"OLD",IF(AND(E21&lt;&gt;"",E21&lt;&gt;"!!!"),"NEW","")))</f>
        <v>OLD</v>
      </c>
      <c r="G21" s="22" t="s">
        <v>697</v>
      </c>
      <c r="H21" s="23" t="str">
        <f t="shared" ca="1" si="3"/>
        <v/>
      </c>
      <c r="I21" s="24" t="str">
        <f>IF(OR(E21="",E21="!!!",F21="NEW"),"",INDEX(B$2:B20,-1+SUMPRODUCT(MAX(ROW(E$2:E20)*(E21=E$2:E20)))))</f>
        <v>SBJ_2</v>
      </c>
      <c r="J21" s="24">
        <f ca="1">IF(OR(E21="",E21="!!!",F21="NEW"),"",COUNTBLANK(OFFSET(A$1,,,SUMPRODUCT(MAX(ROW(E$2:E21)*(E21=E$2:E21)))))-COUNTBLANK(OFFSET(A$1,,,SUMPRODUCT(MAX(ROW(E$1:E20)*(E2=E$1:E20))))))</f>
        <v>0</v>
      </c>
      <c r="K21" s="24" t="str">
        <f ca="1">IF(OR(E21="",E21="!!!",F21="NEW"),"",INDEX(J$1:J20,SUMPRODUCT(MAX(ROW(E$1:E20)*(E21=E$1:E20)))))</f>
        <v/>
      </c>
      <c r="L21" s="25"/>
    </row>
    <row r="22" spans="1:12" x14ac:dyDescent="0.3">
      <c r="A22" t="s">
        <v>178</v>
      </c>
      <c r="E22" s="20" t="str">
        <f t="shared" si="2"/>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3">
      <c r="A23" t="s">
        <v>179</v>
      </c>
      <c r="B23" s="26" t="s">
        <v>177</v>
      </c>
      <c r="C23" s="26" t="s">
        <v>180</v>
      </c>
      <c r="D23" s="26" t="s">
        <v>181</v>
      </c>
      <c r="E23" s="20" t="s">
        <v>607</v>
      </c>
      <c r="F23" s="21" t="str">
        <f>IF(OR(E23="",E23="!!!"),"",IF(NOT(ISNA(VLOOKUP(E23,E$1:E22,1,FALSE()))),"OLD",IF(AND(E23&lt;&gt;"",E23&lt;&gt;"!!!"),"NEW","")))</f>
        <v>OLD</v>
      </c>
      <c r="G23" s="22" t="s">
        <v>698</v>
      </c>
      <c r="H23" s="23" t="str">
        <f t="shared" ca="1" si="3"/>
        <v/>
      </c>
      <c r="I23" s="24" t="str">
        <f>IF(OR(E23="",E23="!!!",F23="NEW"),"",INDEX(B$2:B22,-1+SUMPRODUCT(MAX(ROW(E$2:E22)*(E23=E$2:E22)))))</f>
        <v>other_4</v>
      </c>
      <c r="J23" s="24">
        <f ca="1">IF(OR(E23="",E23="!!!",F23="NEW"),"",COUNTBLANK(OFFSET(A$1,,,SUMPRODUCT(MAX(ROW(E$2:E23)*(E23=E$2:E23)))))-COUNTBLANK(OFFSET(A$1,,,SUMPRODUCT(MAX(ROW(E$1:E22)*(E2=E$1:E22))))))</f>
        <v>0</v>
      </c>
      <c r="K23" s="24" t="str">
        <f ca="1">IF(OR(E23="",E23="!!!",F23="NEW"),"",INDEX(J$1:J22,SUMPRODUCT(MAX(ROW(E$1:E22)*(E23=E$1:E22)))))</f>
        <v/>
      </c>
      <c r="L23" s="25"/>
    </row>
    <row r="24" spans="1:12" x14ac:dyDescent="0.3">
      <c r="A24" t="s">
        <v>190</v>
      </c>
      <c r="E24" s="20" t="str">
        <f t="shared" si="2"/>
        <v/>
      </c>
      <c r="F24" s="21"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5"/>
    </row>
    <row r="25" spans="1:12" x14ac:dyDescent="0.3">
      <c r="A25" t="s">
        <v>191</v>
      </c>
      <c r="E25" s="20" t="str">
        <f t="shared" si="2"/>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192</v>
      </c>
      <c r="B26" s="26" t="s">
        <v>193</v>
      </c>
      <c r="C26" s="26" t="s">
        <v>194</v>
      </c>
      <c r="D26" s="26" t="s">
        <v>181</v>
      </c>
      <c r="E26" s="20" t="s">
        <v>614</v>
      </c>
      <c r="F26" s="21" t="str">
        <f>IF(OR(E26="",E26="!!!"),"",IF(NOT(ISNA(VLOOKUP(E26,E$1:E25,1,FALSE()))),"OLD",IF(AND(E26&lt;&gt;"",E26&lt;&gt;"!!!"),"NEW","")))</f>
        <v>NEW</v>
      </c>
      <c r="G26" s="22" t="s">
        <v>156</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195</v>
      </c>
      <c r="E27" s="20" t="str">
        <f t="shared" si="2"/>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3">
      <c r="A28" t="s">
        <v>167</v>
      </c>
      <c r="E28" s="20" t="str">
        <f t="shared" si="2"/>
        <v/>
      </c>
      <c r="F28" s="21"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3"/>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3">
      <c r="A29" t="s">
        <v>196</v>
      </c>
      <c r="E29" s="20" t="str">
        <f t="shared" si="2"/>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3"/>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197</v>
      </c>
      <c r="E30" s="20" t="str">
        <f t="shared" si="2"/>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198</v>
      </c>
      <c r="B31" s="26" t="s">
        <v>189</v>
      </c>
      <c r="C31" s="26" t="s">
        <v>180</v>
      </c>
      <c r="D31" s="26" t="s">
        <v>181</v>
      </c>
      <c r="E31" s="20" t="s">
        <v>609</v>
      </c>
      <c r="F31" s="21" t="s">
        <v>608</v>
      </c>
      <c r="G31" s="22"/>
      <c r="H31" s="23" t="str">
        <f t="shared" ca="1" si="3"/>
        <v/>
      </c>
      <c r="I31" s="24" t="e">
        <f>IF(OR(E31="",E31="!!!",F31="NEW"),"",INDEX(B$2:B30,-1+SUMPRODUCT(MAX(ROW(E$2:E30)*(E31=E$2:E30)))))</f>
        <v>#VALUE!</v>
      </c>
      <c r="J31" s="24">
        <f ca="1">IF(OR(E31="",E31="!!!",F31="NEW"),"",COUNTBLANK(OFFSET(A$1,,,SUMPRODUCT(MAX(ROW(E$2:E31)*(E31=E$2:E31)))))-COUNTBLANK(OFFSET(A$1,,,SUMPRODUCT(MAX(ROW(E$1:E30)*(E2=E$1:E30))))))</f>
        <v>0</v>
      </c>
      <c r="K31" s="24" t="e">
        <f>IF(OR(E31="",E31="!!!",F31="NEW"),"",INDEX(J$1:J30,SUMPRODUCT(MAX(ROW(E$1:E30)*(E31=E$1:E30)))))</f>
        <v>#VALUE!</v>
      </c>
      <c r="L31" s="25"/>
    </row>
    <row r="32" spans="1:12" x14ac:dyDescent="0.3">
      <c r="A32" t="s">
        <v>191</v>
      </c>
      <c r="E32" s="20" t="str">
        <f t="shared" si="2"/>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199</v>
      </c>
      <c r="B33" s="26" t="s">
        <v>172</v>
      </c>
      <c r="C33" s="26" t="s">
        <v>194</v>
      </c>
      <c r="D33" s="26" t="s">
        <v>181</v>
      </c>
      <c r="E33" s="20"/>
      <c r="F33" s="21" t="s">
        <v>616</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4" spans="1:12" x14ac:dyDescent="0.3">
      <c r="A34" t="s">
        <v>200</v>
      </c>
      <c r="E34" s="20" t="str">
        <f t="shared" si="2"/>
        <v/>
      </c>
      <c r="F34" s="21" t="str">
        <f>IF(OR(E34="",E34="!!!"),"",IF(NOT(ISNA(VLOOKUP(E34,E$1:E33,1,FALSE()))),"OLD",IF(AND(E34&lt;&gt;"",E34&lt;&gt;"!!!"),"NEW","")))</f>
        <v/>
      </c>
      <c r="G34" s="22" t="str">
        <f>IF(OR(E34="",E34="!!!"),"",IF(OR(J34=0,AND(J34=1,K34=1),AND(J34=1,I34="SBJ"),AND(J34=1,I34=0)),"?IN_FOCUS",IF(J34&lt;=2,"?ACTIVATED",IF(J34&lt;&gt;"","?FAMILIAR",IF(F34="NEW",IF(ISNA(VLOOKUP(E34,#REF!,1,FALSE())),"?TYPE_IDENTIFIABLE","?REFERENTIAL"),"_")))))</f>
        <v/>
      </c>
      <c r="H34" s="23" t="str">
        <f t="shared" ca="1" si="3"/>
        <v/>
      </c>
      <c r="I34" s="24" t="str">
        <f>IF(OR(E34="",E34="!!!",F34="NEW"),"",INDEX(B$2:B33,-1+SUMPRODUCT(MAX(ROW(E$2:E33)*(E34=E$2:E33)))))</f>
        <v/>
      </c>
      <c r="J34" s="24" t="str">
        <f ca="1">IF(OR(E34="",E34="!!!",F34="NEW"),"",COUNTBLANK(OFFSET(A$1,,,SUMPRODUCT(MAX(ROW(E$2:E34)*(E34=E$2:E34)))))-COUNTBLANK(OFFSET(A$1,,,SUMPRODUCT(MAX(ROW(E$1:E33)*(E2=E$1:E33))))))</f>
        <v/>
      </c>
      <c r="K34" s="24" t="str">
        <f>IF(OR(E34="",E34="!!!",F34="NEW"),"",INDEX(J$1:J33,SUMPRODUCT(MAX(ROW(E$1:E33)*(E34=E$1:E33)))))</f>
        <v/>
      </c>
      <c r="L34" s="25"/>
    </row>
    <row r="35" spans="1:12" x14ac:dyDescent="0.3">
      <c r="A35" t="s">
        <v>201</v>
      </c>
      <c r="E35" s="20" t="str">
        <f t="shared" si="2"/>
        <v/>
      </c>
      <c r="F35" s="21"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5"/>
    </row>
    <row r="37" spans="1:12" x14ac:dyDescent="0.3">
      <c r="A37" t="s">
        <v>202</v>
      </c>
    </row>
    <row r="38" spans="1:12" x14ac:dyDescent="0.3">
      <c r="A38" t="s">
        <v>203</v>
      </c>
      <c r="E38" s="20" t="str">
        <f t="shared" ref="E38:E48" si="4">IF(D38="?OLD","!!!","")</f>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ref="H38:H48" ca="1" si="5">IF(J38&lt;&gt;1,"",IF(I38="SBJ","CB","?"))</f>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204</v>
      </c>
      <c r="E39" s="20" t="str">
        <f t="shared" si="4"/>
        <v/>
      </c>
      <c r="F39" s="21" t="str">
        <f>IF(OR(E39="",E39="!!!"),"",IF(NOT(ISNA(VLOOKUP(E39,E$1:E38,1,FALSE()))),"OLD",IF(AND(E39&lt;&gt;"",E39&lt;&gt;"!!!"),"NEW","")))</f>
        <v/>
      </c>
      <c r="G39" s="22" t="str">
        <f>IF(OR(E39="",E39="!!!"),"",IF(OR(J39=0,AND(J39=1,K39=1),AND(J39=1,I39="SBJ"),AND(J39=1,I39=0)),"?IN_FOCUS",IF(J39&lt;=2,"?ACTIVATED",IF(J39&lt;&gt;"","?FAMILIAR",IF(F39="NEW",IF(ISNA(VLOOKUP(E39,#REF!,1,FALSE())),"?TYPE_IDENTIFIABLE","?REFERENTIAL"),"_")))))</f>
        <v/>
      </c>
      <c r="H39" s="23" t="str">
        <f t="shared" ca="1" si="5"/>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191</v>
      </c>
      <c r="E40" s="20" t="str">
        <f t="shared" si="4"/>
        <v/>
      </c>
      <c r="F40" s="21" t="str">
        <f>IF(OR(E40="",E40="!!!"),"",IF(NOT(ISNA(VLOOKUP(E40,E$1:E39,1,FALSE()))),"OLD",IF(AND(E40&lt;&gt;"",E40&lt;&gt;"!!!"),"NEW","")))</f>
        <v/>
      </c>
      <c r="G40" s="22" t="str">
        <f>IF(OR(E40="",E40="!!!"),"",IF(OR(J40=0,AND(J40=1,K40=1),AND(J40=1,I40="SBJ"),AND(J40=1,I40=0)),"?IN_FOCUS",IF(J40&lt;=2,"?ACTIVATED",IF(J40&lt;&gt;"","?FAMILIAR",IF(F40="NEW",IF(ISNA(VLOOKUP(E40,#REF!,1,FALSE())),"?TYPE_IDENTIFIABLE","?REFERENTIAL"),"_")))))</f>
        <v/>
      </c>
      <c r="H40" s="23" t="str">
        <f t="shared" ca="1" si="5"/>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3">
      <c r="A41" t="s">
        <v>205</v>
      </c>
      <c r="E41" s="20" t="str">
        <f t="shared" si="4"/>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5"/>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206</v>
      </c>
      <c r="B42" s="26" t="s">
        <v>185</v>
      </c>
      <c r="C42" s="26" t="s">
        <v>194</v>
      </c>
      <c r="D42" s="26" t="s">
        <v>181</v>
      </c>
      <c r="E42" s="20" t="s">
        <v>610</v>
      </c>
      <c r="F42" s="21" t="s">
        <v>608</v>
      </c>
      <c r="G42" s="22"/>
      <c r="H42" s="23" t="str">
        <f t="shared" ca="1" si="5"/>
        <v/>
      </c>
      <c r="I42" s="24" t="e">
        <f>IF(OR(E42="",E42="!!!",F42="NEW"),"",INDEX(B$2:B41,-1+SUMPRODUCT(MAX(ROW(E$2:E41)*(E42=E$2:E41)))))</f>
        <v>#VALUE!</v>
      </c>
      <c r="J42" s="24">
        <f ca="1">IF(OR(E42="",E42="!!!",F42="NEW"),"",COUNTBLANK(OFFSET(A$1,,,SUMPRODUCT(MAX(ROW(E$2:E42)*(E42=E$2:E42)))))-COUNTBLANK(OFFSET(A$1,,,SUMPRODUCT(MAX(ROW(E$1:E41)*(E2=E$1:E41))))))</f>
        <v>0</v>
      </c>
      <c r="K42" s="24" t="e">
        <f>IF(OR(E42="",E42="!!!",F42="NEW"),"",INDEX(J$1:J41,SUMPRODUCT(MAX(ROW(E$1:E41)*(E42=E$1:E41)))))</f>
        <v>#VALUE!</v>
      </c>
      <c r="L42" s="25"/>
    </row>
    <row r="43" spans="1:12" x14ac:dyDescent="0.3">
      <c r="A43" t="s">
        <v>207</v>
      </c>
      <c r="E43" s="20" t="str">
        <f t="shared" si="4"/>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208</v>
      </c>
      <c r="E44" s="20" t="str">
        <f t="shared" si="4"/>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5"/>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209</v>
      </c>
      <c r="B45" s="26" t="s">
        <v>189</v>
      </c>
      <c r="C45" s="26" t="s">
        <v>175</v>
      </c>
      <c r="E45" s="20" t="str">
        <f t="shared" si="4"/>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210</v>
      </c>
      <c r="B46" s="26" t="s">
        <v>165</v>
      </c>
      <c r="C46" s="26" t="s">
        <v>166</v>
      </c>
      <c r="E46" s="20" t="s">
        <v>690</v>
      </c>
      <c r="F46" s="21" t="str">
        <f>IF(OR(E46="",E46="!!!"),"",IF(NOT(ISNA(VLOOKUP(E46,E$1:E45,1,FALSE()))),"OLD",IF(AND(E46&lt;&gt;"",E46&lt;&gt;"!!!"),"NEW","")))</f>
        <v>OLD</v>
      </c>
      <c r="G46" s="22" t="s">
        <v>697</v>
      </c>
      <c r="H46" s="23" t="s">
        <v>158</v>
      </c>
      <c r="I46" s="24" t="str">
        <f>IF(OR(E46="",E46="!!!",F46="NEW"),"",INDEX(B$2:B45,-1+SUMPRODUCT(MAX(ROW(E$2:E45)*(E46=E$2:E45)))))</f>
        <v>SBJ</v>
      </c>
      <c r="J46" s="24">
        <f ca="1">IF(OR(E46="",E46="!!!",F46="NEW"),"",COUNTBLANK(OFFSET(A$1,,,SUMPRODUCT(MAX(ROW(E$2:E46)*(E46=E$2:E46)))))-COUNTBLANK(OFFSET(A$1,,,SUMPRODUCT(MAX(ROW(E$1:E45)*(E2=E$1:E45))))))</f>
        <v>0</v>
      </c>
      <c r="K46" s="24">
        <f ca="1">IF(OR(E46="",E46="!!!",F46="NEW"),"",INDEX(J$1:J45,SUMPRODUCT(MAX(ROW(E$1:E45)*(E46=E$1:E45)))))</f>
        <v>0</v>
      </c>
      <c r="L46" s="25"/>
    </row>
    <row r="47" spans="1:12" x14ac:dyDescent="0.3">
      <c r="A47" t="s">
        <v>211</v>
      </c>
      <c r="E47" s="20" t="str">
        <f t="shared" si="4"/>
        <v/>
      </c>
      <c r="F47" s="21"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201</v>
      </c>
      <c r="E48" s="20" t="str">
        <f t="shared" si="4"/>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50" spans="1:12" x14ac:dyDescent="0.3">
      <c r="A50" t="s">
        <v>212</v>
      </c>
    </row>
    <row r="51" spans="1:12" x14ac:dyDescent="0.3">
      <c r="A51" t="s">
        <v>213</v>
      </c>
      <c r="E51" s="20" t="str">
        <f t="shared" ref="E51:E78" si="6">IF(D51="?OLD","!!!","")</f>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ref="H51:H78" ca="1" si="7">IF(J51&lt;&gt;1,"",IF(I51="SBJ","CB","?"))</f>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214</v>
      </c>
      <c r="B52" s="26" t="s">
        <v>185</v>
      </c>
      <c r="C52" s="26" t="s">
        <v>215</v>
      </c>
      <c r="E52" s="20" t="s">
        <v>647</v>
      </c>
      <c r="F52" s="21" t="str">
        <f>IF(OR(E52="",E52="!!!"),"",IF(NOT(ISNA(VLOOKUP(E52,E$1:E51,1,FALSE()))),"OLD",IF(AND(E52&lt;&gt;"",E52&lt;&gt;"!!!"),"NEW","")))</f>
        <v>NEW</v>
      </c>
      <c r="G52" s="22" t="s">
        <v>156</v>
      </c>
      <c r="H52" s="23" t="str">
        <f t="shared" ca="1" si="7"/>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t="s">
        <v>646</v>
      </c>
    </row>
    <row r="53" spans="1:12" x14ac:dyDescent="0.3">
      <c r="A53" t="s">
        <v>178</v>
      </c>
      <c r="E53" s="20" t="str">
        <f t="shared" si="6"/>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7"/>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4" spans="1:12" x14ac:dyDescent="0.3">
      <c r="A54" t="s">
        <v>197</v>
      </c>
      <c r="E54" s="20" t="str">
        <f t="shared" si="6"/>
        <v/>
      </c>
      <c r="F54" s="21"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7"/>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5"/>
    </row>
    <row r="55" spans="1:12" x14ac:dyDescent="0.3">
      <c r="A55" t="s">
        <v>216</v>
      </c>
      <c r="B55" s="26" t="s">
        <v>189</v>
      </c>
      <c r="C55" s="26" t="s">
        <v>194</v>
      </c>
      <c r="D55" s="26" t="s">
        <v>181</v>
      </c>
      <c r="E55" s="20" t="s">
        <v>611</v>
      </c>
      <c r="F55" s="21" t="str">
        <f>IF(OR(E55="",E55="!!!"),"",IF(NOT(ISNA(VLOOKUP(E55,E$1:E54,1,FALSE()))),"OLD",IF(AND(E55&lt;&gt;"",E55&lt;&gt;"!!!"),"NEW","")))</f>
        <v>NEW</v>
      </c>
      <c r="G55" s="22" t="s">
        <v>699</v>
      </c>
      <c r="H55" s="23" t="str">
        <f t="shared" ca="1" si="7"/>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6" spans="1:12" x14ac:dyDescent="0.3">
      <c r="A56" t="s">
        <v>217</v>
      </c>
      <c r="B56" s="26" t="s">
        <v>177</v>
      </c>
      <c r="C56" s="26" t="s">
        <v>180</v>
      </c>
      <c r="D56" s="26" t="s">
        <v>181</v>
      </c>
      <c r="E56" s="20" t="s">
        <v>607</v>
      </c>
      <c r="F56" s="21" t="str">
        <f>IF(OR(E56="",E56="!!!"),"",IF(NOT(ISNA(VLOOKUP(E56,E$1:E55,1,FALSE()))),"OLD",IF(AND(E56&lt;&gt;"",E56&lt;&gt;"!!!"),"NEW","")))</f>
        <v>OLD</v>
      </c>
      <c r="G56" s="22" t="s">
        <v>698</v>
      </c>
      <c r="H56" s="23" t="str">
        <f t="shared" ca="1" si="7"/>
        <v/>
      </c>
      <c r="I56" s="24" t="str">
        <f>IF(OR(E56="",E56="!!!",F56="NEW"),"",INDEX(B$2:B55,-1+SUMPRODUCT(MAX(ROW(E$2:E55)*(E56=E$2:E55)))))</f>
        <v>other_3</v>
      </c>
      <c r="J56" s="24">
        <f ca="1">IF(OR(E56="",E56="!!!",F56="NEW"),"",COUNTBLANK(OFFSET(A$1,,,SUMPRODUCT(MAX(ROW(E$2:E56)*(E56=E$2:E56)))))-COUNTBLANK(OFFSET(A$1,,,SUMPRODUCT(MAX(ROW(E$1:E55)*(E2=E$1:E55))))))</f>
        <v>0</v>
      </c>
      <c r="K56" s="24">
        <f ca="1">IF(OR(E56="",E56="!!!",F56="NEW"),"",INDEX(J$1:J55,SUMPRODUCT(MAX(ROW(E$1:E55)*(E56=E$1:E55)))))</f>
        <v>0</v>
      </c>
      <c r="L56" s="25"/>
    </row>
    <row r="57" spans="1:12" x14ac:dyDescent="0.3">
      <c r="A57" t="s">
        <v>186</v>
      </c>
      <c r="E57" s="20" t="str">
        <f t="shared" si="6"/>
        <v/>
      </c>
      <c r="F57" s="21"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ca="1" si="7"/>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5"/>
    </row>
    <row r="58" spans="1:12" x14ac:dyDescent="0.3">
      <c r="A58" t="s">
        <v>197</v>
      </c>
      <c r="E58" s="20" t="str">
        <f t="shared" si="6"/>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7"/>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218</v>
      </c>
      <c r="B59" s="26" t="s">
        <v>174</v>
      </c>
      <c r="C59" s="26" t="s">
        <v>194</v>
      </c>
      <c r="D59" s="26" t="s">
        <v>181</v>
      </c>
      <c r="E59" s="20" t="s">
        <v>612</v>
      </c>
      <c r="F59" s="21" t="str">
        <f>IF(OR(E59="",E59="!!!"),"",IF(NOT(ISNA(VLOOKUP(E59,E$1:E58,1,FALSE()))),"OLD",IF(AND(E59&lt;&gt;"",E59&lt;&gt;"!!!"),"NEW","")))</f>
        <v>NEW</v>
      </c>
      <c r="G59" s="22" t="s">
        <v>699</v>
      </c>
      <c r="H59" s="23" t="str">
        <f t="shared" ca="1" si="7"/>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219</v>
      </c>
      <c r="E60" s="20" t="str">
        <f t="shared" si="6"/>
        <v/>
      </c>
      <c r="F60" s="21"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7"/>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row>
    <row r="61" spans="1:12" x14ac:dyDescent="0.3">
      <c r="A61" t="s">
        <v>220</v>
      </c>
      <c r="B61" s="26" t="s">
        <v>183</v>
      </c>
      <c r="C61" s="26" t="s">
        <v>194</v>
      </c>
      <c r="D61" s="26" t="s">
        <v>181</v>
      </c>
      <c r="E61" s="20" t="s">
        <v>643</v>
      </c>
      <c r="F61" s="21" t="str">
        <f>IF(OR(E61="",E61="!!!"),"",IF(NOT(ISNA(VLOOKUP(E61,E$1:E60,1,FALSE()))),"OLD",IF(AND(E61&lt;&gt;"",E61&lt;&gt;"!!!"),"NEW","")))</f>
        <v>OLD</v>
      </c>
      <c r="G61" s="22" t="s">
        <v>696</v>
      </c>
      <c r="H61" s="23" t="str">
        <f t="shared" ca="1" si="7"/>
        <v/>
      </c>
      <c r="I61" s="24" t="str">
        <f>IF(OR(E61="",E61="!!!",F61="NEW"),"",INDEX(B$2:B60,-1+SUMPRODUCT(MAX(ROW(E$2:E60)*(E61=E$2:E60)))))</f>
        <v>other_5</v>
      </c>
      <c r="J61" s="24">
        <f ca="1">IF(OR(E61="",E61="!!!",F61="NEW"),"",COUNTBLANK(OFFSET(A$1,,,SUMPRODUCT(MAX(ROW(E$2:E61)*(E61=E$2:E61)))))-COUNTBLANK(OFFSET(A$1,,,SUMPRODUCT(MAX(ROW(E$1:E60)*(E2=E$1:E60))))))</f>
        <v>0</v>
      </c>
      <c r="K61" s="24" t="str">
        <f ca="1">IF(OR(E61="",E61="!!!",F61="NEW"),"",INDEX(J$1:J60,SUMPRODUCT(MAX(ROW(E$1:E60)*(E61=E$1:E60)))))</f>
        <v/>
      </c>
      <c r="L61" s="25"/>
    </row>
    <row r="62" spans="1:12" x14ac:dyDescent="0.3">
      <c r="A62" t="s">
        <v>221</v>
      </c>
      <c r="E62" s="20" t="str">
        <f t="shared" si="6"/>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7"/>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222</v>
      </c>
      <c r="E63" s="20" t="s">
        <v>647</v>
      </c>
      <c r="F63" s="21" t="str">
        <f>IF(OR(E63="",E63="!!!"),"",IF(NOT(ISNA(VLOOKUP(E63,E$1:E62,1,FALSE()))),"OLD",IF(AND(E63&lt;&gt;"",E63&lt;&gt;"!!!"),"NEW","")))</f>
        <v>OLD</v>
      </c>
      <c r="G63" s="22" t="s">
        <v>697</v>
      </c>
      <c r="H63" s="23" t="str">
        <f t="shared" ca="1" si="7"/>
        <v/>
      </c>
      <c r="I63" s="24" t="str">
        <f>IF(OR(E63="",E63="!!!",F63="NEW"),"",INDEX(B$2:B62,-1+SUMPRODUCT(MAX(ROW(E$2:E62)*(E63=E$2:E62)))))</f>
        <v>SBJ</v>
      </c>
      <c r="J63" s="24">
        <f ca="1">IF(OR(E63="",E63="!!!",F63="NEW"),"",COUNTBLANK(OFFSET(A$1,,,SUMPRODUCT(MAX(ROW(E$2:E63)*(E63=E$2:E63)))))-COUNTBLANK(OFFSET(A$1,,,SUMPRODUCT(MAX(ROW(E$1:E62)*(E2=E$1:E62))))))</f>
        <v>0</v>
      </c>
      <c r="K63" s="24" t="str">
        <f ca="1">IF(OR(E63="",E63="!!!",F63="NEW"),"",INDEX(J$1:J62,SUMPRODUCT(MAX(ROW(E$1:E62)*(E63=E$1:E62)))))</f>
        <v/>
      </c>
      <c r="L63" s="25"/>
    </row>
    <row r="64" spans="1:12" x14ac:dyDescent="0.3">
      <c r="A64" t="s">
        <v>223</v>
      </c>
      <c r="B64" s="26" t="s">
        <v>193</v>
      </c>
      <c r="C64" s="26" t="s">
        <v>224</v>
      </c>
      <c r="E64" s="20" t="s">
        <v>680</v>
      </c>
      <c r="F64" s="21" t="str">
        <f>IF(OR(E64="",E64="!!!"),"",IF(NOT(ISNA(VLOOKUP(E64,E$1:E63,1,FALSE()))),"OLD",IF(AND(E64&lt;&gt;"",E64&lt;&gt;"!!!"),"NEW","")))</f>
        <v>NEW</v>
      </c>
      <c r="G64" s="22" t="s">
        <v>699</v>
      </c>
      <c r="H64" s="23" t="str">
        <f t="shared" ca="1" si="7"/>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186</v>
      </c>
      <c r="E65" s="20" t="str">
        <f t="shared" si="6"/>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7"/>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225</v>
      </c>
      <c r="E66" s="20" t="str">
        <f t="shared" si="6"/>
        <v/>
      </c>
      <c r="F66" s="21" t="str">
        <f>IF(OR(E66="",E66="!!!"),"",IF(NOT(ISNA(VLOOKUP(E66,E$1:E65,1,FALSE()))),"OLD",IF(AND(E66&lt;&gt;"",E66&lt;&gt;"!!!"),"NEW","")))</f>
        <v/>
      </c>
      <c r="G66" s="22" t="str">
        <f>IF(OR(E66="",E66="!!!"),"",IF(OR(J66=0,AND(J66=1,K66=1),AND(J66=1,I66="SBJ"),AND(J66=1,I66=0)),"?IN_FOCUS",IF(J66&lt;=2,"?ACTIVATED",IF(J66&lt;&gt;"","?FAMILIAR",IF(F66="NEW",IF(ISNA(VLOOKUP(E66,#REF!,1,FALSE())),"?TYPE_IDENTIFIABLE","?REFERENTIAL"),"_")))))</f>
        <v/>
      </c>
      <c r="H66" s="23" t="str">
        <f t="shared" ca="1" si="7"/>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3">
      <c r="A67" t="s">
        <v>208</v>
      </c>
      <c r="E67" s="20" t="str">
        <f t="shared" si="6"/>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7"/>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226</v>
      </c>
      <c r="E68" s="20" t="str">
        <f t="shared" si="6"/>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7"/>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188</v>
      </c>
      <c r="B69" s="26" t="s">
        <v>189</v>
      </c>
      <c r="C69" s="26" t="s">
        <v>166</v>
      </c>
      <c r="E69" s="20" t="s">
        <v>679</v>
      </c>
      <c r="F69" s="21" t="str">
        <f>IF(OR(E69="",E69="!!!"),"",IF(NOT(ISNA(VLOOKUP(E69,E$1:E68,1,FALSE()))),"OLD",IF(AND(E69&lt;&gt;"",E69&lt;&gt;"!!!"),"NEW","")))</f>
        <v>OLD</v>
      </c>
      <c r="G69" s="22" t="str">
        <f ca="1">IF(OR(E69="",E69="!!!"),"",IF(OR(J69=0,AND(J69=1,K69=1),AND(J69=1,I69="SBJ"),AND(J69=1,I69=0)),"?IN_FOCUS",IF(J69&lt;=2,"?ACTIVATED",IF(J69&lt;&gt;"","?FAMILIAR",IF(F69="NEW",IF(ISNA(VLOOKUP(E69,#REF!,1,FALSE())),"?TYPE_IDENTIFIABLE","?REFERENTIAL"),"_")))))</f>
        <v>?IN_FOCUS</v>
      </c>
      <c r="H69" s="23" t="str">
        <f t="shared" ca="1" si="7"/>
        <v/>
      </c>
      <c r="I69" s="24" t="str">
        <f>IF(OR(E69="",E69="!!!",F69="NEW"),"",INDEX(B$2:B68,-1+SUMPRODUCT(MAX(ROW(E$2:E68)*(E69=E$2:E68)))))</f>
        <v>other_2</v>
      </c>
      <c r="J69" s="24">
        <f ca="1">IF(OR(E69="",E69="!!!",F69="NEW"),"",COUNTBLANK(OFFSET(A$1,,,SUMPRODUCT(MAX(ROW(E$2:E69)*(E69=E$2:E69)))))-COUNTBLANK(OFFSET(A$1,,,SUMPRODUCT(MAX(ROW(E$1:E68)*(E2=E$1:E68))))))</f>
        <v>0</v>
      </c>
      <c r="K69" s="24">
        <f ca="1">IF(OR(E69="",E69="!!!",F69="NEW"),"",INDEX(J$1:J68,SUMPRODUCT(MAX(ROW(E$1:E68)*(E69=E$1:E68)))))</f>
        <v>0</v>
      </c>
      <c r="L69" s="25"/>
    </row>
    <row r="70" spans="1:12" x14ac:dyDescent="0.3">
      <c r="A70" t="s">
        <v>227</v>
      </c>
      <c r="E70" s="20" t="str">
        <f t="shared" si="6"/>
        <v/>
      </c>
      <c r="F70" s="21"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7"/>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row>
    <row r="71" spans="1:12" x14ac:dyDescent="0.3">
      <c r="A71" t="s">
        <v>228</v>
      </c>
      <c r="E71" s="20" t="str">
        <f t="shared" si="6"/>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7"/>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210</v>
      </c>
      <c r="B72" s="26" t="s">
        <v>189</v>
      </c>
      <c r="C72" s="26" t="s">
        <v>166</v>
      </c>
      <c r="E72" s="20" t="s">
        <v>690</v>
      </c>
      <c r="F72" s="21" t="str">
        <f>IF(OR(E72="",E72="!!!"),"",IF(NOT(ISNA(VLOOKUP(E72,E$1:E71,1,FALSE()))),"OLD",IF(AND(E72&lt;&gt;"",E72&lt;&gt;"!!!"),"NEW","")))</f>
        <v>OLD</v>
      </c>
      <c r="G72" s="22" t="s">
        <v>697</v>
      </c>
      <c r="H72" s="23" t="s">
        <v>158</v>
      </c>
      <c r="I72" s="24" t="str">
        <f>IF(OR(E72="",E72="!!!",F72="NEW"),"",INDEX(B$2:B71,-1+SUMPRODUCT(MAX(ROW(E$2:E71)*(E72=E$2:E71)))))</f>
        <v>other</v>
      </c>
      <c r="J72" s="24">
        <f ca="1">IF(OR(E72="",E72="!!!",F72="NEW"),"",COUNTBLANK(OFFSET(A$1,,,SUMPRODUCT(MAX(ROW(E$2:E72)*(E72=E$2:E72)))))-COUNTBLANK(OFFSET(A$1,,,SUMPRODUCT(MAX(ROW(E$1:E71)*(E2=E$1:E71))))))</f>
        <v>0</v>
      </c>
      <c r="K72" s="24">
        <f ca="1">IF(OR(E72="",E72="!!!",F72="NEW"),"",INDEX(J$1:J71,SUMPRODUCT(MAX(ROW(E$1:E71)*(E72=E$1:E71)))))</f>
        <v>0</v>
      </c>
      <c r="L72" s="25"/>
    </row>
    <row r="73" spans="1:12" x14ac:dyDescent="0.3">
      <c r="A73" t="s">
        <v>167</v>
      </c>
      <c r="E73" s="20" t="str">
        <f t="shared" si="6"/>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7"/>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229</v>
      </c>
      <c r="E74" s="20" t="str">
        <f t="shared" si="6"/>
        <v/>
      </c>
      <c r="F74" s="21"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7"/>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230</v>
      </c>
      <c r="E75" s="20" t="str">
        <f t="shared" si="6"/>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7"/>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231</v>
      </c>
      <c r="E76" s="20" t="str">
        <f t="shared" si="6"/>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7"/>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232</v>
      </c>
      <c r="B77" s="26" t="s">
        <v>169</v>
      </c>
      <c r="C77" s="26" t="s">
        <v>194</v>
      </c>
      <c r="D77" s="26" t="s">
        <v>181</v>
      </c>
      <c r="E77" s="20" t="s">
        <v>613</v>
      </c>
      <c r="F77" s="21" t="str">
        <f>IF(OR(E77="",E77="!!!"),"",IF(NOT(ISNA(VLOOKUP(E77,E$1:E76,1,FALSE()))),"OLD",IF(AND(E77&lt;&gt;"",E77&lt;&gt;"!!!"),"NEW","")))</f>
        <v>NEW</v>
      </c>
      <c r="G77" s="22" t="s">
        <v>696</v>
      </c>
      <c r="H77" s="23" t="str">
        <f t="shared" ca="1" si="7"/>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201</v>
      </c>
      <c r="E78" s="20" t="str">
        <f t="shared" si="6"/>
        <v/>
      </c>
      <c r="F78" s="21"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7"/>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80" spans="1:12" x14ac:dyDescent="0.3">
      <c r="A80" t="s">
        <v>233</v>
      </c>
    </row>
    <row r="81" spans="1:12" x14ac:dyDescent="0.3">
      <c r="A81" t="s">
        <v>234</v>
      </c>
      <c r="E81" s="20" t="str">
        <f t="shared" ref="E81:E111" si="8">IF(D81="?OLD","!!!","")</f>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ref="H81:H111" ca="1" si="9">IF(J81&lt;&gt;1,"",IF(I81="SBJ","CB","?"))</f>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192</v>
      </c>
      <c r="B82" s="26" t="s">
        <v>185</v>
      </c>
      <c r="C82" s="26" t="s">
        <v>194</v>
      </c>
      <c r="D82" s="26" t="s">
        <v>181</v>
      </c>
      <c r="E82" s="20"/>
      <c r="F82" s="21" t="s">
        <v>615</v>
      </c>
      <c r="G82" s="22"/>
      <c r="H82" s="23" t="str">
        <f t="shared" ca="1" si="9"/>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row>
    <row r="83" spans="1:12" x14ac:dyDescent="0.3">
      <c r="A83" t="s">
        <v>235</v>
      </c>
      <c r="E83" s="20" t="str">
        <f t="shared" si="8"/>
        <v/>
      </c>
      <c r="F83" s="21" t="str">
        <f>IF(OR(E83="",E83="!!!"),"",IF(NOT(ISNA(VLOOKUP(E83,E$1:E82,1,FALSE()))),"OLD",IF(AND(E83&lt;&gt;"",E83&lt;&gt;"!!!"),"NEW","")))</f>
        <v/>
      </c>
      <c r="G83" s="22" t="str">
        <f>IF(OR(E83="",E83="!!!"),"",IF(OR(J83=0,AND(J83=1,K83=1),AND(J83=1,I83="SBJ"),AND(J83=1,I83=0)),"?IN_FOCUS",IF(J83&lt;=2,"?ACTIVATED",IF(J83&lt;&gt;"","?FAMILIAR",IF(F83="NEW",IF(ISNA(VLOOKUP(E83,#REF!,1,FALSE())),"?TYPE_IDENTIFIABLE","?REFERENTIAL"),"_")))))</f>
        <v/>
      </c>
      <c r="H83" s="23" t="str">
        <f t="shared" ca="1" si="9"/>
        <v/>
      </c>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5"/>
    </row>
    <row r="84" spans="1:12" x14ac:dyDescent="0.3">
      <c r="A84" t="s">
        <v>179</v>
      </c>
      <c r="B84" s="26" t="s">
        <v>189</v>
      </c>
      <c r="C84" s="26" t="s">
        <v>180</v>
      </c>
      <c r="D84" s="26" t="s">
        <v>181</v>
      </c>
      <c r="E84" s="20" t="s">
        <v>607</v>
      </c>
      <c r="F84" s="21" t="str">
        <f>IF(OR(E84="",E84="!!!"),"",IF(NOT(ISNA(VLOOKUP(E84,E$1:E83,1,FALSE()))),"OLD",IF(AND(E84&lt;&gt;"",E84&lt;&gt;"!!!"),"NEW","")))</f>
        <v>OLD</v>
      </c>
      <c r="G84" s="22" t="s">
        <v>698</v>
      </c>
      <c r="H84" s="23" t="s">
        <v>158</v>
      </c>
      <c r="I84" s="24" t="str">
        <f>IF(OR(E84="",E84="!!!",F84="NEW"),"",INDEX(B$2:B83,-1+SUMPRODUCT(MAX(ROW(E$2:E83)*(E84=E$2:E83)))))</f>
        <v>other_3</v>
      </c>
      <c r="J84" s="24">
        <f ca="1">IF(OR(E84="",E84="!!!",F84="NEW"),"",COUNTBLANK(OFFSET(A$1,,,SUMPRODUCT(MAX(ROW(E$2:E84)*(E84=E$2:E84)))))-COUNTBLANK(OFFSET(A$1,,,SUMPRODUCT(MAX(ROW(E$1:E83)*(E2=E$1:E83))))))</f>
        <v>0</v>
      </c>
      <c r="K84" s="24">
        <f ca="1">IF(OR(E84="",E84="!!!",F84="NEW"),"",INDEX(J$1:J83,SUMPRODUCT(MAX(ROW(E$1:E83)*(E84=E$1:E83)))))</f>
        <v>0</v>
      </c>
      <c r="L84" s="25"/>
    </row>
    <row r="85" spans="1:12" x14ac:dyDescent="0.3">
      <c r="A85" t="s">
        <v>236</v>
      </c>
      <c r="E85" s="20" t="str">
        <f t="shared" si="8"/>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9"/>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237</v>
      </c>
      <c r="E86" s="20" t="str">
        <f t="shared" si="8"/>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9"/>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238</v>
      </c>
      <c r="B87" s="26" t="s">
        <v>189</v>
      </c>
      <c r="C87" s="26" t="s">
        <v>180</v>
      </c>
      <c r="D87" s="26" t="s">
        <v>181</v>
      </c>
      <c r="E87" s="20" t="s">
        <v>614</v>
      </c>
      <c r="F87" s="21" t="str">
        <f>IF(OR(E87="",E87="!!!"),"",IF(NOT(ISNA(VLOOKUP(E87,E$1:E86,1,FALSE()))),"OLD",IF(AND(E87&lt;&gt;"",E87&lt;&gt;"!!!"),"NEW","")))</f>
        <v>OLD</v>
      </c>
      <c r="G87" s="22" t="s">
        <v>696</v>
      </c>
      <c r="H87" s="23" t="str">
        <f t="shared" ca="1" si="9"/>
        <v/>
      </c>
      <c r="I87" s="24" t="str">
        <f>IF(OR(E87="",E87="!!!",F87="NEW"),"",INDEX(B$2:B86,-1+SUMPRODUCT(MAX(ROW(E$2:E86)*(E87=E$2:E86)))))</f>
        <v>OBJ</v>
      </c>
      <c r="J87" s="24">
        <f ca="1">IF(OR(E87="",E87="!!!",F87="NEW"),"",COUNTBLANK(OFFSET(A$1,,,SUMPRODUCT(MAX(ROW(E$2:E87)*(E87=E$2:E87)))))-COUNTBLANK(OFFSET(A$1,,,SUMPRODUCT(MAX(ROW(E$1:E86)*(E2=E$1:E86))))))</f>
        <v>0</v>
      </c>
      <c r="K87" s="24" t="str">
        <f ca="1">IF(OR(E87="",E87="!!!",F87="NEW"),"",INDEX(J$1:J86,SUMPRODUCT(MAX(ROW(E$1:E86)*(E87=E$1:E86)))))</f>
        <v/>
      </c>
      <c r="L87" s="25"/>
    </row>
    <row r="88" spans="1:12" x14ac:dyDescent="0.3">
      <c r="A88" t="s">
        <v>239</v>
      </c>
      <c r="E88" s="20" t="str">
        <f t="shared" si="8"/>
        <v/>
      </c>
      <c r="F88" s="21"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9"/>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5"/>
    </row>
    <row r="89" spans="1:12" x14ac:dyDescent="0.3">
      <c r="A89" t="s">
        <v>208</v>
      </c>
      <c r="E89" s="20" t="str">
        <f t="shared" si="8"/>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9"/>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3">
      <c r="A90" t="s">
        <v>167</v>
      </c>
      <c r="E90" s="20" t="str">
        <f t="shared" si="8"/>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ca="1" si="9"/>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240</v>
      </c>
      <c r="E91" s="20" t="str">
        <f t="shared" si="8"/>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9"/>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241</v>
      </c>
      <c r="B92" s="26" t="s">
        <v>169</v>
      </c>
      <c r="C92" s="26" t="s">
        <v>180</v>
      </c>
      <c r="D92" s="26" t="s">
        <v>181</v>
      </c>
      <c r="E92" s="20"/>
      <c r="F92" s="21" t="s">
        <v>616</v>
      </c>
      <c r="G92" s="22" t="str">
        <f>IF(OR(E92="",E92="!!!"),"",IF(OR(J92=0,AND(J92=1,K92=1),AND(J92=1,I92="SBJ"),AND(J92=1,I92=0)),"?IN_FOCUS",IF(J92&lt;=2,"?ACTIVATED",IF(J92&lt;&gt;"","?FAMILIAR",IF(F92="NEW",IF(ISNA(VLOOKUP(E92,#REF!,1,FALSE())),"?TYPE_IDENTIFIABLE","?REFERENTIAL"),"_")))))</f>
        <v/>
      </c>
      <c r="H92" s="23" t="str">
        <f t="shared" ca="1" si="9"/>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178</v>
      </c>
      <c r="E93" s="20" t="str">
        <f t="shared" si="8"/>
        <v/>
      </c>
      <c r="F93" s="21" t="str">
        <f>IF(OR(E93="",E93="!!!"),"",IF(NOT(ISNA(VLOOKUP(E93,E$1:E92,1,FALSE()))),"OLD",IF(AND(E93&lt;&gt;"",E93&lt;&gt;"!!!"),"NEW","")))</f>
        <v/>
      </c>
      <c r="G93" s="22" t="str">
        <f>IF(OR(E93="",E93="!!!"),"",IF(OR(J93=0,AND(J93=1,K93=1),AND(J93=1,I93="SBJ"),AND(J93=1,I93=0)),"?IN_FOCUS",IF(J93&lt;=2,"?ACTIVATED",IF(J93&lt;&gt;"","?FAMILIAR",IF(F93="NEW",IF(ISNA(VLOOKUP(E93,#REF!,1,FALSE())),"?TYPE_IDENTIFIABLE","?REFERENTIAL"),"_")))))</f>
        <v/>
      </c>
      <c r="H93" s="23" t="str">
        <f t="shared" ca="1" si="9"/>
        <v/>
      </c>
      <c r="I93" s="24" t="str">
        <f>IF(OR(E93="",E93="!!!",F93="NEW"),"",INDEX(B$2:B92,-1+SUMPRODUCT(MAX(ROW(E$2:E92)*(E93=E$2:E92)))))</f>
        <v/>
      </c>
      <c r="J93" s="24" t="str">
        <f ca="1">IF(OR(E93="",E93="!!!",F93="NEW"),"",COUNTBLANK(OFFSET(A$1,,,SUMPRODUCT(MAX(ROW(E$2:E93)*(E93=E$2:E93)))))-COUNTBLANK(OFFSET(A$1,,,SUMPRODUCT(MAX(ROW(E$1:E92)*(E2=E$1:E92))))))</f>
        <v/>
      </c>
      <c r="K93" s="24" t="str">
        <f>IF(OR(E93="",E93="!!!",F93="NEW"),"",INDEX(J$1:J92,SUMPRODUCT(MAX(ROW(E$1:E92)*(E93=E$1:E92)))))</f>
        <v/>
      </c>
      <c r="L93" s="25"/>
    </row>
    <row r="94" spans="1:12" x14ac:dyDescent="0.3">
      <c r="A94" t="s">
        <v>197</v>
      </c>
      <c r="E94" s="20" t="str">
        <f t="shared" si="8"/>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9"/>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242</v>
      </c>
      <c r="E95" s="20" t="str">
        <f t="shared" si="8"/>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9"/>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243</v>
      </c>
      <c r="B96" s="26" t="s">
        <v>189</v>
      </c>
      <c r="C96" s="26" t="s">
        <v>194</v>
      </c>
      <c r="D96" s="26" t="s">
        <v>181</v>
      </c>
      <c r="E96" s="20"/>
      <c r="F96" s="21" t="s">
        <v>617</v>
      </c>
      <c r="G96" s="22" t="str">
        <f>IF(OR(E96="",E96="!!!"),"",IF(OR(J96=0,AND(J96=1,K96=1),AND(J96=1,I96="SBJ"),AND(J96=1,I96=0)),"?IN_FOCUS",IF(J96&lt;=2,"?ACTIVATED",IF(J96&lt;&gt;"","?FAMILIAR",IF(F96="NEW",IF(ISNA(VLOOKUP(E96,#REF!,1,FALSE())),"?TYPE_IDENTIFIABLE","?REFERENTIAL"),"_")))))</f>
        <v/>
      </c>
      <c r="H96" s="23" t="str">
        <f t="shared" ca="1" si="9"/>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208</v>
      </c>
      <c r="E97" s="20" t="str">
        <f t="shared" si="8"/>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9"/>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8" spans="1:12" x14ac:dyDescent="0.3">
      <c r="A98" t="s">
        <v>191</v>
      </c>
      <c r="E98" s="20" t="str">
        <f t="shared" si="8"/>
        <v/>
      </c>
      <c r="F98" s="21"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9"/>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5"/>
    </row>
    <row r="99" spans="1:12" x14ac:dyDescent="0.3">
      <c r="A99" t="s">
        <v>244</v>
      </c>
      <c r="E99" s="20" t="str">
        <f t="shared" si="8"/>
        <v/>
      </c>
      <c r="F99" s="21"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9"/>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5"/>
    </row>
    <row r="100" spans="1:12" x14ac:dyDescent="0.3">
      <c r="A100" t="s">
        <v>245</v>
      </c>
      <c r="B100" s="26" t="s">
        <v>177</v>
      </c>
      <c r="C100" s="26" t="s">
        <v>194</v>
      </c>
      <c r="D100" s="26" t="s">
        <v>181</v>
      </c>
      <c r="E100" s="20" t="s">
        <v>644</v>
      </c>
      <c r="F100" s="21" t="str">
        <f>IF(OR(E100="",E100="!!!"),"",IF(NOT(ISNA(VLOOKUP(E100,E$1:E99,1,FALSE()))),"OLD",IF(AND(E100&lt;&gt;"",E100&lt;&gt;"!!!"),"NEW","")))</f>
        <v>NEW</v>
      </c>
      <c r="G100" s="22" t="s">
        <v>696</v>
      </c>
      <c r="H100" s="23" t="str">
        <f t="shared" ca="1" si="9"/>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5"/>
    </row>
    <row r="101" spans="1:12" x14ac:dyDescent="0.3">
      <c r="A101" t="s">
        <v>246</v>
      </c>
      <c r="E101" s="20" t="str">
        <f t="shared" si="8"/>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9"/>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186</v>
      </c>
      <c r="E102" s="20" t="str">
        <f t="shared" si="8"/>
        <v/>
      </c>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9"/>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247</v>
      </c>
      <c r="B103" s="26" t="s">
        <v>169</v>
      </c>
      <c r="C103" s="26" t="s">
        <v>166</v>
      </c>
      <c r="E103" s="20" t="str">
        <f t="shared" si="8"/>
        <v/>
      </c>
      <c r="F103" s="21"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9"/>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173</v>
      </c>
      <c r="B104" s="26" t="s">
        <v>177</v>
      </c>
      <c r="C104" s="26" t="s">
        <v>175</v>
      </c>
      <c r="E104" s="20" t="str">
        <f t="shared" si="8"/>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9"/>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191</v>
      </c>
      <c r="E105" s="20" t="str">
        <f t="shared" si="8"/>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9"/>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248</v>
      </c>
      <c r="E106" s="20" t="str">
        <f t="shared" si="8"/>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9"/>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249</v>
      </c>
      <c r="B107" s="26" t="s">
        <v>189</v>
      </c>
      <c r="C107" s="26" t="s">
        <v>194</v>
      </c>
      <c r="D107" s="26" t="s">
        <v>181</v>
      </c>
      <c r="E107" s="20" t="s">
        <v>618</v>
      </c>
      <c r="F107" s="21" t="str">
        <f>IF(OR(E107="",E107="!!!"),"",IF(NOT(ISNA(VLOOKUP(E107,E$1:E106,1,FALSE()))),"OLD",IF(AND(E107&lt;&gt;"",E107&lt;&gt;"!!!"),"NEW","")))</f>
        <v>NEW</v>
      </c>
      <c r="G107" s="22" t="s">
        <v>156</v>
      </c>
      <c r="H107" s="23" t="str">
        <f t="shared" ca="1" si="9"/>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250</v>
      </c>
      <c r="E108" s="20" t="str">
        <f t="shared" si="8"/>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9"/>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251</v>
      </c>
      <c r="E109" s="20" t="str">
        <f t="shared" si="8"/>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9"/>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3">
      <c r="A110" t="s">
        <v>252</v>
      </c>
      <c r="E110" s="20" t="str">
        <f t="shared" si="8"/>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9"/>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201</v>
      </c>
      <c r="E111" s="20" t="str">
        <f t="shared" si="8"/>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9"/>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3" spans="1:12" x14ac:dyDescent="0.3">
      <c r="A113" t="s">
        <v>253</v>
      </c>
    </row>
    <row r="114" spans="1:12" x14ac:dyDescent="0.3">
      <c r="A114" t="s">
        <v>254</v>
      </c>
      <c r="B114" s="26" t="s">
        <v>185</v>
      </c>
      <c r="C114" s="26" t="s">
        <v>180</v>
      </c>
      <c r="D114" s="26" t="s">
        <v>181</v>
      </c>
      <c r="E114" s="20" t="s">
        <v>619</v>
      </c>
      <c r="F114" s="21" t="str">
        <f>IF(OR(E114="",E114="!!!"),"",IF(NOT(ISNA(VLOOKUP(E114,E$1:E113,1,FALSE()))),"OLD",IF(AND(E114&lt;&gt;"",E114&lt;&gt;"!!!"),"NEW","")))</f>
        <v>NEW</v>
      </c>
      <c r="G114" s="22" t="s">
        <v>699</v>
      </c>
      <c r="H114" s="23" t="str">
        <f t="shared" ref="H114:H145" ca="1" si="10">IF(J114&lt;&gt;1,"",IF(I114="SBJ","CB","?"))</f>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3">
      <c r="A115" t="s">
        <v>255</v>
      </c>
      <c r="E115" s="20" t="str">
        <f t="shared" ref="E115:E145" si="11">IF(D115="?OLD","!!!","")</f>
        <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10"/>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6" spans="1:12" x14ac:dyDescent="0.3">
      <c r="A116" t="s">
        <v>167</v>
      </c>
      <c r="E116" s="20" t="str">
        <f t="shared" si="11"/>
        <v/>
      </c>
      <c r="F116" s="21"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10"/>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3">
      <c r="A117" t="s">
        <v>256</v>
      </c>
      <c r="E117" s="20" t="str">
        <f t="shared" si="11"/>
        <v/>
      </c>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10"/>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row>
    <row r="118" spans="1:12" x14ac:dyDescent="0.3">
      <c r="A118" t="s">
        <v>257</v>
      </c>
      <c r="B118" s="26" t="s">
        <v>189</v>
      </c>
      <c r="C118" s="26" t="s">
        <v>258</v>
      </c>
      <c r="E118" s="20" t="str">
        <f t="shared" si="11"/>
        <v/>
      </c>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10"/>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259</v>
      </c>
      <c r="E119" s="20" t="str">
        <f t="shared" si="11"/>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10"/>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260</v>
      </c>
      <c r="E120" s="20" t="str">
        <f t="shared" si="11"/>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0"/>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261</v>
      </c>
      <c r="B121" s="26" t="s">
        <v>177</v>
      </c>
      <c r="C121" s="26" t="s">
        <v>180</v>
      </c>
      <c r="D121" s="26" t="s">
        <v>181</v>
      </c>
      <c r="E121" s="20" t="s">
        <v>620</v>
      </c>
      <c r="F121" s="21" t="str">
        <f>IF(OR(E121="",E121="!!!"),"",IF(NOT(ISNA(VLOOKUP(E121,E$1:E120,1,FALSE()))),"OLD",IF(AND(E121&lt;&gt;"",E121&lt;&gt;"!!!"),"NEW","")))</f>
        <v>NEW</v>
      </c>
      <c r="G121" s="22" t="s">
        <v>699</v>
      </c>
      <c r="H121" s="23" t="str">
        <f t="shared" ca="1" si="10"/>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3">
      <c r="A122" t="s">
        <v>262</v>
      </c>
      <c r="E122" s="20" t="str">
        <f t="shared" si="11"/>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0"/>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263</v>
      </c>
      <c r="E123" s="20" t="str">
        <f t="shared" si="11"/>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10"/>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3">
      <c r="A124" t="s">
        <v>264</v>
      </c>
      <c r="E124" s="20" t="str">
        <f t="shared" si="11"/>
        <v/>
      </c>
      <c r="F124" s="21" t="str">
        <f>IF(OR(E124="",E124="!!!"),"",IF(NOT(ISNA(VLOOKUP(E124,E$1:E123,1,FALSE()))),"OLD",IF(AND(E124&lt;&gt;"",E124&lt;&gt;"!!!"),"NEW","")))</f>
        <v/>
      </c>
      <c r="G124" s="22" t="str">
        <f>IF(OR(E124="",E124="!!!"),"",IF(OR(J124=0,AND(J124=1,K124=1),AND(J124=1,I124="SBJ"),AND(J124=1,I124=0)),"?IN_FOCUS",IF(J124&lt;=2,"?ACTIVATED",IF(J124&lt;&gt;"","?FAMILIAR",IF(F124="NEW",IF(ISNA(VLOOKUP(E124,#REF!,1,FALSE())),"?TYPE_IDENTIFIABLE","?REFERENTIAL"),"_")))))</f>
        <v/>
      </c>
      <c r="H124" s="23" t="str">
        <f t="shared" ca="1" si="10"/>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5"/>
    </row>
    <row r="125" spans="1:12" x14ac:dyDescent="0.3">
      <c r="A125" t="s">
        <v>265</v>
      </c>
      <c r="E125" s="20" t="str">
        <f t="shared" si="11"/>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0"/>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6" spans="1:12" x14ac:dyDescent="0.3">
      <c r="A126" t="s">
        <v>266</v>
      </c>
      <c r="B126" s="26" t="s">
        <v>174</v>
      </c>
      <c r="C126" s="26" t="s">
        <v>180</v>
      </c>
      <c r="D126" s="26" t="s">
        <v>181</v>
      </c>
      <c r="E126" s="20"/>
      <c r="F126" s="21"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10"/>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5"/>
    </row>
    <row r="127" spans="1:12" x14ac:dyDescent="0.3">
      <c r="A127" t="s">
        <v>267</v>
      </c>
      <c r="E127" s="20" t="str">
        <f t="shared" si="11"/>
        <v/>
      </c>
      <c r="F127" s="21" t="str">
        <f>IF(OR(E127="",E127="!!!"),"",IF(NOT(ISNA(VLOOKUP(E127,E$1:E126,1,FALSE()))),"OLD",IF(AND(E127&lt;&gt;"",E127&lt;&gt;"!!!"),"NEW","")))</f>
        <v/>
      </c>
      <c r="G127" s="22" t="str">
        <f>IF(OR(E127="",E127="!!!"),"",IF(OR(J127=0,AND(J127=1,K127=1),AND(J127=1,I127="SBJ"),AND(J127=1,I127=0)),"?IN_FOCUS",IF(J127&lt;=2,"?ACTIVATED",IF(J127&lt;&gt;"","?FAMILIAR",IF(F127="NEW",IF(ISNA(VLOOKUP(E127,#REF!,1,FALSE())),"?TYPE_IDENTIFIABLE","?REFERENTIAL"),"_")))))</f>
        <v/>
      </c>
      <c r="H127" s="23" t="str">
        <f t="shared" ca="1" si="10"/>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5"/>
    </row>
    <row r="128" spans="1:12" x14ac:dyDescent="0.3">
      <c r="A128" t="s">
        <v>219</v>
      </c>
      <c r="E128" s="20" t="str">
        <f t="shared" si="11"/>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10"/>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3">
      <c r="A129" t="s">
        <v>268</v>
      </c>
      <c r="E129" s="20" t="s">
        <v>614</v>
      </c>
      <c r="F129" s="21" t="str">
        <f>IF(OR(E129="",E129="!!!"),"",IF(NOT(ISNA(VLOOKUP(E129,E$1:E128,1,FALSE()))),"OLD",IF(AND(E129&lt;&gt;"",E129&lt;&gt;"!!!"),"NEW","")))</f>
        <v>OLD</v>
      </c>
      <c r="G129" s="22" t="s">
        <v>697</v>
      </c>
      <c r="H129" s="23" t="s">
        <v>158</v>
      </c>
      <c r="I129" s="24" t="str">
        <f>IF(OR(E129="",E129="!!!",F129="NEW"),"",INDEX(B$2:B128,-1+SUMPRODUCT(MAX(ROW(E$2:E128)*(E129=E$2:E128)))))</f>
        <v>other_2</v>
      </c>
      <c r="J129" s="24">
        <f ca="1">IF(OR(E129="",E129="!!!",F129="NEW"),"",COUNTBLANK(OFFSET(A$1,,,SUMPRODUCT(MAX(ROW(E$2:E129)*(E129=E$2:E129)))))-COUNTBLANK(OFFSET(A$1,,,SUMPRODUCT(MAX(ROW(E$1:E128)*(E2=E$1:E128))))))</f>
        <v>0</v>
      </c>
      <c r="K129" s="24">
        <f ca="1">IF(OR(E129="",E129="!!!",F129="NEW"),"",INDEX(J$1:J128,SUMPRODUCT(MAX(ROW(E$1:E128)*(E129=E$1:E128)))))</f>
        <v>0</v>
      </c>
      <c r="L129" s="25" t="s">
        <v>621</v>
      </c>
    </row>
    <row r="130" spans="1:12" x14ac:dyDescent="0.3">
      <c r="A130" t="s">
        <v>167</v>
      </c>
      <c r="E130" s="20" t="str">
        <f t="shared" si="11"/>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0"/>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239</v>
      </c>
      <c r="E131" s="20" t="str">
        <f t="shared" si="11"/>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0"/>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208</v>
      </c>
      <c r="E132" s="20" t="str">
        <f t="shared" si="11"/>
        <v/>
      </c>
      <c r="F132" s="21"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ca="1" si="10"/>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5"/>
    </row>
    <row r="133" spans="1:12" x14ac:dyDescent="0.3">
      <c r="A133" t="s">
        <v>167</v>
      </c>
      <c r="E133" s="20" t="str">
        <f t="shared" si="11"/>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0"/>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240</v>
      </c>
      <c r="E134" s="20" t="str">
        <f t="shared" si="11"/>
        <v/>
      </c>
      <c r="F134" s="21"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10"/>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269</v>
      </c>
      <c r="B135" s="26" t="s">
        <v>172</v>
      </c>
      <c r="E135" s="20" t="str">
        <f t="shared" si="11"/>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10"/>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6" spans="1:12" x14ac:dyDescent="0.3">
      <c r="A136" t="s">
        <v>270</v>
      </c>
      <c r="E136" s="20" t="str">
        <f t="shared" si="11"/>
        <v/>
      </c>
      <c r="F136" s="21"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10"/>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3">
      <c r="A137" t="s">
        <v>271</v>
      </c>
      <c r="B137" s="26" t="s">
        <v>169</v>
      </c>
      <c r="C137" s="26" t="s">
        <v>194</v>
      </c>
      <c r="D137" s="26" t="s">
        <v>181</v>
      </c>
      <c r="E137" s="20" t="s">
        <v>681</v>
      </c>
      <c r="F137" s="21" t="str">
        <f>IF(OR(E137="",E137="!!!"),"",IF(NOT(ISNA(VLOOKUP(E137,E$1:E136,1,FALSE()))),"OLD",IF(AND(E137&lt;&gt;"",E137&lt;&gt;"!!!"),"NEW","")))</f>
        <v>NEW</v>
      </c>
      <c r="G137" s="22" t="s">
        <v>699</v>
      </c>
      <c r="H137" s="23" t="str">
        <f t="shared" ca="1" si="10"/>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259</v>
      </c>
      <c r="E138" s="20" t="str">
        <f t="shared" si="11"/>
        <v/>
      </c>
      <c r="F138" s="21"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10"/>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5"/>
    </row>
    <row r="139" spans="1:12" x14ac:dyDescent="0.3">
      <c r="A139" t="s">
        <v>272</v>
      </c>
      <c r="B139" s="26" t="s">
        <v>177</v>
      </c>
      <c r="C139" s="26" t="s">
        <v>166</v>
      </c>
      <c r="E139" s="20" t="str">
        <f t="shared" si="11"/>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10"/>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167</v>
      </c>
      <c r="E140" s="20" t="str">
        <f t="shared" si="11"/>
        <v/>
      </c>
      <c r="F140" s="21"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10"/>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5"/>
    </row>
    <row r="141" spans="1:12" x14ac:dyDescent="0.3">
      <c r="A141" t="s">
        <v>273</v>
      </c>
      <c r="B141" s="26" t="s">
        <v>174</v>
      </c>
      <c r="C141" s="26" t="s">
        <v>166</v>
      </c>
      <c r="E141" s="20" t="str">
        <f t="shared" si="11"/>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0"/>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186</v>
      </c>
      <c r="E142" s="20" t="str">
        <f t="shared" si="11"/>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0"/>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3">
      <c r="A143" t="s">
        <v>274</v>
      </c>
      <c r="B143" s="26" t="s">
        <v>174</v>
      </c>
      <c r="C143" s="26" t="s">
        <v>166</v>
      </c>
      <c r="E143" s="20" t="str">
        <f t="shared" si="11"/>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0"/>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3">
      <c r="A144" t="s">
        <v>275</v>
      </c>
      <c r="E144" s="20" t="str">
        <f t="shared" si="11"/>
        <v/>
      </c>
      <c r="F144" s="21"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10"/>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5"/>
    </row>
    <row r="145" spans="1:12" x14ac:dyDescent="0.3">
      <c r="A145" t="s">
        <v>201</v>
      </c>
      <c r="E145" s="20" t="str">
        <f t="shared" si="11"/>
        <v/>
      </c>
      <c r="F145" s="21"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10"/>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7" spans="1:12" x14ac:dyDescent="0.3">
      <c r="A147" t="s">
        <v>276</v>
      </c>
    </row>
    <row r="148" spans="1:12" x14ac:dyDescent="0.3">
      <c r="A148" t="s">
        <v>255</v>
      </c>
      <c r="B148" s="26" t="s">
        <v>185</v>
      </c>
      <c r="C148" s="26" t="s">
        <v>277</v>
      </c>
      <c r="D148" s="26" t="s">
        <v>181</v>
      </c>
      <c r="E148" s="20" t="s">
        <v>619</v>
      </c>
      <c r="F148" s="21" t="str">
        <f>IF(OR(E148="",E148="!!!"),"",IF(NOT(ISNA(VLOOKUP(E148,E$1:E147,1,FALSE()))),"OLD",IF(AND(E148&lt;&gt;"",E148&lt;&gt;"!!!"),"NEW","")))</f>
        <v>OLD</v>
      </c>
      <c r="G148" s="22" t="s">
        <v>697</v>
      </c>
      <c r="H148" s="23" t="s">
        <v>158</v>
      </c>
      <c r="I148" s="24" t="str">
        <f>IF(OR(E148="",E148="!!!",F148="NEW"),"",INDEX(B$2:B147,-1+SUMPRODUCT(MAX(ROW(E$2:E147)*(E148=E$2:E147)))))</f>
        <v>SBJ</v>
      </c>
      <c r="J148" s="24">
        <f ca="1">IF(OR(E148="",E148="!!!",F148="NEW"),"",COUNTBLANK(OFFSET(A$1,,,SUMPRODUCT(MAX(ROW(E$2:E148)*(E148=E$2:E148)))))-COUNTBLANK(OFFSET(A$1,,,SUMPRODUCT(MAX(ROW(E$1:E147)*(E2=E$1:E147))))))</f>
        <v>0</v>
      </c>
      <c r="K148" s="24" t="str">
        <f ca="1">IF(OR(E148="",E148="!!!",F148="NEW"),"",INDEX(J$1:J147,SUMPRODUCT(MAX(ROW(E$1:E147)*(E148=E$1:E147)))))</f>
        <v/>
      </c>
      <c r="L148" s="25"/>
    </row>
    <row r="149" spans="1:12" x14ac:dyDescent="0.3">
      <c r="A149" t="s">
        <v>278</v>
      </c>
      <c r="E149" s="20" t="str">
        <f t="shared" ref="E149:E160" si="12">IF(D149="?OLD","!!!","")</f>
        <v/>
      </c>
      <c r="F149" s="21"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ref="H149:H160" ca="1" si="13">IF(J149&lt;&gt;1,"",IF(I149="SBJ","CB","?"))</f>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167</v>
      </c>
      <c r="E150" s="20" t="str">
        <f t="shared" si="12"/>
        <v/>
      </c>
      <c r="F150" s="21"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13"/>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5"/>
    </row>
    <row r="151" spans="1:12" x14ac:dyDescent="0.3">
      <c r="A151" t="s">
        <v>240</v>
      </c>
      <c r="E151" s="20" t="str">
        <f t="shared" si="12"/>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3"/>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279</v>
      </c>
      <c r="E152" s="20" t="str">
        <f t="shared" si="12"/>
        <v/>
      </c>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3"/>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270</v>
      </c>
      <c r="E153" s="20" t="str">
        <f t="shared" si="12"/>
        <v/>
      </c>
      <c r="F153" s="21"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13"/>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row>
    <row r="154" spans="1:12" x14ac:dyDescent="0.3">
      <c r="A154" t="s">
        <v>280</v>
      </c>
      <c r="B154" s="26" t="s">
        <v>169</v>
      </c>
      <c r="C154" s="26" t="s">
        <v>194</v>
      </c>
      <c r="D154" s="26" t="s">
        <v>181</v>
      </c>
      <c r="E154" s="20"/>
      <c r="F154" s="21" t="s">
        <v>615</v>
      </c>
      <c r="G154" s="22" t="str">
        <f>IF(OR(E154="",E154="!!!"),"",IF(OR(J154=0,AND(J154=1,K154=1),AND(J154=1,I154="SBJ"),AND(J154=1,I154=0)),"?IN_FOCUS",IF(J154&lt;=2,"?ACTIVATED",IF(J154&lt;&gt;"","?FAMILIAR",IF(F154="NEW",IF(ISNA(VLOOKUP(E154,#REF!,1,FALSE())),"?TYPE_IDENTIFIABLE","?REFERENTIAL"),"_")))))</f>
        <v/>
      </c>
      <c r="H154" s="23" t="str">
        <f t="shared" ca="1" si="13"/>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281</v>
      </c>
      <c r="B155" s="26" t="s">
        <v>177</v>
      </c>
      <c r="C155" s="26" t="s">
        <v>180</v>
      </c>
      <c r="D155" s="26" t="s">
        <v>181</v>
      </c>
      <c r="E155" s="20" t="s">
        <v>622</v>
      </c>
      <c r="F155" s="21" t="str">
        <f>IF(OR(E155="",E155="!!!"),"",IF(NOT(ISNA(VLOOKUP(E155,E$1:E154,1,FALSE()))),"OLD",IF(AND(E155&lt;&gt;"",E155&lt;&gt;"!!!"),"NEW","")))</f>
        <v>NEW</v>
      </c>
      <c r="G155" s="22" t="s">
        <v>156</v>
      </c>
      <c r="H155" s="23" t="str">
        <f t="shared" ca="1" si="13"/>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282</v>
      </c>
      <c r="E156" s="20" t="str">
        <f t="shared" si="12"/>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13"/>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3">
      <c r="A157" t="s">
        <v>274</v>
      </c>
      <c r="B157" s="26" t="s">
        <v>169</v>
      </c>
      <c r="C157" s="26" t="s">
        <v>215</v>
      </c>
      <c r="E157" s="20" t="str">
        <f t="shared" si="12"/>
        <v/>
      </c>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13"/>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283</v>
      </c>
      <c r="E158" s="20" t="str">
        <f t="shared" si="12"/>
        <v/>
      </c>
      <c r="F158" s="21" t="str">
        <f>IF(OR(E158="",E158="!!!"),"",IF(NOT(ISNA(VLOOKUP(E158,E$1:E157,1,FALSE()))),"OLD",IF(AND(E158&lt;&gt;"",E158&lt;&gt;"!!!"),"NEW","")))</f>
        <v/>
      </c>
      <c r="G158" s="22" t="str">
        <f>IF(OR(E158="",E158="!!!"),"",IF(OR(J158=0,AND(J158=1,K158=1),AND(J158=1,I158="SBJ"),AND(J158=1,I158=0)),"?IN_FOCUS",IF(J158&lt;=2,"?ACTIVATED",IF(J158&lt;&gt;"","?FAMILIAR",IF(F158="NEW",IF(ISNA(VLOOKUP(E158,#REF!,1,FALSE())),"?TYPE_IDENTIFIABLE","?REFERENTIAL"),"_")))))</f>
        <v/>
      </c>
      <c r="H158" s="23" t="str">
        <f t="shared" ca="1" si="13"/>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59" spans="1:12" x14ac:dyDescent="0.3">
      <c r="A159" t="s">
        <v>284</v>
      </c>
      <c r="E159" s="20" t="str">
        <f t="shared" si="12"/>
        <v/>
      </c>
      <c r="F159" s="21"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13"/>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5"/>
    </row>
    <row r="160" spans="1:12" x14ac:dyDescent="0.3">
      <c r="A160" t="s">
        <v>201</v>
      </c>
      <c r="E160" s="20" t="str">
        <f t="shared" si="12"/>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13"/>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2" spans="1:12" x14ac:dyDescent="0.3">
      <c r="A162" t="s">
        <v>285</v>
      </c>
    </row>
    <row r="163" spans="1:12" x14ac:dyDescent="0.3">
      <c r="A163" t="s">
        <v>286</v>
      </c>
      <c r="E163" s="20" t="str">
        <f t="shared" ref="E163:E176" si="14">IF(D163="?OLD","!!!","")</f>
        <v/>
      </c>
      <c r="F163" s="21"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ref="H163:H176" ca="1" si="15">IF(J163&lt;&gt;1,"",IF(I163="SBJ","CB","?"))</f>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5"/>
    </row>
    <row r="164" spans="1:12" x14ac:dyDescent="0.3">
      <c r="A164" t="s">
        <v>287</v>
      </c>
      <c r="B164" s="26" t="s">
        <v>185</v>
      </c>
      <c r="C164" s="26" t="s">
        <v>258</v>
      </c>
      <c r="E164" s="20" t="str">
        <f t="shared" si="14"/>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ca="1" si="15"/>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204</v>
      </c>
      <c r="E165" s="20" t="str">
        <f t="shared" si="14"/>
        <v/>
      </c>
      <c r="F165" s="21" t="str">
        <f>IF(OR(E165="",E165="!!!"),"",IF(NOT(ISNA(VLOOKUP(E165,E$1:E164,1,FALSE()))),"OLD",IF(AND(E165&lt;&gt;"",E165&lt;&gt;"!!!"),"NEW","")))</f>
        <v/>
      </c>
      <c r="G165" s="22" t="str">
        <f>IF(OR(E165="",E165="!!!"),"",IF(OR(J165=0,AND(J165=1,K165=1),AND(J165=1,I165="SBJ"),AND(J165=1,I165=0)),"?IN_FOCUS",IF(J165&lt;=2,"?ACTIVATED",IF(J165&lt;&gt;"","?FAMILIAR",IF(F165="NEW",IF(ISNA(VLOOKUP(E165,#REF!,1,FALSE())),"?TYPE_IDENTIFIABLE","?REFERENTIAL"),"_")))))</f>
        <v/>
      </c>
      <c r="H165" s="23" t="str">
        <f t="shared" ca="1" si="15"/>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3">
      <c r="A166" t="s">
        <v>207</v>
      </c>
      <c r="E166" s="20" t="str">
        <f t="shared" si="14"/>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5"/>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288</v>
      </c>
      <c r="E167" s="20" t="str">
        <f t="shared" si="14"/>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5"/>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8" spans="1:12" x14ac:dyDescent="0.3">
      <c r="A168" t="s">
        <v>289</v>
      </c>
      <c r="B168" s="26" t="s">
        <v>165</v>
      </c>
      <c r="C168" s="26" t="s">
        <v>166</v>
      </c>
      <c r="E168" s="20" t="str">
        <f t="shared" si="14"/>
        <v/>
      </c>
      <c r="F168" s="21"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15"/>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5"/>
    </row>
    <row r="169" spans="1:12" x14ac:dyDescent="0.3">
      <c r="A169" t="s">
        <v>178</v>
      </c>
      <c r="E169" s="20" t="str">
        <f t="shared" si="14"/>
        <v/>
      </c>
      <c r="F169" s="21"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15"/>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5"/>
    </row>
    <row r="170" spans="1:12" x14ac:dyDescent="0.3">
      <c r="A170" t="s">
        <v>197</v>
      </c>
      <c r="E170" s="20" t="str">
        <f t="shared" si="14"/>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15"/>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218</v>
      </c>
      <c r="B171" s="26" t="s">
        <v>165</v>
      </c>
      <c r="C171" s="26" t="s">
        <v>290</v>
      </c>
      <c r="D171" s="26" t="s">
        <v>181</v>
      </c>
      <c r="E171" s="20" t="s">
        <v>623</v>
      </c>
      <c r="F171" s="21" t="str">
        <f>IF(OR(E171="",E171="!!!"),"",IF(NOT(ISNA(VLOOKUP(E171,E$1:E170,1,FALSE()))),"OLD",IF(AND(E171&lt;&gt;"",E171&lt;&gt;"!!!"),"NEW","")))</f>
        <v>NEW</v>
      </c>
      <c r="G171" s="22" t="s">
        <v>699</v>
      </c>
      <c r="H171" s="23" t="str">
        <f t="shared" ca="1" si="15"/>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217</v>
      </c>
      <c r="B172" s="26" t="s">
        <v>189</v>
      </c>
      <c r="C172" s="26" t="s">
        <v>180</v>
      </c>
      <c r="D172" s="26" t="s">
        <v>181</v>
      </c>
      <c r="E172" s="20" t="s">
        <v>607</v>
      </c>
      <c r="F172" s="21" t="str">
        <f>IF(OR(E172="",E172="!!!"),"",IF(NOT(ISNA(VLOOKUP(E172,E$1:E171,1,FALSE()))),"OLD",IF(AND(E172&lt;&gt;"",E172&lt;&gt;"!!!"),"NEW","")))</f>
        <v>OLD</v>
      </c>
      <c r="G172" s="22" t="s">
        <v>696</v>
      </c>
      <c r="H172" s="23" t="str">
        <f t="shared" ca="1" si="15"/>
        <v/>
      </c>
      <c r="I172" s="24" t="str">
        <f>IF(OR(E172="",E172="!!!",F172="NEW"),"",INDEX(B$2:B171,-1+SUMPRODUCT(MAX(ROW(E$2:E171)*(E172=E$2:E171)))))</f>
        <v>other_2</v>
      </c>
      <c r="J172" s="24">
        <f ca="1">IF(OR(E172="",E172="!!!",F172="NEW"),"",COUNTBLANK(OFFSET(A$1,,,SUMPRODUCT(MAX(ROW(E$2:E172)*(E172=E$2:E172)))))-COUNTBLANK(OFFSET(A$1,,,SUMPRODUCT(MAX(ROW(E$1:E171)*(E2=E$1:E171))))))</f>
        <v>0</v>
      </c>
      <c r="K172" s="24">
        <f ca="1">IF(OR(E172="",E172="!!!",F172="NEW"),"",INDEX(J$1:J171,SUMPRODUCT(MAX(ROW(E$1:E171)*(E172=E$1:E171)))))</f>
        <v>0</v>
      </c>
      <c r="L172" s="25"/>
    </row>
    <row r="173" spans="1:12" x14ac:dyDescent="0.3">
      <c r="A173" t="s">
        <v>291</v>
      </c>
      <c r="E173" s="20" t="str">
        <f t="shared" si="14"/>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15"/>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206</v>
      </c>
      <c r="B174" s="26" t="s">
        <v>165</v>
      </c>
      <c r="C174" s="26" t="s">
        <v>180</v>
      </c>
      <c r="D174" s="26" t="s">
        <v>181</v>
      </c>
      <c r="E174" s="20" t="s">
        <v>610</v>
      </c>
      <c r="F174" s="21" t="str">
        <f>IF(OR(E174="",E174="!!!"),"",IF(NOT(ISNA(VLOOKUP(E174,E$1:E173,1,FALSE()))),"OLD",IF(AND(E174&lt;&gt;"",E174&lt;&gt;"!!!"),"NEW","")))</f>
        <v>OLD</v>
      </c>
      <c r="G174" s="22" t="s">
        <v>696</v>
      </c>
      <c r="H174" s="23" t="str">
        <f t="shared" ca="1" si="15"/>
        <v/>
      </c>
      <c r="I174" s="24" t="str">
        <f>IF(OR(E174="",E174="!!!",F174="NEW"),"",INDEX(B$2:B173,-1+SUMPRODUCT(MAX(ROW(E$2:E173)*(E174=E$2:E173)))))</f>
        <v>SBJ</v>
      </c>
      <c r="J174" s="24">
        <f ca="1">IF(OR(E174="",E174="!!!",F174="NEW"),"",COUNTBLANK(OFFSET(A$1,,,SUMPRODUCT(MAX(ROW(E$2:E174)*(E174=E$2:E174)))))-COUNTBLANK(OFFSET(A$1,,,SUMPRODUCT(MAX(ROW(E$1:E173)*(E2=E$1:E173))))))</f>
        <v>0</v>
      </c>
      <c r="K174" s="24">
        <f ca="1">IF(OR(E174="",E174="!!!",F174="NEW"),"",INDEX(J$1:J173,SUMPRODUCT(MAX(ROW(E$1:E173)*(E174=E$1:E173)))))</f>
        <v>0</v>
      </c>
      <c r="L174" s="25"/>
    </row>
    <row r="175" spans="1:12" x14ac:dyDescent="0.3">
      <c r="A175" t="s">
        <v>292</v>
      </c>
      <c r="E175" s="20" t="str">
        <f t="shared" si="14"/>
        <v/>
      </c>
      <c r="F175" s="21"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15"/>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3">
      <c r="A176" t="s">
        <v>201</v>
      </c>
      <c r="E176" s="20" t="str">
        <f t="shared" si="14"/>
        <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t="shared" ca="1" si="15"/>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8" spans="1:12" x14ac:dyDescent="0.3">
      <c r="A178" t="s">
        <v>293</v>
      </c>
    </row>
    <row r="179" spans="1:12" x14ac:dyDescent="0.3">
      <c r="A179" t="s">
        <v>234</v>
      </c>
      <c r="E179" s="20" t="str">
        <f t="shared" ref="E179:E197" si="16">IF(D179="?OLD","!!!","")</f>
        <v/>
      </c>
      <c r="F179" s="21"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ref="H179:H197" ca="1" si="17">IF(J179&lt;&gt;1,"",IF(I179="SBJ","CB","?"))</f>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5"/>
    </row>
    <row r="180" spans="1:12" x14ac:dyDescent="0.3">
      <c r="A180" t="s">
        <v>232</v>
      </c>
      <c r="B180" s="26" t="s">
        <v>185</v>
      </c>
      <c r="C180" s="26" t="s">
        <v>194</v>
      </c>
      <c r="D180" s="26" t="s">
        <v>181</v>
      </c>
      <c r="E180" s="20" t="s">
        <v>624</v>
      </c>
      <c r="F180" s="21" t="str">
        <f>IF(OR(E180="",E180="!!!"),"",IF(NOT(ISNA(VLOOKUP(E180,E$1:E179,1,FALSE()))),"OLD",IF(AND(E180&lt;&gt;"",E180&lt;&gt;"!!!"),"NEW","")))</f>
        <v>NEW</v>
      </c>
      <c r="G180" s="22" t="s">
        <v>699</v>
      </c>
      <c r="H180" s="23" t="str">
        <f t="shared" ca="1" si="17"/>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3">
      <c r="A181" t="s">
        <v>294</v>
      </c>
      <c r="E181" s="20" t="str">
        <f t="shared" si="16"/>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17"/>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295</v>
      </c>
      <c r="E182" s="20" t="str">
        <f t="shared" si="16"/>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17"/>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167</v>
      </c>
      <c r="E183" s="20" t="str">
        <f t="shared" si="16"/>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17"/>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240</v>
      </c>
      <c r="E184" s="20" t="str">
        <f t="shared" si="16"/>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17"/>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178</v>
      </c>
      <c r="E185" s="20" t="str">
        <f t="shared" si="16"/>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17"/>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296</v>
      </c>
      <c r="B186" s="26" t="s">
        <v>177</v>
      </c>
      <c r="C186" s="26" t="s">
        <v>297</v>
      </c>
      <c r="D186" s="26" t="s">
        <v>181</v>
      </c>
      <c r="E186" s="20"/>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7"/>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t="s">
        <v>625</v>
      </c>
    </row>
    <row r="187" spans="1:12" x14ac:dyDescent="0.3">
      <c r="A187" t="s">
        <v>298</v>
      </c>
      <c r="B187" s="26" t="s">
        <v>189</v>
      </c>
      <c r="C187" s="26" t="s">
        <v>299</v>
      </c>
      <c r="D187" s="26" t="s">
        <v>181</v>
      </c>
      <c r="E187" s="20" t="s">
        <v>623</v>
      </c>
      <c r="F187" s="21" t="str">
        <f>IF(OR(E187="",E187="!!!"),"",IF(NOT(ISNA(VLOOKUP(E187,E$1:E186,1,FALSE()))),"OLD",IF(AND(E187&lt;&gt;"",E187&lt;&gt;"!!!"),"NEW","")))</f>
        <v>OLD</v>
      </c>
      <c r="G187" s="22" t="s">
        <v>698</v>
      </c>
      <c r="H187" s="23" t="s">
        <v>158</v>
      </c>
      <c r="I187" s="24" t="str">
        <f>IF(OR(E187="",E187="!!!",F187="NEW"),"",INDEX(B$2:B186,-1+SUMPRODUCT(MAX(ROW(E$2:E186)*(E187=E$2:E186)))))</f>
        <v>other</v>
      </c>
      <c r="J187" s="24">
        <f ca="1">IF(OR(E187="",E187="!!!",F187="NEW"),"",COUNTBLANK(OFFSET(A$1,,,SUMPRODUCT(MAX(ROW(E$2:E187)*(E187=E$2:E187)))))-COUNTBLANK(OFFSET(A$1,,,SUMPRODUCT(MAX(ROW(E$1:E186)*(E2=E$1:E186))))))</f>
        <v>0</v>
      </c>
      <c r="K187" s="24" t="str">
        <f ca="1">IF(OR(E187="",E187="!!!",F187="NEW"),"",INDEX(J$1:J186,SUMPRODUCT(MAX(ROW(E$1:E186)*(E187=E$1:E186)))))</f>
        <v/>
      </c>
      <c r="L187" s="25"/>
    </row>
    <row r="188" spans="1:12" x14ac:dyDescent="0.3">
      <c r="A188" t="s">
        <v>300</v>
      </c>
      <c r="E188" s="20" t="str">
        <f t="shared" si="16"/>
        <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7"/>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20</v>
      </c>
      <c r="E189" s="20" t="str">
        <f t="shared" si="16"/>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7"/>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291</v>
      </c>
      <c r="E190" s="20" t="str">
        <f t="shared" si="16"/>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7"/>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30</v>
      </c>
      <c r="E191" s="20" t="str">
        <f t="shared" si="16"/>
        <v/>
      </c>
      <c r="F191" s="21"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7"/>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row>
    <row r="192" spans="1:12" x14ac:dyDescent="0.3">
      <c r="A192" t="s">
        <v>301</v>
      </c>
      <c r="B192" s="26" t="s">
        <v>169</v>
      </c>
      <c r="C192" s="26" t="s">
        <v>215</v>
      </c>
      <c r="E192" s="20" t="str">
        <f t="shared" si="16"/>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7"/>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3">
      <c r="A193" t="s">
        <v>196</v>
      </c>
      <c r="E193" s="20" t="str">
        <f t="shared" si="16"/>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17"/>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302</v>
      </c>
      <c r="B194" s="26" t="s">
        <v>189</v>
      </c>
      <c r="C194" s="26" t="s">
        <v>166</v>
      </c>
      <c r="E194" s="20" t="str">
        <f t="shared" si="16"/>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7"/>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303</v>
      </c>
      <c r="E195" s="20" t="str">
        <f t="shared" si="16"/>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17"/>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304</v>
      </c>
      <c r="E196" s="20" t="str">
        <f t="shared" si="16"/>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17"/>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7" spans="1:12" x14ac:dyDescent="0.3">
      <c r="A197" t="s">
        <v>201</v>
      </c>
      <c r="E197" s="20" t="str">
        <f t="shared" si="16"/>
        <v/>
      </c>
      <c r="F197" s="21"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7"/>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5"/>
    </row>
    <row r="199" spans="1:12" x14ac:dyDescent="0.3">
      <c r="A199" t="s">
        <v>305</v>
      </c>
    </row>
    <row r="200" spans="1:12" x14ac:dyDescent="0.3">
      <c r="A200" t="s">
        <v>306</v>
      </c>
      <c r="E200" s="20" t="str">
        <f t="shared" ref="E200:E220" si="18">IF(D200="?OLD","!!!","")</f>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ref="H200:H220" ca="1" si="19">IF(J200&lt;&gt;1,"",IF(I200="SBJ","CB","?"))</f>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197</v>
      </c>
      <c r="E201" s="20" t="str">
        <f t="shared" si="18"/>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9"/>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218</v>
      </c>
      <c r="B202" s="26" t="s">
        <v>165</v>
      </c>
      <c r="C202" s="26" t="s">
        <v>290</v>
      </c>
      <c r="D202" s="26" t="s">
        <v>181</v>
      </c>
      <c r="E202" s="20" t="s">
        <v>626</v>
      </c>
      <c r="F202" s="21" t="str">
        <f>IF(OR(E202="",E202="!!!"),"",IF(NOT(ISNA(VLOOKUP(E202,E$1:E201,1,FALSE()))),"OLD",IF(AND(E202&lt;&gt;"",E202&lt;&gt;"!!!"),"NEW","")))</f>
        <v>NEW</v>
      </c>
      <c r="G202" s="22" t="s">
        <v>699</v>
      </c>
      <c r="H202" s="23" t="str">
        <f t="shared" ca="1" si="19"/>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307</v>
      </c>
      <c r="B203" s="26" t="s">
        <v>189</v>
      </c>
      <c r="C203" s="26" t="s">
        <v>180</v>
      </c>
      <c r="D203" s="26" t="s">
        <v>181</v>
      </c>
      <c r="E203" s="20" t="s">
        <v>627</v>
      </c>
      <c r="F203" s="21" t="str">
        <f>IF(OR(E203="",E203="!!!"),"",IF(NOT(ISNA(VLOOKUP(E203,E$1:E202,1,FALSE()))),"OLD",IF(AND(E203&lt;&gt;"",E203&lt;&gt;"!!!"),"NEW","")))</f>
        <v>NEW</v>
      </c>
      <c r="G203" s="22" t="s">
        <v>696</v>
      </c>
      <c r="H203" s="23" t="str">
        <f t="shared" ca="1" si="19"/>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308</v>
      </c>
      <c r="E204" s="20" t="str">
        <f t="shared" si="18"/>
        <v/>
      </c>
      <c r="F204" s="21"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9"/>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3">
      <c r="A205" t="s">
        <v>196</v>
      </c>
      <c r="E205" s="20" t="str">
        <f t="shared" si="18"/>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9"/>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197</v>
      </c>
      <c r="E206" s="20" t="str">
        <f t="shared" si="18"/>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9"/>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198</v>
      </c>
      <c r="B207" s="26" t="s">
        <v>165</v>
      </c>
      <c r="C207" s="26" t="s">
        <v>180</v>
      </c>
      <c r="D207" s="26" t="s">
        <v>181</v>
      </c>
      <c r="E207" s="20" t="s">
        <v>609</v>
      </c>
      <c r="F207" s="21" t="str">
        <f>IF(OR(E207="",E207="!!!"),"",IF(NOT(ISNA(VLOOKUP(E207,E$1:E206,1,FALSE()))),"OLD",IF(AND(E207&lt;&gt;"",E207&lt;&gt;"!!!"),"NEW","")))</f>
        <v>OLD</v>
      </c>
      <c r="G207" s="22" t="s">
        <v>696</v>
      </c>
      <c r="H207" s="23" t="str">
        <f t="shared" ca="1" si="19"/>
        <v/>
      </c>
      <c r="I207" s="24" t="str">
        <f>IF(OR(E207="",E207="!!!",F207="NEW"),"",INDEX(B$2:B206,-1+SUMPRODUCT(MAX(ROW(E$2:E206)*(E207=E$2:E206)))))</f>
        <v>other_2</v>
      </c>
      <c r="J207" s="24">
        <f ca="1">IF(OR(E207="",E207="!!!",F207="NEW"),"",COUNTBLANK(OFFSET(A$1,,,SUMPRODUCT(MAX(ROW(E$2:E207)*(E207=E$2:E207)))))-COUNTBLANK(OFFSET(A$1,,,SUMPRODUCT(MAX(ROW(E$1:E206)*(E2=E$1:E206))))))</f>
        <v>0</v>
      </c>
      <c r="K207" s="24">
        <f ca="1">IF(OR(E207="",E207="!!!",F207="NEW"),"",INDEX(J$1:J206,SUMPRODUCT(MAX(ROW(E$1:E206)*(E207=E$1:E206)))))</f>
        <v>0</v>
      </c>
      <c r="L207" s="25"/>
    </row>
    <row r="208" spans="1:12" x14ac:dyDescent="0.3">
      <c r="A208" t="s">
        <v>256</v>
      </c>
      <c r="E208" s="20" t="str">
        <f t="shared" si="18"/>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19"/>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309</v>
      </c>
      <c r="B209" s="26" t="s">
        <v>185</v>
      </c>
      <c r="C209" s="26" t="s">
        <v>258</v>
      </c>
      <c r="E209" s="20" t="str">
        <f t="shared" si="18"/>
        <v/>
      </c>
      <c r="F209" s="21" t="str">
        <f>IF(OR(E209="",E209="!!!"),"",IF(NOT(ISNA(VLOOKUP(E209,E$1:E208,1,FALSE()))),"OLD",IF(AND(E209&lt;&gt;"",E209&lt;&gt;"!!!"),"NEW","")))</f>
        <v/>
      </c>
      <c r="G209" s="22" t="str">
        <f>IF(OR(E209="",E209="!!!"),"",IF(OR(J209=0,AND(J209=1,K209=1),AND(J209=1,I209="SBJ"),AND(J209=1,I209=0)),"?IN_FOCUS",IF(J209&lt;=2,"?ACTIVATED",IF(J209&lt;&gt;"","?FAMILIAR",IF(F209="NEW",IF(ISNA(VLOOKUP(E209,#REF!,1,FALSE())),"?TYPE_IDENTIFIABLE","?REFERENTIAL"),"_")))))</f>
        <v/>
      </c>
      <c r="H209" s="23" t="str">
        <f t="shared" ca="1" si="19"/>
        <v/>
      </c>
      <c r="I209" s="24" t="str">
        <f>IF(OR(E209="",E209="!!!",F209="NEW"),"",INDEX(B$2:B208,-1+SUMPRODUCT(MAX(ROW(E$2:E208)*(E209=E$2:E208)))))</f>
        <v/>
      </c>
      <c r="J209" s="24" t="str">
        <f ca="1">IF(OR(E209="",E209="!!!",F209="NEW"),"",COUNTBLANK(OFFSET(A$1,,,SUMPRODUCT(MAX(ROW(E$2:E209)*(E209=E$2:E209)))))-COUNTBLANK(OFFSET(A$1,,,SUMPRODUCT(MAX(ROW(E$1:E208)*(E2=E$1:E208))))))</f>
        <v/>
      </c>
      <c r="K209" s="24" t="str">
        <f>IF(OR(E209="",E209="!!!",F209="NEW"),"",INDEX(J$1:J208,SUMPRODUCT(MAX(ROW(E$1:E208)*(E209=E$1:E208)))))</f>
        <v/>
      </c>
      <c r="L209" s="25"/>
    </row>
    <row r="210" spans="1:12" x14ac:dyDescent="0.3">
      <c r="A210" t="s">
        <v>292</v>
      </c>
      <c r="E210" s="20" t="str">
        <f t="shared" si="18"/>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ca="1" si="19"/>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1" spans="1:12" x14ac:dyDescent="0.3">
      <c r="A211" t="s">
        <v>167</v>
      </c>
      <c r="E211" s="20" t="str">
        <f t="shared" si="18"/>
        <v/>
      </c>
      <c r="F211" s="21" t="str">
        <f>IF(OR(E211="",E211="!!!"),"",IF(NOT(ISNA(VLOOKUP(E211,E$1:E210,1,FALSE()))),"OLD",IF(AND(E211&lt;&gt;"",E211&lt;&gt;"!!!"),"NEW","")))</f>
        <v/>
      </c>
      <c r="G211" s="22" t="str">
        <f>IF(OR(E211="",E211="!!!"),"",IF(OR(J211=0,AND(J211=1,K211=1),AND(J211=1,I211="SBJ"),AND(J211=1,I211=0)),"?IN_FOCUS",IF(J211&lt;=2,"?ACTIVATED",IF(J211&lt;&gt;"","?FAMILIAR",IF(F211="NEW",IF(ISNA(VLOOKUP(E211,#REF!,1,FALSE())),"?TYPE_IDENTIFIABLE","?REFERENTIAL"),"_")))))</f>
        <v/>
      </c>
      <c r="H211" s="23" t="str">
        <f t="shared" ca="1" si="19"/>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3">
      <c r="A212" t="s">
        <v>310</v>
      </c>
      <c r="E212" s="20" t="str">
        <f t="shared" si="18"/>
        <v/>
      </c>
      <c r="F212" s="21"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19"/>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3">
      <c r="A213" t="s">
        <v>311</v>
      </c>
      <c r="B213" s="26" t="s">
        <v>169</v>
      </c>
      <c r="C213" s="26" t="s">
        <v>312</v>
      </c>
      <c r="D213" s="26" t="s">
        <v>181</v>
      </c>
      <c r="E213" s="20"/>
      <c r="F213" s="21" t="s">
        <v>628</v>
      </c>
      <c r="G213" s="22" t="str">
        <f>IF(OR(E213="",E213="!!!"),"",IF(OR(J213=0,AND(J213=1,K213=1),AND(J213=1,I213="SBJ"),AND(J213=1,I213=0)),"?IN_FOCUS",IF(J213&lt;=2,"?ACTIVATED",IF(J213&lt;&gt;"","?FAMILIAR",IF(F213="NEW",IF(ISNA(VLOOKUP(E213,#REF!,1,FALSE())),"?TYPE_IDENTIFIABLE","?REFERENTIAL"),"_")))))</f>
        <v/>
      </c>
      <c r="H213" s="23" t="str">
        <f t="shared" ca="1" si="19"/>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178</v>
      </c>
      <c r="E214" s="20" t="str">
        <f t="shared" si="18"/>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9"/>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197</v>
      </c>
      <c r="E215" s="20" t="str">
        <f t="shared" si="18"/>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19"/>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298</v>
      </c>
      <c r="B216" s="26" t="s">
        <v>189</v>
      </c>
      <c r="C216" s="26" t="s">
        <v>194</v>
      </c>
      <c r="D216" s="26" t="s">
        <v>181</v>
      </c>
      <c r="E216" s="20"/>
      <c r="F216" s="21" t="s">
        <v>615</v>
      </c>
      <c r="G216" s="22" t="str">
        <f>IF(OR(E216="",E216="!!!"),"",IF(OR(J216=0,AND(J216=1,K216=1),AND(J216=1,I216="SBJ"),AND(J216=1,I216=0)),"?IN_FOCUS",IF(J216&lt;=2,"?ACTIVATED",IF(J216&lt;&gt;"","?FAMILIAR",IF(F216="NEW",IF(ISNA(VLOOKUP(E216,#REF!,1,FALSE())),"?TYPE_IDENTIFIABLE","?REFERENTIAL"),"_")))))</f>
        <v/>
      </c>
      <c r="H216" s="23" t="str">
        <f t="shared" ca="1" si="19"/>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5"/>
    </row>
    <row r="217" spans="1:12" x14ac:dyDescent="0.3">
      <c r="A217" t="s">
        <v>313</v>
      </c>
      <c r="B217" s="26" t="s">
        <v>177</v>
      </c>
      <c r="C217" s="26" t="s">
        <v>180</v>
      </c>
      <c r="D217" s="26" t="s">
        <v>181</v>
      </c>
      <c r="E217" s="20" t="s">
        <v>629</v>
      </c>
      <c r="F217" s="21" t="str">
        <f>IF(OR(E217="",E217="!!!"),"",IF(NOT(ISNA(VLOOKUP(E217,E$1:E216,1,FALSE()))),"OLD",IF(AND(E217&lt;&gt;"",E217&lt;&gt;"!!!"),"NEW","")))</f>
        <v>NEW</v>
      </c>
      <c r="G217" s="22" t="s">
        <v>156</v>
      </c>
      <c r="H217" s="23" t="str">
        <f t="shared" ca="1" si="19"/>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314</v>
      </c>
      <c r="E218" s="20" t="str">
        <f t="shared" si="18"/>
        <v/>
      </c>
      <c r="F218" s="21"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19"/>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5"/>
    </row>
    <row r="219" spans="1:12" x14ac:dyDescent="0.3">
      <c r="A219" t="s">
        <v>315</v>
      </c>
      <c r="E219" s="20" t="str">
        <f t="shared" si="18"/>
        <v/>
      </c>
      <c r="F219" s="21"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19"/>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3">
      <c r="A220" t="s">
        <v>201</v>
      </c>
      <c r="E220" s="20" t="str">
        <f t="shared" si="18"/>
        <v/>
      </c>
      <c r="F220" s="21"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19"/>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5"/>
    </row>
    <row r="222" spans="1:12" x14ac:dyDescent="0.3">
      <c r="A222" t="s">
        <v>316</v>
      </c>
    </row>
    <row r="223" spans="1:12" x14ac:dyDescent="0.3">
      <c r="A223" t="s">
        <v>234</v>
      </c>
      <c r="E223" s="20" t="str">
        <f t="shared" ref="E223:E257" si="20">IF(D223="?OLD","!!!","")</f>
        <v/>
      </c>
      <c r="F223" s="21"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ref="H223:H257" ca="1" si="21">IF(J223&lt;&gt;1,"",IF(I223="SBJ","CB","?"))</f>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317</v>
      </c>
      <c r="B224" s="26" t="s">
        <v>185</v>
      </c>
      <c r="C224" s="26" t="s">
        <v>194</v>
      </c>
      <c r="D224" s="26" t="s">
        <v>181</v>
      </c>
      <c r="E224" s="20"/>
      <c r="F224" s="21" t="s">
        <v>615</v>
      </c>
      <c r="G224" s="22" t="str">
        <f>IF(OR(E224="",E224="!!!"),"",IF(OR(J224=0,AND(J224=1,K224=1),AND(J224=1,I224="SBJ"),AND(J224=1,I224=0)),"?IN_FOCUS",IF(J224&lt;=2,"?ACTIVATED",IF(J224&lt;&gt;"","?FAMILIAR",IF(F224="NEW",IF(ISNA(VLOOKUP(E224,#REF!,1,FALSE())),"?TYPE_IDENTIFIABLE","?REFERENTIAL"),"_")))))</f>
        <v/>
      </c>
      <c r="H224" s="23" t="str">
        <f t="shared" ca="1" si="21"/>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318</v>
      </c>
      <c r="B225" s="26" t="s">
        <v>189</v>
      </c>
      <c r="C225" s="26" t="s">
        <v>180</v>
      </c>
      <c r="D225" s="26" t="s">
        <v>181</v>
      </c>
      <c r="E225" s="20" t="s">
        <v>630</v>
      </c>
      <c r="F225" s="21" t="str">
        <f>IF(OR(E225="",E225="!!!"),"",IF(NOT(ISNA(VLOOKUP(E225,E$1:E224,1,FALSE()))),"OLD",IF(AND(E225&lt;&gt;"",E225&lt;&gt;"!!!"),"NEW","")))</f>
        <v>NEW</v>
      </c>
      <c r="G225" s="22" t="s">
        <v>699</v>
      </c>
      <c r="H225" s="23" t="str">
        <f t="shared" ca="1" si="2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178</v>
      </c>
      <c r="E226" s="20" t="str">
        <f t="shared" si="20"/>
        <v/>
      </c>
      <c r="F226" s="21" t="str">
        <f>IF(OR(E226="",E226="!!!"),"",IF(NOT(ISNA(VLOOKUP(E226,E$1:E225,1,FALSE()))),"OLD",IF(AND(E226&lt;&gt;"",E226&lt;&gt;"!!!"),"NEW","")))</f>
        <v/>
      </c>
      <c r="G226" s="22" t="str">
        <f>IF(OR(E226="",E226="!!!"),"",IF(OR(J226=0,AND(J226=1,K226=1),AND(J226=1,I226="SBJ"),AND(J226=1,I226=0)),"?IN_FOCUS",IF(J226&lt;=2,"?ACTIVATED",IF(J226&lt;&gt;"","?FAMILIAR",IF(F226="NEW",IF(ISNA(VLOOKUP(E226,#REF!,1,FALSE())),"?TYPE_IDENTIFIABLE","?REFERENTIAL"),"_")))))</f>
        <v/>
      </c>
      <c r="H226" s="23" t="str">
        <f t="shared" ca="1" si="21"/>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3">
      <c r="A227" t="s">
        <v>230</v>
      </c>
      <c r="E227" s="20" t="str">
        <f t="shared" si="20"/>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319</v>
      </c>
      <c r="B228" s="26" t="s">
        <v>189</v>
      </c>
      <c r="C228" s="26" t="s">
        <v>194</v>
      </c>
      <c r="D228" s="26" t="s">
        <v>181</v>
      </c>
      <c r="E228" s="20"/>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320</v>
      </c>
      <c r="B229" s="26" t="s">
        <v>177</v>
      </c>
      <c r="C229" s="26" t="s">
        <v>180</v>
      </c>
      <c r="D229" s="26" t="s">
        <v>181</v>
      </c>
      <c r="E229" s="20" t="s">
        <v>631</v>
      </c>
      <c r="F229" s="21" t="str">
        <f>IF(OR(E229="",E229="!!!"),"",IF(NOT(ISNA(VLOOKUP(E229,E$1:E228,1,FALSE()))),"OLD",IF(AND(E229&lt;&gt;"",E229&lt;&gt;"!!!"),"NEW","")))</f>
        <v>NEW</v>
      </c>
      <c r="G229" s="22" t="s">
        <v>156</v>
      </c>
      <c r="H229" s="23" t="str">
        <f t="shared" ca="1" si="2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3">
      <c r="A230" t="s">
        <v>321</v>
      </c>
      <c r="E230" s="20" t="str">
        <f t="shared" si="20"/>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186</v>
      </c>
      <c r="E231" s="20" t="str">
        <f t="shared" si="20"/>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2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3">
      <c r="A232" t="s">
        <v>230</v>
      </c>
      <c r="E232" s="20" t="str">
        <f t="shared" si="20"/>
        <v/>
      </c>
      <c r="F232" s="21"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21"/>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5"/>
    </row>
    <row r="233" spans="1:12" x14ac:dyDescent="0.3">
      <c r="A233" t="s">
        <v>317</v>
      </c>
      <c r="B233" s="26" t="s">
        <v>189</v>
      </c>
      <c r="C233" s="26" t="s">
        <v>194</v>
      </c>
      <c r="D233" s="26" t="s">
        <v>181</v>
      </c>
      <c r="E233" s="20"/>
      <c r="F233" s="21" t="s">
        <v>615</v>
      </c>
      <c r="G233" s="22" t="str">
        <f>IF(OR(E233="",E233="!!!"),"",IF(OR(J233=0,AND(J233=1,K233=1),AND(J233=1,I233="SBJ"),AND(J233=1,I233=0)),"?IN_FOCUS",IF(J233&lt;=2,"?ACTIVATED",IF(J233&lt;&gt;"","?FAMILIAR",IF(F233="NEW",IF(ISNA(VLOOKUP(E233,#REF!,1,FALSE())),"?TYPE_IDENTIFIABLE","?REFERENTIAL"),"_")))))</f>
        <v/>
      </c>
      <c r="H233" s="23" t="str">
        <f t="shared" ca="1" si="21"/>
        <v/>
      </c>
      <c r="I233" s="24" t="str">
        <f>IF(OR(E233="",E233="!!!",F233="NEW"),"",INDEX(B$2:B232,-1+SUMPRODUCT(MAX(ROW(E$2:E232)*(E233=E$2:E232)))))</f>
        <v/>
      </c>
      <c r="J233" s="24" t="str">
        <f ca="1">IF(OR(E233="",E233="!!!",F233="NEW"),"",COUNTBLANK(OFFSET(A$1,,,SUMPRODUCT(MAX(ROW(E$2:E233)*(E233=E$2:E233)))))-COUNTBLANK(OFFSET(A$1,,,SUMPRODUCT(MAX(ROW(E$1:E232)*(E2=E$1:E232))))))</f>
        <v/>
      </c>
      <c r="K233" s="24" t="str">
        <f>IF(OR(E233="",E233="!!!",F233="NEW"),"",INDEX(J$1:J232,SUMPRODUCT(MAX(ROW(E$1:E232)*(E233=E$1:E232)))))</f>
        <v/>
      </c>
      <c r="L233" s="25"/>
    </row>
    <row r="234" spans="1:12" x14ac:dyDescent="0.3">
      <c r="A234" t="s">
        <v>322</v>
      </c>
      <c r="B234" s="26" t="s">
        <v>177</v>
      </c>
      <c r="C234" s="26" t="s">
        <v>180</v>
      </c>
      <c r="D234" s="26" t="s">
        <v>181</v>
      </c>
      <c r="E234" s="20" t="s">
        <v>632</v>
      </c>
      <c r="F234" s="21" t="str">
        <f>IF(OR(E234="",E234="!!!"),"",IF(NOT(ISNA(VLOOKUP(E234,E$1:E233,1,FALSE()))),"OLD",IF(AND(E234&lt;&gt;"",E234&lt;&gt;"!!!"),"NEW","")))</f>
        <v>NEW</v>
      </c>
      <c r="G234" s="22" t="s">
        <v>699</v>
      </c>
      <c r="H234" s="23" t="str">
        <f t="shared" ca="1" si="2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178</v>
      </c>
      <c r="E235" s="20" t="str">
        <f t="shared" si="20"/>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230</v>
      </c>
      <c r="E236" s="20" t="str">
        <f t="shared" si="20"/>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21"/>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7" spans="1:12" x14ac:dyDescent="0.3">
      <c r="A237" t="s">
        <v>319</v>
      </c>
      <c r="B237" s="26" t="s">
        <v>177</v>
      </c>
      <c r="C237" s="26" t="s">
        <v>194</v>
      </c>
      <c r="D237" s="26" t="s">
        <v>181</v>
      </c>
      <c r="E237" s="20"/>
      <c r="F237" s="21" t="str">
        <f>IF(OR(E237="",E237="!!!"),"",IF(NOT(ISNA(VLOOKUP(E237,E$1:E236,1,FALSE()))),"OLD",IF(AND(E237&lt;&gt;"",E237&lt;&gt;"!!!"),"NEW","")))</f>
        <v/>
      </c>
      <c r="G237" s="22" t="str">
        <f>IF(OR(E237="",E237="!!!"),"",IF(OR(J237=0,AND(J237=1,K237=1),AND(J237=1,I237="SBJ"),AND(J237=1,I237=0)),"?IN_FOCUS",IF(J237&lt;=2,"?ACTIVATED",IF(J237&lt;&gt;"","?FAMILIAR",IF(F237="NEW",IF(ISNA(VLOOKUP(E237,#REF!,1,FALSE())),"?TYPE_IDENTIFIABLE","?REFERENTIAL"),"_")))))</f>
        <v/>
      </c>
      <c r="H237" s="23" t="str">
        <f t="shared" ca="1" si="21"/>
        <v/>
      </c>
      <c r="I237" s="24" t="str">
        <f>IF(OR(E237="",E237="!!!",F237="NEW"),"",INDEX(B$2:B236,-1+SUMPRODUCT(MAX(ROW(E$2:E236)*(E237=E$2:E236)))))</f>
        <v/>
      </c>
      <c r="J237" s="24" t="str">
        <f ca="1">IF(OR(E237="",E237="!!!",F237="NEW"),"",COUNTBLANK(OFFSET(A$1,,,SUMPRODUCT(MAX(ROW(E$2:E237)*(E237=E$2:E237)))))-COUNTBLANK(OFFSET(A$1,,,SUMPRODUCT(MAX(ROW(E$1:E236)*(E2=E$1:E236))))))</f>
        <v/>
      </c>
      <c r="K237" s="24" t="str">
        <f>IF(OR(E237="",E237="!!!",F237="NEW"),"",INDEX(J$1:J236,SUMPRODUCT(MAX(ROW(E$1:E236)*(E237=E$1:E236)))))</f>
        <v/>
      </c>
      <c r="L237" s="25"/>
    </row>
    <row r="238" spans="1:12" x14ac:dyDescent="0.3">
      <c r="A238" t="s">
        <v>323</v>
      </c>
      <c r="B238" s="26" t="s">
        <v>174</v>
      </c>
      <c r="C238" s="26" t="s">
        <v>180</v>
      </c>
      <c r="D238" s="26" t="s">
        <v>181</v>
      </c>
      <c r="E238" s="20" t="s">
        <v>633</v>
      </c>
      <c r="F238" s="21" t="str">
        <f>IF(OR(E238="",E238="!!!"),"",IF(NOT(ISNA(VLOOKUP(E238,E$1:E237,1,FALSE()))),"OLD",IF(AND(E238&lt;&gt;"",E238&lt;&gt;"!!!"),"NEW","")))</f>
        <v>NEW</v>
      </c>
      <c r="G238" s="22" t="s">
        <v>156</v>
      </c>
      <c r="H238" s="23" t="str">
        <f t="shared" ca="1" si="21"/>
        <v/>
      </c>
      <c r="I238" s="24" t="str">
        <f>IF(OR(E238="",E238="!!!",F238="NEW"),"",INDEX(B$2:B237,-1+SUMPRODUCT(MAX(ROW(E$2:E237)*(E238=E$2:E237)))))</f>
        <v/>
      </c>
      <c r="J238" s="24" t="str">
        <f ca="1">IF(OR(E238="",E238="!!!",F238="NEW"),"",COUNTBLANK(OFFSET(A$1,,,SUMPRODUCT(MAX(ROW(E$2:E238)*(E238=E$2:E238)))))-COUNTBLANK(OFFSET(A$1,,,SUMPRODUCT(MAX(ROW(E$1:E237)*(E2=E$1:E237))))))</f>
        <v/>
      </c>
      <c r="K238" s="24" t="str">
        <f>IF(OR(E238="",E238="!!!",F238="NEW"),"",INDEX(J$1:J237,SUMPRODUCT(MAX(ROW(E$1:E237)*(E238=E$1:E237)))))</f>
        <v/>
      </c>
      <c r="L238" s="25"/>
    </row>
    <row r="239" spans="1:12" x14ac:dyDescent="0.3">
      <c r="A239" t="s">
        <v>324</v>
      </c>
      <c r="E239" s="20" t="str">
        <f t="shared" si="20"/>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ca="1" si="21"/>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167</v>
      </c>
      <c r="E240" s="20" t="str">
        <f t="shared" si="20"/>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21"/>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270</v>
      </c>
      <c r="B241" s="26" t="s">
        <v>325</v>
      </c>
      <c r="E241" s="20" t="str">
        <f t="shared" si="20"/>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1"/>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269</v>
      </c>
      <c r="E242" s="20" t="str">
        <f t="shared" si="20"/>
        <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21"/>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326</v>
      </c>
      <c r="B243" s="26" t="s">
        <v>325</v>
      </c>
      <c r="C243" s="26" t="s">
        <v>175</v>
      </c>
      <c r="E243" s="20" t="s">
        <v>634</v>
      </c>
      <c r="F243" s="21" t="s">
        <v>635</v>
      </c>
      <c r="G243" s="22" t="s">
        <v>697</v>
      </c>
      <c r="H243" s="23" t="str">
        <f t="shared" ca="1" si="21"/>
        <v/>
      </c>
      <c r="I243" s="24" t="e">
        <f>IF(OR(E243="",E243="!!!",F243="NEW"),"",INDEX(B$2:B242,-1+SUMPRODUCT(MAX(ROW(E$2:E242)*(E243=E$2:E242)))))</f>
        <v>#VALUE!</v>
      </c>
      <c r="J243" s="24">
        <f ca="1">IF(OR(E243="",E243="!!!",F243="NEW"),"",COUNTBLANK(OFFSET(A$1,,,SUMPRODUCT(MAX(ROW(E$2:E243)*(E243=E$2:E243)))))-COUNTBLANK(OFFSET(A$1,,,SUMPRODUCT(MAX(ROW(E$1:E242)*(E2=E$1:E242))))))</f>
        <v>0</v>
      </c>
      <c r="K243" s="24" t="e">
        <f>IF(OR(E243="",E243="!!!",F243="NEW"),"",INDEX(J$1:J242,SUMPRODUCT(MAX(ROW(E$1:E242)*(E243=E$1:E242)))))</f>
        <v>#VALUE!</v>
      </c>
      <c r="L243" s="25" t="s">
        <v>621</v>
      </c>
    </row>
    <row r="244" spans="1:12" x14ac:dyDescent="0.3">
      <c r="A244" t="s">
        <v>178</v>
      </c>
      <c r="E244" s="20" t="str">
        <f t="shared" si="20"/>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1"/>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179</v>
      </c>
      <c r="B245" s="26" t="s">
        <v>183</v>
      </c>
      <c r="C245" s="26" t="s">
        <v>180</v>
      </c>
      <c r="D245" s="26" t="s">
        <v>181</v>
      </c>
      <c r="E245" s="20" t="s">
        <v>607</v>
      </c>
      <c r="F245" s="21" t="str">
        <f>IF(OR(E245="",E245="!!!"),"",IF(NOT(ISNA(VLOOKUP(E245,E$1:E244,1,FALSE()))),"OLD",IF(AND(E245&lt;&gt;"",E245&lt;&gt;"!!!"),"NEW","")))</f>
        <v>OLD</v>
      </c>
      <c r="G245" s="22" t="s">
        <v>698</v>
      </c>
      <c r="H245" s="23" t="str">
        <f t="shared" ca="1" si="21"/>
        <v/>
      </c>
      <c r="I245" s="24" t="str">
        <f>IF(OR(E245="",E245="!!!",F245="NEW"),"",INDEX(B$2:B244,-1+SUMPRODUCT(MAX(ROW(E$2:E244)*(E245=E$2:E244)))))</f>
        <v>other_2</v>
      </c>
      <c r="J245" s="24">
        <f ca="1">IF(OR(E245="",E245="!!!",F245="NEW"),"",COUNTBLANK(OFFSET(A$1,,,SUMPRODUCT(MAX(ROW(E$2:E245)*(E245=E$2:E245)))))-COUNTBLANK(OFFSET(A$1,,,SUMPRODUCT(MAX(ROW(E$1:E244)*(E2=E$1:E244))))))</f>
        <v>0</v>
      </c>
      <c r="K245" s="24">
        <f ca="1">IF(OR(E245="",E245="!!!",F245="NEW"),"",INDEX(J$1:J244,SUMPRODUCT(MAX(ROW(E$1:E244)*(E245=E$1:E244)))))</f>
        <v>0</v>
      </c>
      <c r="L245" s="25"/>
    </row>
    <row r="246" spans="1:12" x14ac:dyDescent="0.3">
      <c r="A246" t="s">
        <v>67</v>
      </c>
      <c r="E246" s="20" t="str">
        <f t="shared" si="20"/>
        <v/>
      </c>
      <c r="F246" s="21"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21"/>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5"/>
    </row>
    <row r="247" spans="1:12" x14ac:dyDescent="0.3">
      <c r="A247" t="s">
        <v>167</v>
      </c>
      <c r="E247" s="20" t="str">
        <f t="shared" si="20"/>
        <v/>
      </c>
      <c r="F247" s="21" t="str">
        <f>IF(OR(E247="",E247="!!!"),"",IF(NOT(ISNA(VLOOKUP(E247,E$1:E246,1,FALSE()))),"OLD",IF(AND(E247&lt;&gt;"",E247&lt;&gt;"!!!"),"NEW","")))</f>
        <v/>
      </c>
      <c r="G247" s="22" t="str">
        <f>IF(OR(E247="",E247="!!!"),"",IF(OR(J247=0,AND(J247=1,K247=1),AND(J247=1,I247="SBJ"),AND(J247=1,I247=0)),"?IN_FOCUS",IF(J247&lt;=2,"?ACTIVATED",IF(J247&lt;&gt;"","?FAMILIAR",IF(F247="NEW",IF(ISNA(VLOOKUP(E247,#REF!,1,FALSE())),"?TYPE_IDENTIFIABLE","?REFERENTIAL"),"_")))))</f>
        <v/>
      </c>
      <c r="H247" s="23" t="str">
        <f t="shared" ca="1" si="21"/>
        <v/>
      </c>
      <c r="I247" s="24" t="str">
        <f>IF(OR(E247="",E247="!!!",F247="NEW"),"",INDEX(B$2:B246,-1+SUMPRODUCT(MAX(ROW(E$2:E246)*(E247=E$2:E246)))))</f>
        <v/>
      </c>
      <c r="J247" s="24" t="str">
        <f ca="1">IF(OR(E247="",E247="!!!",F247="NEW"),"",COUNTBLANK(OFFSET(A$1,,,SUMPRODUCT(MAX(ROW(E$2:E247)*(E247=E$2:E247)))))-COUNTBLANK(OFFSET(A$1,,,SUMPRODUCT(MAX(ROW(E$1:E246)*(E2=E$1:E246))))))</f>
        <v/>
      </c>
      <c r="K247" s="24" t="str">
        <f>IF(OR(E247="",E247="!!!",F247="NEW"),"",INDEX(J$1:J246,SUMPRODUCT(MAX(ROW(E$1:E246)*(E247=E$1:E246)))))</f>
        <v/>
      </c>
      <c r="L247" s="25"/>
    </row>
    <row r="248" spans="1:12" x14ac:dyDescent="0.3">
      <c r="A248" t="s">
        <v>327</v>
      </c>
      <c r="E248" s="20" t="str">
        <f t="shared" si="20"/>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21"/>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328</v>
      </c>
      <c r="B249" s="26" t="s">
        <v>189</v>
      </c>
      <c r="C249" s="26" t="s">
        <v>175</v>
      </c>
      <c r="E249" s="20" t="str">
        <f t="shared" si="20"/>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21"/>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329</v>
      </c>
      <c r="B250" s="26" t="s">
        <v>165</v>
      </c>
      <c r="C250" s="26" t="s">
        <v>215</v>
      </c>
      <c r="E250" s="20" t="str">
        <f t="shared" si="20"/>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21"/>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227</v>
      </c>
      <c r="E251" s="20" t="str">
        <f t="shared" si="20"/>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21"/>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207</v>
      </c>
      <c r="E252" s="20" t="str">
        <f t="shared" si="20"/>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21"/>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260</v>
      </c>
      <c r="E253" s="20" t="str">
        <f t="shared" si="20"/>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21"/>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330</v>
      </c>
      <c r="B254" s="26" t="s">
        <v>165</v>
      </c>
      <c r="C254" s="26" t="s">
        <v>194</v>
      </c>
      <c r="D254" s="26" t="s">
        <v>181</v>
      </c>
      <c r="E254" s="20" t="s">
        <v>636</v>
      </c>
      <c r="F254" s="21" t="s">
        <v>608</v>
      </c>
      <c r="G254" s="22"/>
      <c r="H254" s="23" t="str">
        <f t="shared" ca="1" si="21"/>
        <v/>
      </c>
      <c r="I254" s="24" t="e">
        <f>IF(OR(E254="",E254="!!!",F254="NEW"),"",INDEX(B$2:B253,-1+SUMPRODUCT(MAX(ROW(E$2:E253)*(E254=E$2:E253)))))</f>
        <v>#VALUE!</v>
      </c>
      <c r="J254" s="24">
        <f ca="1">IF(OR(E254="",E254="!!!",F254="NEW"),"",COUNTBLANK(OFFSET(A$1,,,SUMPRODUCT(MAX(ROW(E$2:E254)*(E254=E$2:E254)))))-COUNTBLANK(OFFSET(A$1,,,SUMPRODUCT(MAX(ROW(E$1:E253)*(E2=E$1:E253))))))</f>
        <v>0</v>
      </c>
      <c r="K254" s="24" t="e">
        <f>IF(OR(E254="",E254="!!!",F254="NEW"),"",INDEX(J$1:J253,SUMPRODUCT(MAX(ROW(E$1:E253)*(E254=E$1:E253)))))</f>
        <v>#VALUE!</v>
      </c>
      <c r="L254" s="25"/>
    </row>
    <row r="255" spans="1:12" x14ac:dyDescent="0.3">
      <c r="A255" t="s">
        <v>331</v>
      </c>
      <c r="B255" s="26" t="s">
        <v>189</v>
      </c>
      <c r="C255" s="26" t="s">
        <v>166</v>
      </c>
      <c r="E255" s="20" t="str">
        <f t="shared" si="20"/>
        <v/>
      </c>
      <c r="F255" s="21"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t="shared" ca="1" si="21"/>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row>
    <row r="256" spans="1:12" x14ac:dyDescent="0.3">
      <c r="A256" t="s">
        <v>52</v>
      </c>
      <c r="E256" s="20" t="str">
        <f t="shared" si="20"/>
        <v/>
      </c>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21"/>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3">
      <c r="A257" t="s">
        <v>201</v>
      </c>
      <c r="E257" s="20" t="str">
        <f t="shared" si="20"/>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21"/>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9" spans="1:12" x14ac:dyDescent="0.3">
      <c r="A259" t="s">
        <v>332</v>
      </c>
    </row>
    <row r="260" spans="1:12" x14ac:dyDescent="0.3">
      <c r="A260" t="s">
        <v>234</v>
      </c>
      <c r="E260" s="20" t="str">
        <f t="shared" ref="E260:E279" si="22">IF(D260="?OLD","!!!","")</f>
        <v/>
      </c>
      <c r="F260" s="21"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ref="H260:H279" ca="1" si="23">IF(J260&lt;&gt;1,"",IF(I260="SBJ","CB","?"))</f>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333</v>
      </c>
      <c r="B261" s="26" t="s">
        <v>185</v>
      </c>
      <c r="C261" s="26" t="s">
        <v>194</v>
      </c>
      <c r="D261" s="26" t="s">
        <v>181</v>
      </c>
      <c r="E261" s="20"/>
      <c r="F261" s="21" t="s">
        <v>615</v>
      </c>
      <c r="G261" s="22" t="str">
        <f>IF(OR(E261="",E261="!!!"),"",IF(OR(J261=0,AND(J261=1,K261=1),AND(J261=1,I261="SBJ"),AND(J261=1,I261=0)),"?IN_FOCUS",IF(J261&lt;=2,"?ACTIVATED",IF(J261&lt;&gt;"","?FAMILIAR",IF(F261="NEW",IF(ISNA(VLOOKUP(E261,#REF!,1,FALSE())),"?TYPE_IDENTIFIABLE","?REFERENTIAL"),"_")))))</f>
        <v/>
      </c>
      <c r="H261" s="23" t="str">
        <f t="shared" ca="1" si="2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3">
      <c r="A262" t="s">
        <v>334</v>
      </c>
      <c r="B262" s="26" t="s">
        <v>189</v>
      </c>
      <c r="C262" s="26" t="s">
        <v>180</v>
      </c>
      <c r="D262" s="26" t="s">
        <v>181</v>
      </c>
      <c r="E262" s="20" t="s">
        <v>637</v>
      </c>
      <c r="F262" s="21" t="str">
        <f>IF(OR(E262="",E262="!!!"),"",IF(NOT(ISNA(VLOOKUP(E262,E$1:E261,1,FALSE()))),"OLD",IF(AND(E262&lt;&gt;"",E262&lt;&gt;"!!!"),"NEW","")))</f>
        <v>NEW</v>
      </c>
      <c r="G262" s="22" t="s">
        <v>699</v>
      </c>
      <c r="H262" s="23" t="str">
        <f t="shared" ca="1" si="2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3" spans="1:12" x14ac:dyDescent="0.3">
      <c r="A263" t="s">
        <v>335</v>
      </c>
      <c r="E263" s="20" t="str">
        <f t="shared" si="22"/>
        <v/>
      </c>
      <c r="F263" s="21" t="str">
        <f>IF(OR(E263="",E263="!!!"),"",IF(NOT(ISNA(VLOOKUP(E263,E$1:E262,1,FALSE()))),"OLD",IF(AND(E263&lt;&gt;"",E263&lt;&gt;"!!!"),"NEW","")))</f>
        <v/>
      </c>
      <c r="G263" s="22" t="str">
        <f>IF(OR(E263="",E263="!!!"),"",IF(OR(J263=0,AND(J263=1,K263=1),AND(J263=1,I263="SBJ"),AND(J263=1,I263=0)),"?IN_FOCUS",IF(J263&lt;=2,"?ACTIVATED",IF(J263&lt;&gt;"","?FAMILIAR",IF(F263="NEW",IF(ISNA(VLOOKUP(E263,#REF!,1,FALSE())),"?TYPE_IDENTIFIABLE","?REFERENTIAL"),"_")))))</f>
        <v/>
      </c>
      <c r="H263" s="23" t="str">
        <f t="shared" ca="1" si="23"/>
        <v/>
      </c>
      <c r="I263" s="24" t="str">
        <f>IF(OR(E263="",E263="!!!",F263="NEW"),"",INDEX(B$2:B262,-1+SUMPRODUCT(MAX(ROW(E$2:E262)*(E263=E$2:E262)))))</f>
        <v/>
      </c>
      <c r="J263" s="24" t="str">
        <f ca="1">IF(OR(E263="",E263="!!!",F263="NEW"),"",COUNTBLANK(OFFSET(A$1,,,SUMPRODUCT(MAX(ROW(E$2:E263)*(E263=E$2:E263)))))-COUNTBLANK(OFFSET(A$1,,,SUMPRODUCT(MAX(ROW(E$1:E262)*(E2=E$1:E262))))))</f>
        <v/>
      </c>
      <c r="K263" s="24" t="str">
        <f>IF(OR(E263="",E263="!!!",F263="NEW"),"",INDEX(J$1:J262,SUMPRODUCT(MAX(ROW(E$1:E262)*(E263=E$1:E262)))))</f>
        <v/>
      </c>
      <c r="L263" s="25"/>
    </row>
    <row r="264" spans="1:12" x14ac:dyDescent="0.3">
      <c r="A264" t="s">
        <v>336</v>
      </c>
      <c r="E264" s="20" t="str">
        <f t="shared" si="22"/>
        <v/>
      </c>
      <c r="F264" s="21"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23"/>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5"/>
    </row>
    <row r="265" spans="1:12" x14ac:dyDescent="0.3">
      <c r="A265" t="s">
        <v>167</v>
      </c>
      <c r="E265" s="20" t="str">
        <f t="shared" si="22"/>
        <v/>
      </c>
      <c r="F265" s="21"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23"/>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3">
      <c r="A266" t="s">
        <v>240</v>
      </c>
      <c r="E266" s="20" t="str">
        <f t="shared" si="22"/>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2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326</v>
      </c>
      <c r="B267" s="26" t="s">
        <v>177</v>
      </c>
      <c r="C267" s="26" t="s">
        <v>175</v>
      </c>
      <c r="E267" s="20" t="str">
        <f t="shared" si="22"/>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2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214</v>
      </c>
      <c r="B268" s="26" t="s">
        <v>169</v>
      </c>
      <c r="C268" s="26" t="s">
        <v>337</v>
      </c>
      <c r="D268" s="26" t="s">
        <v>181</v>
      </c>
      <c r="E268" s="20" t="s">
        <v>326</v>
      </c>
      <c r="F268" s="21" t="s">
        <v>638</v>
      </c>
      <c r="G268" s="22" t="s">
        <v>697</v>
      </c>
      <c r="H268" s="23" t="s">
        <v>158</v>
      </c>
      <c r="I268" s="24" t="e">
        <f>IF(OR(E268="",E268="!!!",F268="NEW"),"",INDEX(B$2:B267,-1+SUMPRODUCT(MAX(ROW(E$2:E267)*(E268=E$2:E267)))))</f>
        <v>#VALUE!</v>
      </c>
      <c r="J268" s="24">
        <f ca="1">IF(OR(E268="",E268="!!!",F268="NEW"),"",COUNTBLANK(OFFSET(A$1,,,SUMPRODUCT(MAX(ROW(E$2:E268)*(E268=E$2:E268)))))-COUNTBLANK(OFFSET(A$1,,,SUMPRODUCT(MAX(ROW(E$1:E267)*(E2=E$1:E267))))))</f>
        <v>0</v>
      </c>
      <c r="K268" s="24" t="e">
        <f>IF(OR(E268="",E268="!!!",F268="NEW"),"",INDEX(J$1:J267,SUMPRODUCT(MAX(ROW(E$1:E267)*(E268=E$1:E267)))))</f>
        <v>#VALUE!</v>
      </c>
      <c r="L268" s="25"/>
    </row>
    <row r="269" spans="1:12" x14ac:dyDescent="0.3">
      <c r="A269" t="s">
        <v>338</v>
      </c>
      <c r="E269" s="20" t="str">
        <f t="shared" si="22"/>
        <v/>
      </c>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2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row>
    <row r="270" spans="1:12" x14ac:dyDescent="0.3">
      <c r="A270" t="s">
        <v>339</v>
      </c>
      <c r="B270" s="26" t="s">
        <v>169</v>
      </c>
      <c r="C270" s="26" t="s">
        <v>215</v>
      </c>
      <c r="E270" s="20" t="str">
        <f t="shared" si="22"/>
        <v/>
      </c>
      <c r="F270" s="21"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2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5"/>
    </row>
    <row r="271" spans="1:12" x14ac:dyDescent="0.3">
      <c r="A271" t="s">
        <v>178</v>
      </c>
      <c r="E271" s="20" t="str">
        <f t="shared" si="22"/>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2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191</v>
      </c>
      <c r="E272" s="20" t="str">
        <f t="shared" si="22"/>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2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340</v>
      </c>
      <c r="B273" s="26" t="s">
        <v>189</v>
      </c>
      <c r="C273" s="26" t="s">
        <v>194</v>
      </c>
      <c r="D273" s="26" t="s">
        <v>181</v>
      </c>
      <c r="E273" s="20" t="s">
        <v>682</v>
      </c>
      <c r="F273" s="21" t="str">
        <f>IF(OR(E273="",E273="!!!"),"",IF(NOT(ISNA(VLOOKUP(E273,E$1:E272,1,FALSE()))),"OLD",IF(AND(E273&lt;&gt;"",E273&lt;&gt;"!!!"),"NEW","")))</f>
        <v>NEW</v>
      </c>
      <c r="G273" s="22" t="s">
        <v>699</v>
      </c>
      <c r="H273" s="23" t="str">
        <f t="shared" ca="1" si="23"/>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3">
      <c r="A274" t="s">
        <v>341</v>
      </c>
      <c r="E274" s="20" t="str">
        <f t="shared" si="22"/>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2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320</v>
      </c>
      <c r="B275" s="26" t="s">
        <v>177</v>
      </c>
      <c r="C275" s="26" t="s">
        <v>180</v>
      </c>
      <c r="D275" s="26" t="s">
        <v>181</v>
      </c>
      <c r="E275" s="20" t="s">
        <v>631</v>
      </c>
      <c r="F275" s="21" t="str">
        <f>IF(OR(E275="",E275="!!!"),"",IF(NOT(ISNA(VLOOKUP(E275,E$1:E274,1,FALSE()))),"OLD",IF(AND(E275&lt;&gt;"",E275&lt;&gt;"!!!"),"NEW","")))</f>
        <v>OLD</v>
      </c>
      <c r="G275" s="22" t="s">
        <v>698</v>
      </c>
      <c r="H275" s="23" t="str">
        <f t="shared" ca="1" si="23"/>
        <v/>
      </c>
      <c r="I275" s="24" t="str">
        <f>IF(OR(E275="",E275="!!!",F275="NEW"),"",INDEX(B$2:B274,-1+SUMPRODUCT(MAX(ROW(E$2:E274)*(E275=E$2:E274)))))</f>
        <v>other_3</v>
      </c>
      <c r="J275" s="24">
        <f ca="1">IF(OR(E275="",E275="!!!",F275="NEW"),"",COUNTBLANK(OFFSET(A$1,,,SUMPRODUCT(MAX(ROW(E$2:E275)*(E275=E$2:E275)))))-COUNTBLANK(OFFSET(A$1,,,SUMPRODUCT(MAX(ROW(E$1:E274)*(E2=E$1:E274))))))</f>
        <v>0</v>
      </c>
      <c r="K275" s="24" t="str">
        <f ca="1">IF(OR(E275="",E275="!!!",F275="NEW"),"",INDEX(J$1:J274,SUMPRODUCT(MAX(ROW(E$1:E274)*(E275=E$1:E274)))))</f>
        <v/>
      </c>
      <c r="L275" s="25"/>
    </row>
    <row r="276" spans="1:12" x14ac:dyDescent="0.3">
      <c r="A276" t="s">
        <v>342</v>
      </c>
      <c r="E276" s="20" t="str">
        <f t="shared" si="22"/>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23"/>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343</v>
      </c>
      <c r="E277" s="20" t="str">
        <f t="shared" si="22"/>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2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304</v>
      </c>
      <c r="E278" s="20" t="str">
        <f t="shared" si="22"/>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2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201</v>
      </c>
      <c r="E279" s="20" t="str">
        <f t="shared" si="22"/>
        <v/>
      </c>
      <c r="F279" s="21"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2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5"/>
    </row>
    <row r="281" spans="1:12" x14ac:dyDescent="0.3">
      <c r="A281" t="s">
        <v>344</v>
      </c>
    </row>
    <row r="282" spans="1:12" x14ac:dyDescent="0.3">
      <c r="A282" t="s">
        <v>345</v>
      </c>
      <c r="B282" s="26" t="s">
        <v>185</v>
      </c>
      <c r="C282" s="26" t="s">
        <v>312</v>
      </c>
      <c r="D282" s="26" t="s">
        <v>181</v>
      </c>
      <c r="E282" s="20" t="s">
        <v>637</v>
      </c>
      <c r="F282" s="21" t="str">
        <f>IF(OR(E282="",E282="!!!"),"",IF(NOT(ISNA(VLOOKUP(E282,E$1:E281,1,FALSE()))),"OLD",IF(AND(E282&lt;&gt;"",E282&lt;&gt;"!!!"),"NEW","")))</f>
        <v>OLD</v>
      </c>
      <c r="G282" s="22" t="s">
        <v>697</v>
      </c>
      <c r="H282" s="23" t="s">
        <v>158</v>
      </c>
      <c r="I282" s="24" t="str">
        <f>IF(OR(E282="",E282="!!!",F282="NEW"),"",INDEX(B$2:B281,-1+SUMPRODUCT(MAX(ROW(E$2:E281)*(E282=E$2:E281)))))</f>
        <v>other_2</v>
      </c>
      <c r="J282" s="24">
        <f ca="1">IF(OR(E282="",E282="!!!",F282="NEW"),"",COUNTBLANK(OFFSET(A$1,,,SUMPRODUCT(MAX(ROW(E$2:E282)*(E282=E$2:E282)))))-COUNTBLANK(OFFSET(A$1,,,SUMPRODUCT(MAX(ROW(E$1:E281)*(E2=E$1:E281))))))</f>
        <v>0</v>
      </c>
      <c r="K282" s="24" t="str">
        <f ca="1">IF(OR(E282="",E282="!!!",F282="NEW"),"",INDEX(J$1:J281,SUMPRODUCT(MAX(ROW(E$1:E281)*(E282=E$1:E281)))))</f>
        <v/>
      </c>
      <c r="L282" s="25"/>
    </row>
    <row r="283" spans="1:12" x14ac:dyDescent="0.3">
      <c r="A283" t="s">
        <v>278</v>
      </c>
      <c r="E283" s="20" t="str">
        <f t="shared" ref="E283:E312" si="24">IF(D283="?OLD","!!!","")</f>
        <v/>
      </c>
      <c r="F283" s="21"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t="shared" ref="H283:H312" ca="1" si="25">IF(J283&lt;&gt;1,"",IF(I283="SBJ","CB","?"))</f>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5"/>
    </row>
    <row r="284" spans="1:12" x14ac:dyDescent="0.3">
      <c r="A284" t="s">
        <v>346</v>
      </c>
      <c r="E284" s="20" t="str">
        <f t="shared" si="24"/>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25"/>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167</v>
      </c>
      <c r="E285" s="20" t="str">
        <f t="shared" si="24"/>
        <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25"/>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240</v>
      </c>
      <c r="E286" s="20" t="str">
        <f t="shared" si="24"/>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25"/>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347</v>
      </c>
      <c r="E287" s="20" t="str">
        <f t="shared" si="24"/>
        <v/>
      </c>
      <c r="F287" s="21"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25"/>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5"/>
    </row>
    <row r="288" spans="1:12" x14ac:dyDescent="0.3">
      <c r="A288" t="s">
        <v>348</v>
      </c>
      <c r="E288" s="20" t="str">
        <f t="shared" si="24"/>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25"/>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349</v>
      </c>
      <c r="E289" s="20" t="str">
        <f t="shared" si="24"/>
        <v/>
      </c>
      <c r="F289" s="21"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25"/>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5"/>
    </row>
    <row r="290" spans="1:12" x14ac:dyDescent="0.3">
      <c r="A290" t="s">
        <v>168</v>
      </c>
      <c r="B290" s="26" t="s">
        <v>169</v>
      </c>
      <c r="C290" s="26" t="s">
        <v>258</v>
      </c>
      <c r="E290" s="20" t="s">
        <v>645</v>
      </c>
      <c r="F290" s="21" t="str">
        <f>IF(OR(E290="",E290="!!!"),"",IF(NOT(ISNA(VLOOKUP(E290,E$1:E289,1,FALSE()))),"OLD",IF(AND(E290&lt;&gt;"",E290&lt;&gt;"!!!"),"NEW","")))</f>
        <v>NEW</v>
      </c>
      <c r="G290" s="22" t="s">
        <v>699</v>
      </c>
      <c r="H290" s="23" t="str">
        <f t="shared" ca="1" si="25"/>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t="s">
        <v>646</v>
      </c>
    </row>
    <row r="291" spans="1:12" x14ac:dyDescent="0.3">
      <c r="A291" t="s">
        <v>178</v>
      </c>
      <c r="E291" s="20" t="str">
        <f t="shared" si="24"/>
        <v/>
      </c>
      <c r="F291" s="21" t="str">
        <f>IF(OR(E291="",E291="!!!"),"",IF(NOT(ISNA(VLOOKUP(E291,E$1:E290,1,FALSE()))),"OLD",IF(AND(E291&lt;&gt;"",E291&lt;&gt;"!!!"),"NEW","")))</f>
        <v/>
      </c>
      <c r="G291" s="22" t="str">
        <f>IF(OR(E291="",E291="!!!"),"",IF(OR(J291=0,AND(J291=1,K291=1),AND(J291=1,I291="SBJ"),AND(J291=1,I291=0)),"?IN_FOCUS",IF(J291&lt;=2,"?ACTIVATED",IF(J291&lt;&gt;"","?FAMILIAR",IF(F291="NEW",IF(ISNA(VLOOKUP(E291,#REF!,1,FALSE())),"?TYPE_IDENTIFIABLE","?REFERENTIAL"),"_")))))</f>
        <v/>
      </c>
      <c r="H291" s="23" t="str">
        <f t="shared" ca="1" si="25"/>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3">
      <c r="A292" t="s">
        <v>350</v>
      </c>
      <c r="B292" s="26" t="s">
        <v>177</v>
      </c>
      <c r="C292" s="26" t="s">
        <v>180</v>
      </c>
      <c r="D292" s="26" t="s">
        <v>181</v>
      </c>
      <c r="E292" s="20" t="s">
        <v>639</v>
      </c>
      <c r="F292" s="21" t="str">
        <f>IF(OR(E292="",E292="!!!"),"",IF(NOT(ISNA(VLOOKUP(E292,E$1:E291,1,FALSE()))),"OLD",IF(AND(E292&lt;&gt;"",E292&lt;&gt;"!!!"),"NEW","")))</f>
        <v>NEW</v>
      </c>
      <c r="G292" s="22" t="s">
        <v>156</v>
      </c>
      <c r="H292" s="23" t="str">
        <f t="shared" ca="1" si="25"/>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3">
      <c r="A293" t="s">
        <v>351</v>
      </c>
      <c r="E293" s="20" t="str">
        <f t="shared" si="24"/>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25"/>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347</v>
      </c>
      <c r="E294" s="20" t="str">
        <f t="shared" si="24"/>
        <v/>
      </c>
      <c r="F294" s="21"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25"/>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352</v>
      </c>
      <c r="B295" s="26" t="s">
        <v>172</v>
      </c>
      <c r="C295" s="26" t="s">
        <v>258</v>
      </c>
      <c r="E295" s="20" t="str">
        <f t="shared" si="24"/>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25"/>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353</v>
      </c>
      <c r="E296" s="20" t="str">
        <f t="shared" si="24"/>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25"/>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7" spans="1:12" x14ac:dyDescent="0.3">
      <c r="A297" t="s">
        <v>167</v>
      </c>
      <c r="E297" s="20" t="str">
        <f t="shared" si="24"/>
        <v/>
      </c>
      <c r="F297" s="21"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25"/>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5"/>
    </row>
    <row r="298" spans="1:12" x14ac:dyDescent="0.3">
      <c r="A298" t="s">
        <v>354</v>
      </c>
      <c r="E298" s="20" t="str">
        <f t="shared" si="24"/>
        <v/>
      </c>
      <c r="F298" s="21" t="str">
        <f>IF(OR(E298="",E298="!!!"),"",IF(NOT(ISNA(VLOOKUP(E298,E$1:E297,1,FALSE()))),"OLD",IF(AND(E298&lt;&gt;"",E298&lt;&gt;"!!!"),"NEW","")))</f>
        <v/>
      </c>
      <c r="G298" s="22" t="str">
        <f>IF(OR(E298="",E298="!!!"),"",IF(OR(J298=0,AND(J298=1,K298=1),AND(J298=1,I298="SBJ"),AND(J298=1,I298=0)),"?IN_FOCUS",IF(J298&lt;=2,"?ACTIVATED",IF(J298&lt;&gt;"","?FAMILIAR",IF(F298="NEW",IF(ISNA(VLOOKUP(E298,#REF!,1,FALSE())),"?TYPE_IDENTIFIABLE","?REFERENTIAL"),"_")))))</f>
        <v/>
      </c>
      <c r="H298" s="23" t="str">
        <f t="shared" ca="1" si="25"/>
        <v/>
      </c>
      <c r="I298" s="24" t="str">
        <f>IF(OR(E298="",E298="!!!",F298="NEW"),"",INDEX(B$2:B297,-1+SUMPRODUCT(MAX(ROW(E$2:E297)*(E298=E$2:E297)))))</f>
        <v/>
      </c>
      <c r="J298" s="24" t="str">
        <f ca="1">IF(OR(E298="",E298="!!!",F298="NEW"),"",COUNTBLANK(OFFSET(A$1,,,SUMPRODUCT(MAX(ROW(E$2:E298)*(E298=E$2:E298)))))-COUNTBLANK(OFFSET(A$1,,,SUMPRODUCT(MAX(ROW(E$1:E297)*(E2=E$1:E297))))))</f>
        <v/>
      </c>
      <c r="K298" s="24" t="str">
        <f>IF(OR(E298="",E298="!!!",F298="NEW"),"",INDEX(J$1:J297,SUMPRODUCT(MAX(ROW(E$1:E297)*(E298=E$1:E297)))))</f>
        <v/>
      </c>
      <c r="L298" s="25"/>
    </row>
    <row r="299" spans="1:12" x14ac:dyDescent="0.3">
      <c r="A299" t="s">
        <v>355</v>
      </c>
      <c r="B299" s="26" t="s">
        <v>169</v>
      </c>
      <c r="C299" s="26" t="s">
        <v>297</v>
      </c>
      <c r="D299" s="26" t="s">
        <v>181</v>
      </c>
      <c r="E299" s="20" t="s">
        <v>645</v>
      </c>
      <c r="F299" s="21" t="str">
        <f>IF(OR(E299="",E299="!!!"),"",IF(NOT(ISNA(VLOOKUP(E299,E$1:E298,1,FALSE()))),"OLD",IF(AND(E299&lt;&gt;"",E299&lt;&gt;"!!!"),"NEW","")))</f>
        <v>OLD</v>
      </c>
      <c r="G299" s="22" t="s">
        <v>697</v>
      </c>
      <c r="H299" s="23" t="str">
        <f t="shared" ca="1" si="25"/>
        <v/>
      </c>
      <c r="I299" s="24" t="str">
        <f>IF(OR(E299="",E299="!!!",F299="NEW"),"",INDEX(B$2:B298,-1+SUMPRODUCT(MAX(ROW(E$2:E298)*(E299=E$2:E298)))))</f>
        <v>SBJ_2</v>
      </c>
      <c r="J299" s="24">
        <f ca="1">IF(OR(E299="",E299="!!!",F299="NEW"),"",COUNTBLANK(OFFSET(A$1,,,SUMPRODUCT(MAX(ROW(E$2:E299)*(E299=E$2:E299)))))-COUNTBLANK(OFFSET(A$1,,,SUMPRODUCT(MAX(ROW(E$1:E298)*(E2=E$1:E298))))))</f>
        <v>0</v>
      </c>
      <c r="K299" s="24" t="str">
        <f ca="1">IF(OR(E299="",E299="!!!",F299="NEW"),"",INDEX(J$1:J298,SUMPRODUCT(MAX(ROW(E$1:E298)*(E299=E$1:E298)))))</f>
        <v/>
      </c>
      <c r="L299" s="25"/>
    </row>
    <row r="300" spans="1:12" x14ac:dyDescent="0.3">
      <c r="A300" t="s">
        <v>207</v>
      </c>
      <c r="E300" s="20" t="str">
        <f t="shared" si="24"/>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25"/>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270</v>
      </c>
      <c r="E301" s="20" t="str">
        <f t="shared" si="24"/>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25"/>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356</v>
      </c>
      <c r="E302" s="20" t="str">
        <f t="shared" si="24"/>
        <v/>
      </c>
      <c r="F302" s="21"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25"/>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214</v>
      </c>
      <c r="B303" s="26" t="s">
        <v>189</v>
      </c>
      <c r="C303" s="26" t="s">
        <v>194</v>
      </c>
      <c r="D303" s="26" t="s">
        <v>181</v>
      </c>
      <c r="E303" s="20" t="s">
        <v>647</v>
      </c>
      <c r="F303" s="21" t="str">
        <f>IF(OR(E303="",E303="!!!"),"",IF(NOT(ISNA(VLOOKUP(E303,E$1:E302,1,FALSE()))),"OLD",IF(AND(E303&lt;&gt;"",E303&lt;&gt;"!!!"),"NEW","")))</f>
        <v>OLD</v>
      </c>
      <c r="G303" s="22" t="s">
        <v>696</v>
      </c>
      <c r="H303" s="23" t="str">
        <f t="shared" ca="1" si="25"/>
        <v/>
      </c>
      <c r="I303" s="24">
        <f>IF(OR(E303="",E303="!!!",F303="NEW"),"",INDEX(B$2:B302,-1+SUMPRODUCT(MAX(ROW(E$2:E302)*(E303=E$2:E302)))))</f>
        <v>0</v>
      </c>
      <c r="J303" s="24">
        <f ca="1">IF(OR(E303="",E303="!!!",F303="NEW"),"",COUNTBLANK(OFFSET(A$1,,,SUMPRODUCT(MAX(ROW(E$2:E303)*(E303=E$2:E303)))))-COUNTBLANK(OFFSET(A$1,,,SUMPRODUCT(MAX(ROW(E$1:E302)*(E2=E$1:E302))))))</f>
        <v>0</v>
      </c>
      <c r="K303" s="24">
        <f ca="1">IF(OR(E303="",E303="!!!",F303="NEW"),"",INDEX(J$1:J302,SUMPRODUCT(MAX(ROW(E$1:E302)*(E303=E$1:E302)))))</f>
        <v>0</v>
      </c>
      <c r="L303" s="25"/>
    </row>
    <row r="304" spans="1:12" x14ac:dyDescent="0.3">
      <c r="A304" t="s">
        <v>357</v>
      </c>
      <c r="E304" s="20" t="str">
        <f t="shared" si="24"/>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25"/>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358</v>
      </c>
      <c r="E305" s="20" t="str">
        <f t="shared" si="24"/>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25"/>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178</v>
      </c>
      <c r="E306" s="20" t="str">
        <f t="shared" si="24"/>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25"/>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3">
      <c r="A307" t="s">
        <v>191</v>
      </c>
      <c r="E307" s="20" t="str">
        <f t="shared" si="24"/>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2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3">
      <c r="A308" t="s">
        <v>359</v>
      </c>
      <c r="B308" s="26" t="s">
        <v>189</v>
      </c>
      <c r="C308" s="26" t="s">
        <v>180</v>
      </c>
      <c r="D308" s="26" t="s">
        <v>181</v>
      </c>
      <c r="E308" s="20" t="s">
        <v>640</v>
      </c>
      <c r="F308" s="21" t="str">
        <f>IF(OR(E308="",E308="!!!"),"",IF(NOT(ISNA(VLOOKUP(E308,E$1:E307,1,FALSE()))),"OLD",IF(AND(E308&lt;&gt;"",E308&lt;&gt;"!!!"),"NEW","")))</f>
        <v>NEW</v>
      </c>
      <c r="G308" s="22" t="s">
        <v>699</v>
      </c>
      <c r="H308" s="23" t="str">
        <f t="shared" ca="1" si="25"/>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3">
      <c r="A309" t="s">
        <v>360</v>
      </c>
      <c r="E309" s="20" t="str">
        <f t="shared" si="24"/>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25"/>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0" spans="1:12" x14ac:dyDescent="0.3">
      <c r="A310" t="s">
        <v>361</v>
      </c>
      <c r="E310" s="20" t="str">
        <f t="shared" si="24"/>
        <v/>
      </c>
      <c r="F310" s="21" t="str">
        <f>IF(OR(E310="",E310="!!!"),"",IF(NOT(ISNA(VLOOKUP(E310,E$1:E309,1,FALSE()))),"OLD",IF(AND(E310&lt;&gt;"",E310&lt;&gt;"!!!"),"NEW","")))</f>
        <v/>
      </c>
      <c r="G310" s="22" t="str">
        <f>IF(OR(E310="",E310="!!!"),"",IF(OR(J310=0,AND(J310=1,K310=1),AND(J310=1,I310="SBJ"),AND(J310=1,I310=0)),"?IN_FOCUS",IF(J310&lt;=2,"?ACTIVATED",IF(J310&lt;&gt;"","?FAMILIAR",IF(F310="NEW",IF(ISNA(VLOOKUP(E310,#REF!,1,FALSE())),"?TYPE_IDENTIFIABLE","?REFERENTIAL"),"_")))))</f>
        <v/>
      </c>
      <c r="H310" s="23" t="str">
        <f t="shared" ca="1" si="25"/>
        <v/>
      </c>
      <c r="I310" s="24" t="str">
        <f>IF(OR(E310="",E310="!!!",F310="NEW"),"",INDEX(B$2:B309,-1+SUMPRODUCT(MAX(ROW(E$2:E309)*(E310=E$2:E309)))))</f>
        <v/>
      </c>
      <c r="J310" s="24" t="str">
        <f ca="1">IF(OR(E310="",E310="!!!",F310="NEW"),"",COUNTBLANK(OFFSET(A$1,,,SUMPRODUCT(MAX(ROW(E$2:E310)*(E310=E$2:E310)))))-COUNTBLANK(OFFSET(A$1,,,SUMPRODUCT(MAX(ROW(E$1:E309)*(E2=E$1:E309))))))</f>
        <v/>
      </c>
      <c r="K310" s="24" t="str">
        <f>IF(OR(E310="",E310="!!!",F310="NEW"),"",INDEX(J$1:J309,SUMPRODUCT(MAX(ROW(E$1:E309)*(E310=E$1:E309)))))</f>
        <v/>
      </c>
      <c r="L310" s="25"/>
    </row>
    <row r="311" spans="1:12" x14ac:dyDescent="0.3">
      <c r="A311" t="s">
        <v>327</v>
      </c>
      <c r="E311" s="20" t="str">
        <f t="shared" si="24"/>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25"/>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201</v>
      </c>
      <c r="E312" s="20" t="str">
        <f t="shared" si="24"/>
        <v/>
      </c>
      <c r="F312" s="21"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25"/>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4" spans="1:12" x14ac:dyDescent="0.3">
      <c r="A314" t="s">
        <v>362</v>
      </c>
    </row>
    <row r="315" spans="1:12" x14ac:dyDescent="0.3">
      <c r="A315" t="s">
        <v>234</v>
      </c>
      <c r="E315" s="20" t="str">
        <f t="shared" ref="E315:E343" si="26">IF(D315="?OLD","!!!","")</f>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ref="H315:H343" ca="1" si="27">IF(J315&lt;&gt;1,"",IF(I315="SBJ","CB","?"))</f>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317</v>
      </c>
      <c r="B316" s="26" t="s">
        <v>185</v>
      </c>
      <c r="C316" s="26" t="s">
        <v>290</v>
      </c>
      <c r="D316" s="26" t="s">
        <v>181</v>
      </c>
      <c r="E316" s="20"/>
      <c r="F316" s="21" t="s">
        <v>615</v>
      </c>
      <c r="G316" s="22" t="str">
        <f>IF(OR(E316="",E316="!!!"),"",IF(OR(J316=0,AND(J316=1,K316=1),AND(J316=1,I316="SBJ"),AND(J316=1,I316=0)),"?IN_FOCUS",IF(J316&lt;=2,"?ACTIVATED",IF(J316&lt;&gt;"","?FAMILIAR",IF(F316="NEW",IF(ISNA(VLOOKUP(E316,#REF!,1,FALSE())),"?TYPE_IDENTIFIABLE","?REFERENTIAL"),"_")))))</f>
        <v/>
      </c>
      <c r="H316" s="23" t="str">
        <f t="shared" ca="1" si="27"/>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363</v>
      </c>
      <c r="B317" s="26" t="s">
        <v>189</v>
      </c>
      <c r="C317" s="26" t="s">
        <v>180</v>
      </c>
      <c r="D317" s="26" t="s">
        <v>181</v>
      </c>
      <c r="E317" s="20" t="s">
        <v>641</v>
      </c>
      <c r="F317" s="21" t="str">
        <f>IF(OR(E317="",E317="!!!"),"",IF(NOT(ISNA(VLOOKUP(E317,E$1:E316,1,FALSE()))),"OLD",IF(AND(E317&lt;&gt;"",E317&lt;&gt;"!!!"),"NEW","")))</f>
        <v>NEW</v>
      </c>
      <c r="G317" s="22" t="s">
        <v>699</v>
      </c>
      <c r="H317" s="23" t="str">
        <f t="shared" ca="1" si="27"/>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167</v>
      </c>
      <c r="E318" s="20" t="str">
        <f t="shared" si="26"/>
        <v/>
      </c>
      <c r="F318" s="21"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27"/>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364</v>
      </c>
      <c r="E319" s="20" t="str">
        <f t="shared" si="26"/>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27"/>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230</v>
      </c>
      <c r="E320" s="20" t="str">
        <f t="shared" si="26"/>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27"/>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182</v>
      </c>
      <c r="B321" s="26" t="s">
        <v>189</v>
      </c>
      <c r="C321" s="26" t="s">
        <v>180</v>
      </c>
      <c r="D321" s="26" t="s">
        <v>181</v>
      </c>
      <c r="E321" s="20" t="s">
        <v>643</v>
      </c>
      <c r="F321" s="21" t="str">
        <f>IF(OR(E321="",E321="!!!"),"",IF(NOT(ISNA(VLOOKUP(E321,E$1:E320,1,FALSE()))),"OLD",IF(AND(E321&lt;&gt;"",E321&lt;&gt;"!!!"),"NEW","")))</f>
        <v>OLD</v>
      </c>
      <c r="G321" s="22" t="s">
        <v>696</v>
      </c>
      <c r="H321" s="23" t="str">
        <f t="shared" ca="1" si="27"/>
        <v/>
      </c>
      <c r="I321" s="24" t="str">
        <f>IF(OR(E321="",E321="!!!",F321="NEW"),"",INDEX(B$2:B320,-1+SUMPRODUCT(MAX(ROW(E$2:E320)*(E321=E$2:E320)))))</f>
        <v>other_5</v>
      </c>
      <c r="J321" s="24">
        <f ca="1">IF(OR(E321="",E321="!!!",F321="NEW"),"",COUNTBLANK(OFFSET(A$1,,,SUMPRODUCT(MAX(ROW(E$2:E321)*(E321=E$2:E321)))))-COUNTBLANK(OFFSET(A$1,,,SUMPRODUCT(MAX(ROW(E$1:E320)*(E2=E$1:E320))))))</f>
        <v>0</v>
      </c>
      <c r="K321" s="24">
        <f ca="1">IF(OR(E321="",E321="!!!",F321="NEW"),"",INDEX(J$1:J320,SUMPRODUCT(MAX(ROW(E$1:E320)*(E321=E$1:E320)))))</f>
        <v>0</v>
      </c>
      <c r="L321" s="25"/>
    </row>
    <row r="322" spans="1:12" x14ac:dyDescent="0.3">
      <c r="A322" t="s">
        <v>365</v>
      </c>
      <c r="E322" s="20" t="str">
        <f t="shared" si="26"/>
        <v/>
      </c>
      <c r="F322" s="21"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27"/>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5"/>
    </row>
    <row r="323" spans="1:12" x14ac:dyDescent="0.3">
      <c r="A323" t="s">
        <v>178</v>
      </c>
      <c r="E323" s="20" t="str">
        <f t="shared" si="26"/>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27"/>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3">
      <c r="A324" t="s">
        <v>366</v>
      </c>
      <c r="B324" s="26" t="s">
        <v>177</v>
      </c>
      <c r="C324" s="26" t="s">
        <v>180</v>
      </c>
      <c r="D324" s="26" t="s">
        <v>181</v>
      </c>
      <c r="E324" s="20" t="s">
        <v>642</v>
      </c>
      <c r="F324" s="21" t="str">
        <f>IF(OR(E324="",E324="!!!"),"",IF(NOT(ISNA(VLOOKUP(E324,E$1:E323,1,FALSE()))),"OLD",IF(AND(E324&lt;&gt;"",E324&lt;&gt;"!!!"),"NEW","")))</f>
        <v>NEW</v>
      </c>
      <c r="G324" s="22" t="s">
        <v>696</v>
      </c>
      <c r="H324" s="23" t="str">
        <f t="shared" ca="1" si="27"/>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167</v>
      </c>
      <c r="E325" s="20" t="str">
        <f t="shared" si="26"/>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27"/>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3">
      <c r="A326" t="s">
        <v>179</v>
      </c>
      <c r="B326" s="26" t="s">
        <v>177</v>
      </c>
      <c r="C326" s="26" t="s">
        <v>180</v>
      </c>
      <c r="D326" s="26" t="s">
        <v>181</v>
      </c>
      <c r="E326" s="20" t="s">
        <v>607</v>
      </c>
      <c r="F326" s="21" t="str">
        <f>IF(OR(E326="",E326="!!!"),"",IF(NOT(ISNA(VLOOKUP(E326,E$1:E325,1,FALSE()))),"OLD",IF(AND(E326&lt;&gt;"",E326&lt;&gt;"!!!"),"NEW","")))</f>
        <v>OLD</v>
      </c>
      <c r="G326" s="22" t="s">
        <v>696</v>
      </c>
      <c r="H326" s="23" t="str">
        <f t="shared" ca="1" si="27"/>
        <v/>
      </c>
      <c r="I326" s="24" t="str">
        <f>IF(OR(E326="",E326="!!!",F326="NEW"),"",INDEX(B$2:B325,-1+SUMPRODUCT(MAX(ROW(E$2:E325)*(E326=E$2:E325)))))</f>
        <v>other_5</v>
      </c>
      <c r="J326" s="24">
        <f ca="1">IF(OR(E326="",E326="!!!",F326="NEW"),"",COUNTBLANK(OFFSET(A$1,,,SUMPRODUCT(MAX(ROW(E$2:E326)*(E326=E$2:E326)))))-COUNTBLANK(OFFSET(A$1,,,SUMPRODUCT(MAX(ROW(E$1:E325)*(E2=E$1:E325))))))</f>
        <v>0</v>
      </c>
      <c r="K326" s="24">
        <f ca="1">IF(OR(E326="",E326="!!!",F326="NEW"),"",INDEX(J$1:J325,SUMPRODUCT(MAX(ROW(E$1:E325)*(E326=E$1:E325)))))</f>
        <v>0</v>
      </c>
      <c r="L326" s="25"/>
    </row>
    <row r="327" spans="1:12" x14ac:dyDescent="0.3">
      <c r="A327" t="s">
        <v>167</v>
      </c>
      <c r="E327" s="20" t="str">
        <f t="shared" si="26"/>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27"/>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8" spans="1:12" x14ac:dyDescent="0.3">
      <c r="A328" t="s">
        <v>367</v>
      </c>
      <c r="E328" s="20" t="str">
        <f t="shared" si="26"/>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27"/>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196</v>
      </c>
      <c r="E329" s="20" t="str">
        <f t="shared" si="26"/>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27"/>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197</v>
      </c>
      <c r="E330" s="20" t="str">
        <f t="shared" si="26"/>
        <v/>
      </c>
      <c r="F330" s="21"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27"/>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5"/>
    </row>
    <row r="331" spans="1:12" x14ac:dyDescent="0.3">
      <c r="A331" t="s">
        <v>198</v>
      </c>
      <c r="B331" s="26" t="s">
        <v>165</v>
      </c>
      <c r="C331" s="26" t="s">
        <v>180</v>
      </c>
      <c r="D331" s="26" t="s">
        <v>181</v>
      </c>
      <c r="E331" s="20" t="s">
        <v>609</v>
      </c>
      <c r="F331" s="21" t="str">
        <f>IF(OR(E331="",E331="!!!"),"",IF(NOT(ISNA(VLOOKUP(E331,E$1:E330,1,FALSE()))),"OLD",IF(AND(E331&lt;&gt;"",E331&lt;&gt;"!!!"),"NEW","")))</f>
        <v>OLD</v>
      </c>
      <c r="G331" s="22" t="s">
        <v>696</v>
      </c>
      <c r="H331" s="23" t="str">
        <f t="shared" ca="1" si="27"/>
        <v/>
      </c>
      <c r="I331" s="24" t="str">
        <f>IF(OR(E331="",E331="!!!",F331="NEW"),"",INDEX(B$2:B330,-1+SUMPRODUCT(MAX(ROW(E$2:E330)*(E331=E$2:E330)))))</f>
        <v>other</v>
      </c>
      <c r="J331" s="24">
        <f ca="1">IF(OR(E331="",E331="!!!",F331="NEW"),"",COUNTBLANK(OFFSET(A$1,,,SUMPRODUCT(MAX(ROW(E$2:E331)*(E331=E$2:E331)))))-COUNTBLANK(OFFSET(A$1,,,SUMPRODUCT(MAX(ROW(E$1:E330)*(E2=E$1:E330))))))</f>
        <v>0</v>
      </c>
      <c r="K331" s="24">
        <f ca="1">IF(OR(E331="",E331="!!!",F331="NEW"),"",INDEX(J$1:J330,SUMPRODUCT(MAX(ROW(E$1:E330)*(E331=E$1:E330)))))</f>
        <v>0</v>
      </c>
      <c r="L331" s="25"/>
    </row>
    <row r="332" spans="1:12" x14ac:dyDescent="0.3">
      <c r="A332" t="s">
        <v>250</v>
      </c>
      <c r="E332" s="20" t="str">
        <f t="shared" si="26"/>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27"/>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368</v>
      </c>
      <c r="E333" s="20" t="str">
        <f t="shared" si="26"/>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27"/>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4" spans="1:12" x14ac:dyDescent="0.3">
      <c r="A334" t="s">
        <v>369</v>
      </c>
      <c r="E334" s="20" t="str">
        <f t="shared" si="26"/>
        <v/>
      </c>
      <c r="F334" s="21"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27"/>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5"/>
    </row>
    <row r="335" spans="1:12" x14ac:dyDescent="0.3">
      <c r="A335" t="s">
        <v>191</v>
      </c>
      <c r="E335" s="20" t="str">
        <f t="shared" si="26"/>
        <v/>
      </c>
      <c r="F335" s="21"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27"/>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5"/>
    </row>
    <row r="336" spans="1:12" x14ac:dyDescent="0.3">
      <c r="A336" t="s">
        <v>370</v>
      </c>
      <c r="E336" s="20" t="str">
        <f t="shared" si="26"/>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ca="1" si="27"/>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371</v>
      </c>
      <c r="B337" s="26" t="s">
        <v>193</v>
      </c>
      <c r="C337" s="26" t="s">
        <v>194</v>
      </c>
      <c r="D337" s="26" t="s">
        <v>181</v>
      </c>
      <c r="E337" s="20" t="s">
        <v>683</v>
      </c>
      <c r="F337" s="21" t="str">
        <f>IF(OR(E337="",E337="!!!"),"",IF(NOT(ISNA(VLOOKUP(E337,E$1:E336,1,FALSE()))),"OLD",IF(AND(E337&lt;&gt;"",E337&lt;&gt;"!!!"),"NEW","")))</f>
        <v>NEW</v>
      </c>
      <c r="G337" s="22" t="s">
        <v>699</v>
      </c>
      <c r="H337" s="23" t="str">
        <f t="shared" ca="1" si="27"/>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8" spans="1:12" x14ac:dyDescent="0.3">
      <c r="A338" t="s">
        <v>167</v>
      </c>
      <c r="E338" s="20" t="str">
        <f t="shared" si="26"/>
        <v/>
      </c>
      <c r="F338" s="21" t="str">
        <f>IF(OR(E338="",E338="!!!"),"",IF(NOT(ISNA(VLOOKUP(E338,E$1:E337,1,FALSE()))),"OLD",IF(AND(E338&lt;&gt;"",E338&lt;&gt;"!!!"),"NEW","")))</f>
        <v/>
      </c>
      <c r="G338" s="22" t="str">
        <f>IF(OR(E338="",E338="!!!"),"",IF(OR(J338=0,AND(J338=1,K338=1),AND(J338=1,I338="SBJ"),AND(J338=1,I338=0)),"?IN_FOCUS",IF(J338&lt;=2,"?ACTIVATED",IF(J338&lt;&gt;"","?FAMILIAR",IF(F338="NEW",IF(ISNA(VLOOKUP(E338,#REF!,1,FALSE())),"?TYPE_IDENTIFIABLE","?REFERENTIAL"),"_")))))</f>
        <v/>
      </c>
      <c r="H338" s="23" t="str">
        <f t="shared" ca="1" si="27"/>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230</v>
      </c>
      <c r="B339" s="26" t="s">
        <v>372</v>
      </c>
      <c r="E339" s="20" t="str">
        <f t="shared" si="26"/>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t="shared" ca="1" si="27"/>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373</v>
      </c>
      <c r="E340" s="20" t="str">
        <f t="shared" si="26"/>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27"/>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374</v>
      </c>
      <c r="E341" s="20" t="str">
        <f t="shared" si="26"/>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27"/>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308</v>
      </c>
      <c r="E342" s="20" t="str">
        <f t="shared" si="26"/>
        <v/>
      </c>
      <c r="F342" s="21" t="str">
        <f>IF(OR(E342="",E342="!!!"),"",IF(NOT(ISNA(VLOOKUP(E342,E$1:E341,1,FALSE()))),"OLD",IF(AND(E342&lt;&gt;"",E342&lt;&gt;"!!!"),"NEW","")))</f>
        <v/>
      </c>
      <c r="G342" s="22" t="str">
        <f>IF(OR(E342="",E342="!!!"),"",IF(OR(J342=0,AND(J342=1,K342=1),AND(J342=1,I342="SBJ"),AND(J342=1,I342=0)),"?IN_FOCUS",IF(J342&lt;=2,"?ACTIVATED",IF(J342&lt;&gt;"","?FAMILIAR",IF(F342="NEW",IF(ISNA(VLOOKUP(E342,#REF!,1,FALSE())),"?TYPE_IDENTIFIABLE","?REFERENTIAL"),"_")))))</f>
        <v/>
      </c>
      <c r="H342" s="23" t="str">
        <f t="shared" ca="1" si="27"/>
        <v/>
      </c>
      <c r="I342" s="24" t="str">
        <f>IF(OR(E342="",E342="!!!",F342="NEW"),"",INDEX(B$2:B341,-1+SUMPRODUCT(MAX(ROW(E$2:E341)*(E342=E$2:E341)))))</f>
        <v/>
      </c>
      <c r="J342" s="24" t="str">
        <f ca="1">IF(OR(E342="",E342="!!!",F342="NEW"),"",COUNTBLANK(OFFSET(A$1,,,SUMPRODUCT(MAX(ROW(E$2:E342)*(E342=E$2:E342)))))-COUNTBLANK(OFFSET(A$1,,,SUMPRODUCT(MAX(ROW(E$1:E341)*(E2=E$1:E341))))))</f>
        <v/>
      </c>
      <c r="K342" s="24" t="str">
        <f>IF(OR(E342="",E342="!!!",F342="NEW"),"",INDEX(J$1:J341,SUMPRODUCT(MAX(ROW(E$1:E341)*(E342=E$1:E341)))))</f>
        <v/>
      </c>
      <c r="L342" s="25"/>
    </row>
    <row r="343" spans="1:12" x14ac:dyDescent="0.3">
      <c r="A343" t="s">
        <v>201</v>
      </c>
      <c r="E343" s="20" t="str">
        <f t="shared" si="26"/>
        <v/>
      </c>
      <c r="F343" s="21" t="str">
        <f>IF(OR(E343="",E343="!!!"),"",IF(NOT(ISNA(VLOOKUP(E343,E$1:E342,1,FALSE()))),"OLD",IF(AND(E343&lt;&gt;"",E343&lt;&gt;"!!!"),"NEW","")))</f>
        <v/>
      </c>
      <c r="G343" s="22" t="str">
        <f>IF(OR(E343="",E343="!!!"),"",IF(OR(J343=0,AND(J343=1,K343=1),AND(J343=1,I343="SBJ"),AND(J343=1,I343=0)),"?IN_FOCUS",IF(J343&lt;=2,"?ACTIVATED",IF(J343&lt;&gt;"","?FAMILIAR",IF(F343="NEW",IF(ISNA(VLOOKUP(E343,#REF!,1,FALSE())),"?TYPE_IDENTIFIABLE","?REFERENTIAL"),"_")))))</f>
        <v/>
      </c>
      <c r="H343" s="23" t="str">
        <f t="shared" ca="1" si="27"/>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5" spans="1:12" x14ac:dyDescent="0.3">
      <c r="A345" t="s">
        <v>375</v>
      </c>
    </row>
    <row r="346" spans="1:12" x14ac:dyDescent="0.3">
      <c r="A346" t="s">
        <v>376</v>
      </c>
      <c r="B346" s="26" t="s">
        <v>185</v>
      </c>
      <c r="C346" s="26" t="s">
        <v>180</v>
      </c>
      <c r="D346" s="26" t="s">
        <v>181</v>
      </c>
      <c r="E346" s="20"/>
      <c r="F346" s="21" t="s">
        <v>616</v>
      </c>
      <c r="G346" s="22" t="str">
        <f>IF(OR(E346="",E346="!!!"),"",IF(OR(J346=0,AND(J346=1,K346=1),AND(J346=1,I346="SBJ"),AND(J346=1,I346=0)),"?IN_FOCUS",IF(J346&lt;=2,"?ACTIVATED",IF(J346&lt;&gt;"","?FAMILIAR",IF(F346="NEW",IF(ISNA(VLOOKUP(E346,#REF!,1,FALSE())),"?TYPE_IDENTIFIABLE","?REFERENTIAL"),"_")))))</f>
        <v/>
      </c>
      <c r="H346" s="23" t="str">
        <f t="shared" ref="H346:H365" ca="1" si="28">IF(J346&lt;&gt;1,"",IF(I346="SBJ","CB","?"))</f>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377</v>
      </c>
      <c r="E347" s="20" t="str">
        <f t="shared" ref="E347:E365" si="29">IF(D347="?OLD","!!!","")</f>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28"/>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8" spans="1:12" x14ac:dyDescent="0.3">
      <c r="A348" t="s">
        <v>378</v>
      </c>
      <c r="E348" s="20" t="str">
        <f t="shared" si="29"/>
        <v/>
      </c>
      <c r="F348" s="21"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28"/>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5"/>
    </row>
    <row r="349" spans="1:12" x14ac:dyDescent="0.3">
      <c r="A349" t="s">
        <v>379</v>
      </c>
      <c r="E349" s="20" t="str">
        <f t="shared" si="29"/>
        <v/>
      </c>
      <c r="F349" s="21" t="str">
        <f>IF(OR(E349="",E349="!!!"),"",IF(NOT(ISNA(VLOOKUP(E349,E$1:E348,1,FALSE()))),"OLD",IF(AND(E349&lt;&gt;"",E349&lt;&gt;"!!!"),"NEW","")))</f>
        <v/>
      </c>
      <c r="G349" s="22" t="str">
        <f>IF(OR(E349="",E349="!!!"),"",IF(OR(J349=0,AND(J349=1,K349=1),AND(J349=1,I349="SBJ"),AND(J349=1,I349=0)),"?IN_FOCUS",IF(J349&lt;=2,"?ACTIVATED",IF(J349&lt;&gt;"","?FAMILIAR",IF(F349="NEW",IF(ISNA(VLOOKUP(E349,#REF!,1,FALSE())),"?TYPE_IDENTIFIABLE","?REFERENTIAL"),"_")))))</f>
        <v/>
      </c>
      <c r="H349" s="23" t="str">
        <f t="shared" ca="1" si="28"/>
        <v/>
      </c>
      <c r="I349" s="24" t="str">
        <f>IF(OR(E349="",E349="!!!",F349="NEW"),"",INDEX(B$2:B348,-1+SUMPRODUCT(MAX(ROW(E$2:E348)*(E349=E$2:E348)))))</f>
        <v/>
      </c>
      <c r="J349" s="24" t="str">
        <f ca="1">IF(OR(E349="",E349="!!!",F349="NEW"),"",COUNTBLANK(OFFSET(A$1,,,SUMPRODUCT(MAX(ROW(E$2:E349)*(E349=E$2:E349)))))-COUNTBLANK(OFFSET(A$1,,,SUMPRODUCT(MAX(ROW(E$1:E348)*(E2=E$1:E348))))))</f>
        <v/>
      </c>
      <c r="K349" s="24" t="str">
        <f>IF(OR(E349="",E349="!!!",F349="NEW"),"",INDEX(J$1:J348,SUMPRODUCT(MAX(ROW(E$1:E348)*(E349=E$1:E348)))))</f>
        <v/>
      </c>
      <c r="L349" s="25"/>
    </row>
    <row r="350" spans="1:12" x14ac:dyDescent="0.3">
      <c r="A350" t="s">
        <v>380</v>
      </c>
      <c r="B350" s="26" t="s">
        <v>193</v>
      </c>
      <c r="C350" s="26" t="s">
        <v>166</v>
      </c>
      <c r="E350" s="20" t="str">
        <f t="shared" si="29"/>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28"/>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381</v>
      </c>
      <c r="E351" s="20" t="str">
        <f t="shared" si="29"/>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28"/>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197</v>
      </c>
      <c r="E352" s="20" t="str">
        <f t="shared" si="29"/>
        <v/>
      </c>
      <c r="F352" s="21"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28"/>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382</v>
      </c>
      <c r="B353" s="26" t="s">
        <v>165</v>
      </c>
      <c r="C353" s="26" t="s">
        <v>194</v>
      </c>
      <c r="D353" s="26" t="s">
        <v>181</v>
      </c>
      <c r="E353" s="20" t="s">
        <v>684</v>
      </c>
      <c r="F353" s="21" t="str">
        <f>IF(OR(E353="",E353="!!!"),"",IF(NOT(ISNA(VLOOKUP(E353,E$1:E352,1,FALSE()))),"OLD",IF(AND(E353&lt;&gt;"",E353&lt;&gt;"!!!"),"NEW","")))</f>
        <v>NEW</v>
      </c>
      <c r="G353" s="22" t="s">
        <v>699</v>
      </c>
      <c r="H353" s="23" t="str">
        <f t="shared" ca="1" si="28"/>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178</v>
      </c>
      <c r="E354" s="20" t="str">
        <f t="shared" si="29"/>
        <v/>
      </c>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28"/>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191</v>
      </c>
      <c r="E355" s="20" t="str">
        <f t="shared" si="29"/>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28"/>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3">
      <c r="A356" t="s">
        <v>383</v>
      </c>
      <c r="B356" s="26" t="s">
        <v>165</v>
      </c>
      <c r="C356" s="26" t="s">
        <v>194</v>
      </c>
      <c r="D356" s="26" t="s">
        <v>181</v>
      </c>
      <c r="E356" s="20"/>
      <c r="F356" s="21" t="s">
        <v>615</v>
      </c>
      <c r="G356" s="22" t="str">
        <f>IF(OR(E356="",E356="!!!"),"",IF(OR(J356=0,AND(J356=1,K356=1),AND(J356=1,I356="SBJ"),AND(J356=1,I356=0)),"?IN_FOCUS",IF(J356&lt;=2,"?ACTIVATED",IF(J356&lt;&gt;"","?FAMILIAR",IF(F356="NEW",IF(ISNA(VLOOKUP(E356,#REF!,1,FALSE())),"?TYPE_IDENTIFIABLE","?REFERENTIAL"),"_")))))</f>
        <v/>
      </c>
      <c r="H356" s="23" t="str">
        <f t="shared" ca="1" si="28"/>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322</v>
      </c>
      <c r="B357" s="26" t="s">
        <v>189</v>
      </c>
      <c r="C357" s="26" t="s">
        <v>180</v>
      </c>
      <c r="D357" s="26" t="s">
        <v>181</v>
      </c>
      <c r="E357" s="20" t="s">
        <v>685</v>
      </c>
      <c r="F357" s="21" t="str">
        <f>IF(OR(E357="",E357="!!!"),"",IF(NOT(ISNA(VLOOKUP(E357,E$1:E356,1,FALSE()))),"OLD",IF(AND(E357&lt;&gt;"",E357&lt;&gt;"!!!"),"NEW","")))</f>
        <v>NEW</v>
      </c>
      <c r="G357" s="22" t="s">
        <v>699</v>
      </c>
      <c r="H357" s="23" t="str">
        <f t="shared" ca="1" si="28"/>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186</v>
      </c>
      <c r="E358" s="20" t="str">
        <f t="shared" si="29"/>
        <v/>
      </c>
      <c r="F358" s="21"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28"/>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59" spans="1:12" x14ac:dyDescent="0.3">
      <c r="A359" t="s">
        <v>384</v>
      </c>
      <c r="B359" s="26" t="s">
        <v>177</v>
      </c>
      <c r="C359" s="26" t="s">
        <v>180</v>
      </c>
      <c r="D359" s="26" t="s">
        <v>181</v>
      </c>
      <c r="E359" s="20" t="s">
        <v>648</v>
      </c>
      <c r="F359" s="21" t="str">
        <f>IF(OR(E359="",E359="!!!"),"",IF(NOT(ISNA(VLOOKUP(E359,E$1:E358,1,FALSE()))),"OLD",IF(AND(E359&lt;&gt;"",E359&lt;&gt;"!!!"),"NEW","")))</f>
        <v>NEW</v>
      </c>
      <c r="G359" s="22" t="s">
        <v>699</v>
      </c>
      <c r="H359" s="23" t="str">
        <f t="shared" ca="1" si="28"/>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178</v>
      </c>
      <c r="E360" s="20" t="str">
        <f t="shared" si="29"/>
        <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28"/>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197</v>
      </c>
      <c r="E361" s="20" t="str">
        <f t="shared" si="29"/>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28"/>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385</v>
      </c>
      <c r="B362" s="26" t="s">
        <v>189</v>
      </c>
      <c r="C362" s="26" t="s">
        <v>194</v>
      </c>
      <c r="D362" s="26" t="s">
        <v>181</v>
      </c>
      <c r="E362" s="20" t="s">
        <v>612</v>
      </c>
      <c r="F362" s="21" t="str">
        <f>IF(OR(E362="",E362="!!!"),"",IF(NOT(ISNA(VLOOKUP(E362,E$1:E361,1,FALSE()))),"OLD",IF(AND(E362&lt;&gt;"",E362&lt;&gt;"!!!"),"NEW","")))</f>
        <v>OLD</v>
      </c>
      <c r="G362" s="22" t="s">
        <v>696</v>
      </c>
      <c r="H362" s="23" t="str">
        <f t="shared" ca="1" si="28"/>
        <v/>
      </c>
      <c r="I362" s="24" t="str">
        <f>IF(OR(E362="",E362="!!!",F362="NEW"),"",INDEX(B$2:B361,-1+SUMPRODUCT(MAX(ROW(E$2:E361)*(E362=E$2:E361)))))</f>
        <v>other_4</v>
      </c>
      <c r="J362" s="24">
        <f ca="1">IF(OR(E362="",E362="!!!",F362="NEW"),"",COUNTBLANK(OFFSET(A$1,,,SUMPRODUCT(MAX(ROW(E$2:E362)*(E362=E$2:E362)))))-COUNTBLANK(OFFSET(A$1,,,SUMPRODUCT(MAX(ROW(E$1:E361)*(E2=E$1:E361))))))</f>
        <v>0</v>
      </c>
      <c r="K362" s="24" t="str">
        <f ca="1">IF(OR(E362="",E362="!!!",F362="NEW"),"",INDEX(J$1:J361,SUMPRODUCT(MAX(ROW(E$1:E361)*(E362=E$1:E361)))))</f>
        <v/>
      </c>
      <c r="L362" s="25"/>
    </row>
    <row r="363" spans="1:12" x14ac:dyDescent="0.3">
      <c r="A363" t="s">
        <v>235</v>
      </c>
      <c r="E363" s="20" t="str">
        <f t="shared" si="29"/>
        <v/>
      </c>
      <c r="F363" s="21"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28"/>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182</v>
      </c>
      <c r="B364" s="26" t="s">
        <v>177</v>
      </c>
      <c r="C364" s="26" t="s">
        <v>180</v>
      </c>
      <c r="D364" s="26" t="s">
        <v>181</v>
      </c>
      <c r="E364" s="20" t="s">
        <v>643</v>
      </c>
      <c r="F364" s="21" t="str">
        <f>IF(OR(E364="",E364="!!!"),"",IF(NOT(ISNA(VLOOKUP(E364,E$1:E363,1,FALSE()))),"OLD",IF(AND(E364&lt;&gt;"",E364&lt;&gt;"!!!"),"NEW","")))</f>
        <v>OLD</v>
      </c>
      <c r="G364" s="22" t="s">
        <v>698</v>
      </c>
      <c r="H364" s="23" t="s">
        <v>158</v>
      </c>
      <c r="I364" s="24" t="str">
        <f>IF(OR(E364="",E364="!!!",F364="NEW"),"",INDEX(B$2:B363,-1+SUMPRODUCT(MAX(ROW(E$2:E363)*(E364=E$2:E363)))))</f>
        <v>other_2</v>
      </c>
      <c r="J364" s="24">
        <f ca="1">IF(OR(E364="",E364="!!!",F364="NEW"),"",COUNTBLANK(OFFSET(A$1,,,SUMPRODUCT(MAX(ROW(E$2:E364)*(E364=E$2:E364)))))-COUNTBLANK(OFFSET(A$1,,,SUMPRODUCT(MAX(ROW(E$1:E363)*(E2=E$1:E363))))))</f>
        <v>0</v>
      </c>
      <c r="K364" s="24">
        <f ca="1">IF(OR(E364="",E364="!!!",F364="NEW"),"",INDEX(J$1:J363,SUMPRODUCT(MAX(ROW(E$1:E363)*(E364=E$1:E363)))))</f>
        <v>0</v>
      </c>
      <c r="L364" s="25"/>
    </row>
    <row r="365" spans="1:12" x14ac:dyDescent="0.3">
      <c r="A365" t="s">
        <v>201</v>
      </c>
      <c r="E365" s="20" t="str">
        <f t="shared" si="29"/>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28"/>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7" spans="1:12" x14ac:dyDescent="0.3">
      <c r="A367" t="s">
        <v>386</v>
      </c>
    </row>
    <row r="368" spans="1:12" x14ac:dyDescent="0.3">
      <c r="A368" t="s">
        <v>387</v>
      </c>
      <c r="B368" s="26" t="s">
        <v>185</v>
      </c>
      <c r="C368" s="26" t="s">
        <v>180</v>
      </c>
      <c r="D368" s="26" t="s">
        <v>181</v>
      </c>
      <c r="E368" s="20" t="s">
        <v>649</v>
      </c>
      <c r="F368" s="21" t="str">
        <f>IF(OR(E368="",E368="!!!"),"",IF(NOT(ISNA(VLOOKUP(E368,E$1:E367,1,FALSE()))),"OLD",IF(AND(E368&lt;&gt;"",E368&lt;&gt;"!!!"),"NEW","")))</f>
        <v>NEW</v>
      </c>
      <c r="G368" s="22" t="s">
        <v>156</v>
      </c>
      <c r="H368" s="23" t="str">
        <f t="shared" ref="H368:H392" ca="1" si="30">IF(J368&lt;&gt;1,"",IF(I368="SBJ","CB","?"))</f>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388</v>
      </c>
      <c r="E369" s="20" t="str">
        <f t="shared" ref="E369:E392" si="31">IF(D369="?OLD","!!!","")</f>
        <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30"/>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167</v>
      </c>
      <c r="E370" s="20" t="str">
        <f t="shared" si="31"/>
        <v/>
      </c>
      <c r="F370" s="21"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30"/>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row>
    <row r="371" spans="1:12" x14ac:dyDescent="0.3">
      <c r="A371" t="s">
        <v>389</v>
      </c>
      <c r="E371" s="20" t="s">
        <v>649</v>
      </c>
      <c r="F371" s="21" t="str">
        <f>IF(OR(E371="",E371="!!!"),"",IF(NOT(ISNA(VLOOKUP(E371,E$1:E370,1,FALSE()))),"OLD",IF(AND(E371&lt;&gt;"",E371&lt;&gt;"!!!"),"NEW","")))</f>
        <v>OLD</v>
      </c>
      <c r="G371" s="22" t="s">
        <v>697</v>
      </c>
      <c r="H371" s="23" t="str">
        <f t="shared" ca="1" si="30"/>
        <v/>
      </c>
      <c r="I371" s="24" t="str">
        <f>IF(OR(E371="",E371="!!!",F371="NEW"),"",INDEX(B$2:B370,-1+SUMPRODUCT(MAX(ROW(E$2:E370)*(E371=E$2:E370)))))</f>
        <v>SBJ</v>
      </c>
      <c r="J371" s="24">
        <f ca="1">IF(OR(E371="",E371="!!!",F371="NEW"),"",COUNTBLANK(OFFSET(A$1,,,SUMPRODUCT(MAX(ROW(E$2:E371)*(E371=E$2:E371)))))-COUNTBLANK(OFFSET(A$1,,,SUMPRODUCT(MAX(ROW(E$1:E370)*(E2=E$1:E370))))))</f>
        <v>0</v>
      </c>
      <c r="K371" s="24" t="str">
        <f ca="1">IF(OR(E371="",E371="!!!",F371="NEW"),"",INDEX(J$1:J370,SUMPRODUCT(MAX(ROW(E$1:E370)*(E371=E$1:E370)))))</f>
        <v/>
      </c>
      <c r="L371" s="25"/>
    </row>
    <row r="372" spans="1:12" x14ac:dyDescent="0.3">
      <c r="A372" t="s">
        <v>390</v>
      </c>
      <c r="B372" s="26" t="s">
        <v>189</v>
      </c>
      <c r="C372" s="26" t="s">
        <v>224</v>
      </c>
      <c r="E372" s="20" t="s">
        <v>650</v>
      </c>
      <c r="F372" s="21" t="str">
        <f>IF(OR(E372="",E372="!!!"),"",IF(NOT(ISNA(VLOOKUP(E372,E$1:E371,1,FALSE()))),"OLD",IF(AND(E372&lt;&gt;"",E372&lt;&gt;"!!!"),"NEW","")))</f>
        <v>NEW</v>
      </c>
      <c r="G372" s="22" t="s">
        <v>699</v>
      </c>
      <c r="H372" s="23" t="str">
        <f t="shared" ca="1" si="30"/>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186</v>
      </c>
      <c r="E373" s="20" t="str">
        <f t="shared" si="31"/>
        <v/>
      </c>
      <c r="F373" s="21"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30"/>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5"/>
    </row>
    <row r="374" spans="1:12" x14ac:dyDescent="0.3">
      <c r="A374" t="s">
        <v>391</v>
      </c>
      <c r="E374" s="20" t="s">
        <v>649</v>
      </c>
      <c r="F374" s="21" t="str">
        <f>IF(OR(E374="",E374="!!!"),"",IF(NOT(ISNA(VLOOKUP(E374,E$1:E373,1,FALSE()))),"OLD",IF(AND(E374&lt;&gt;"",E374&lt;&gt;"!!!"),"NEW","")))</f>
        <v>OLD</v>
      </c>
      <c r="G374" s="22" t="s">
        <v>697</v>
      </c>
      <c r="H374" s="23" t="str">
        <f t="shared" ca="1" si="30"/>
        <v/>
      </c>
      <c r="I374" s="24">
        <f>IF(OR(E374="",E374="!!!",F374="NEW"),"",INDEX(B$2:B373,-1+SUMPRODUCT(MAX(ROW(E$2:E373)*(E374=E$2:E373)))))</f>
        <v>0</v>
      </c>
      <c r="J374" s="24">
        <f ca="1">IF(OR(E374="",E374="!!!",F374="NEW"),"",COUNTBLANK(OFFSET(A$1,,,SUMPRODUCT(MAX(ROW(E$2:E374)*(E374=E$2:E374)))))-COUNTBLANK(OFFSET(A$1,,,SUMPRODUCT(MAX(ROW(E$1:E373)*(E2=E$1:E373))))))</f>
        <v>0</v>
      </c>
      <c r="K374" s="24">
        <f ca="1">IF(OR(E374="",E374="!!!",F374="NEW"),"",INDEX(J$1:J373,SUMPRODUCT(MAX(ROW(E$1:E373)*(E374=E$1:E373)))))</f>
        <v>0</v>
      </c>
      <c r="L374" s="25"/>
    </row>
    <row r="375" spans="1:12" x14ac:dyDescent="0.3">
      <c r="A375" t="s">
        <v>392</v>
      </c>
      <c r="B375" s="26" t="s">
        <v>189</v>
      </c>
      <c r="C375" s="26" t="s">
        <v>224</v>
      </c>
      <c r="E375" s="20" t="s">
        <v>657</v>
      </c>
      <c r="F375" s="21" t="str">
        <f>IF(OR(E375="",E375="!!!"),"",IF(NOT(ISNA(VLOOKUP(E375,E$1:E374,1,FALSE()))),"OLD",IF(AND(E375&lt;&gt;"",E375&lt;&gt;"!!!"),"NEW","")))</f>
        <v>NEW</v>
      </c>
      <c r="G375" s="22" t="s">
        <v>699</v>
      </c>
      <c r="H375" s="23" t="str">
        <f t="shared" ca="1" si="30"/>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393</v>
      </c>
      <c r="E376" s="20" t="str">
        <f t="shared" si="31"/>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30"/>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269</v>
      </c>
      <c r="E377" s="20" t="str">
        <f t="shared" si="31"/>
        <v/>
      </c>
      <c r="F377" s="21" t="str">
        <f>IF(OR(E377="",E377="!!!"),"",IF(NOT(ISNA(VLOOKUP(E377,E$1:E376,1,FALSE()))),"OLD",IF(AND(E377&lt;&gt;"",E377&lt;&gt;"!!!"),"NEW","")))</f>
        <v/>
      </c>
      <c r="G377" s="22" t="str">
        <f>IF(OR(E377="",E377="!!!"),"",IF(OR(J377=0,AND(J377=1,K377=1),AND(J377=1,I377="SBJ"),AND(J377=1,I377=0)),"?IN_FOCUS",IF(J377&lt;=2,"?ACTIVATED",IF(J377&lt;&gt;"","?FAMILIAR",IF(F377="NEW",IF(ISNA(VLOOKUP(E377,#REF!,1,FALSE())),"?TYPE_IDENTIFIABLE","?REFERENTIAL"),"_")))))</f>
        <v/>
      </c>
      <c r="H377" s="23" t="str">
        <f t="shared" ca="1" si="30"/>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394</v>
      </c>
      <c r="E378" s="20" t="str">
        <f t="shared" si="31"/>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30"/>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395</v>
      </c>
      <c r="B379" s="26" t="s">
        <v>165</v>
      </c>
      <c r="C379" s="26" t="s">
        <v>297</v>
      </c>
      <c r="D379" s="26" t="s">
        <v>181</v>
      </c>
      <c r="E379" s="20" t="s">
        <v>652</v>
      </c>
      <c r="F379" s="21" t="str">
        <f>IF(OR(E379="",E379="!!!"),"",IF(NOT(ISNA(VLOOKUP(E379,E$1:E378,1,FALSE()))),"OLD",IF(AND(E379&lt;&gt;"",E379&lt;&gt;"!!!"),"NEW","")))</f>
        <v>NEW</v>
      </c>
      <c r="G379" s="22" t="s">
        <v>699</v>
      </c>
      <c r="H379" s="23" t="str">
        <f t="shared" ca="1" si="30"/>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167</v>
      </c>
      <c r="E380" s="20" t="str">
        <f t="shared" si="31"/>
        <v/>
      </c>
      <c r="F380" s="21"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30"/>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270</v>
      </c>
      <c r="B381" s="26" t="s">
        <v>372</v>
      </c>
      <c r="E381" s="20" t="str">
        <f t="shared" si="31"/>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30"/>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196</v>
      </c>
      <c r="E382" s="20" t="str">
        <f t="shared" si="31"/>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ca="1" si="30"/>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x14ac:dyDescent="0.3">
      <c r="A383" t="s">
        <v>197</v>
      </c>
      <c r="E383" s="20" t="str">
        <f t="shared" si="31"/>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30"/>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198</v>
      </c>
      <c r="B384" s="26" t="s">
        <v>177</v>
      </c>
      <c r="C384" s="26" t="s">
        <v>180</v>
      </c>
      <c r="D384" s="26" t="s">
        <v>181</v>
      </c>
      <c r="E384" s="20" t="s">
        <v>609</v>
      </c>
      <c r="F384" s="21" t="str">
        <f>IF(OR(E384="",E384="!!!"),"",IF(NOT(ISNA(VLOOKUP(E384,E$1:E383,1,FALSE()))),"OLD",IF(AND(E384&lt;&gt;"",E384&lt;&gt;"!!!"),"NEW","")))</f>
        <v>OLD</v>
      </c>
      <c r="G384" s="22" t="s">
        <v>698</v>
      </c>
      <c r="H384" s="23" t="str">
        <f t="shared" ca="1" si="30"/>
        <v/>
      </c>
      <c r="I384" s="24" t="str">
        <f>IF(OR(E384="",E384="!!!",F384="NEW"),"",INDEX(B$2:B383,-1+SUMPRODUCT(MAX(ROW(E$2:E383)*(E384=E$2:E383)))))</f>
        <v>other</v>
      </c>
      <c r="J384" s="24">
        <f ca="1">IF(OR(E384="",E384="!!!",F384="NEW"),"",COUNTBLANK(OFFSET(A$1,,,SUMPRODUCT(MAX(ROW(E$2:E384)*(E384=E$2:E384)))))-COUNTBLANK(OFFSET(A$1,,,SUMPRODUCT(MAX(ROW(E$1:E383)*(E2=E$1:E383))))))</f>
        <v>0</v>
      </c>
      <c r="K384" s="24">
        <f ca="1">IF(OR(E384="",E384="!!!",F384="NEW"),"",INDEX(J$1:J383,SUMPRODUCT(MAX(ROW(E$1:E383)*(E384=E$1:E383)))))</f>
        <v>0</v>
      </c>
      <c r="L384" s="25"/>
    </row>
    <row r="385" spans="1:12" x14ac:dyDescent="0.3">
      <c r="A385" t="s">
        <v>178</v>
      </c>
      <c r="E385" s="20" t="str">
        <f t="shared" si="31"/>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30"/>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6" spans="1:12" x14ac:dyDescent="0.3">
      <c r="A386" t="s">
        <v>230</v>
      </c>
      <c r="E386" s="20" t="str">
        <f t="shared" si="31"/>
        <v/>
      </c>
      <c r="F386" s="21"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30"/>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5"/>
    </row>
    <row r="387" spans="1:12" x14ac:dyDescent="0.3">
      <c r="A387" t="s">
        <v>319</v>
      </c>
      <c r="B387" s="26" t="s">
        <v>177</v>
      </c>
      <c r="C387" s="26" t="s">
        <v>194</v>
      </c>
      <c r="D387" s="26" t="s">
        <v>181</v>
      </c>
      <c r="E387" s="20"/>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t="shared" ca="1" si="30"/>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235</v>
      </c>
      <c r="E388" s="20" t="str">
        <f t="shared" si="31"/>
        <v/>
      </c>
      <c r="F388" s="21"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30"/>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396</v>
      </c>
      <c r="B389" s="26" t="s">
        <v>174</v>
      </c>
      <c r="C389" s="26" t="s">
        <v>180</v>
      </c>
      <c r="D389" s="26" t="s">
        <v>181</v>
      </c>
      <c r="E389" s="20" t="s">
        <v>651</v>
      </c>
      <c r="F389" s="21" t="str">
        <f>IF(OR(E389="",E389="!!!"),"",IF(NOT(ISNA(VLOOKUP(E389,E$1:E388,1,FALSE()))),"OLD",IF(AND(E389&lt;&gt;"",E389&lt;&gt;"!!!"),"NEW","")))</f>
        <v>NEW</v>
      </c>
      <c r="G389" s="22" t="s">
        <v>156</v>
      </c>
      <c r="H389" s="23" t="str">
        <f t="shared" ca="1" si="30"/>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397</v>
      </c>
      <c r="E390" s="20" t="str">
        <f t="shared" si="31"/>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30"/>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398</v>
      </c>
      <c r="E391" s="20" t="str">
        <f t="shared" si="31"/>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t="shared" ca="1" si="30"/>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3">
      <c r="A392" t="s">
        <v>201</v>
      </c>
      <c r="E392" s="20" t="str">
        <f t="shared" si="31"/>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30"/>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4" spans="1:12" x14ac:dyDescent="0.3">
      <c r="A394" t="s">
        <v>399</v>
      </c>
    </row>
    <row r="395" spans="1:12" x14ac:dyDescent="0.3">
      <c r="A395" t="s">
        <v>388</v>
      </c>
      <c r="B395" s="26" t="s">
        <v>185</v>
      </c>
      <c r="C395" s="26" t="s">
        <v>180</v>
      </c>
      <c r="D395" s="26" t="s">
        <v>181</v>
      </c>
      <c r="E395" s="20" t="s">
        <v>649</v>
      </c>
      <c r="F395" s="21" t="str">
        <f>IF(OR(E395="",E395="!!!"),"",IF(NOT(ISNA(VLOOKUP(E395,E$1:E394,1,FALSE()))),"OLD",IF(AND(E395&lt;&gt;"",E395&lt;&gt;"!!!"),"NEW","")))</f>
        <v>OLD</v>
      </c>
      <c r="G395" s="22" t="s">
        <v>697</v>
      </c>
      <c r="H395" s="23" t="s">
        <v>158</v>
      </c>
      <c r="I395" s="24">
        <f>IF(OR(E395="",E395="!!!",F395="NEW"),"",INDEX(B$2:B394,-1+SUMPRODUCT(MAX(ROW(E$2:E394)*(E395=E$2:E394)))))</f>
        <v>0</v>
      </c>
      <c r="J395" s="24">
        <f ca="1">IF(OR(E395="",E395="!!!",F395="NEW"),"",COUNTBLANK(OFFSET(A$1,,,SUMPRODUCT(MAX(ROW(E$2:E395)*(E395=E$2:E395)))))-COUNTBLANK(OFFSET(A$1,,,SUMPRODUCT(MAX(ROW(E$1:E394)*(E2=E$1:E394))))))</f>
        <v>0</v>
      </c>
      <c r="K395" s="24">
        <f ca="1">IF(OR(E395="",E395="!!!",F395="NEW"),"",INDEX(J$1:J394,SUMPRODUCT(MAX(ROW(E$1:E394)*(E395=E$1:E394)))))</f>
        <v>0</v>
      </c>
      <c r="L395" s="25"/>
    </row>
    <row r="396" spans="1:12" x14ac:dyDescent="0.3">
      <c r="A396" t="s">
        <v>167</v>
      </c>
      <c r="E396" s="20" t="str">
        <f t="shared" ref="E396:E423" si="32">IF(D396="?OLD","!!!","")</f>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ref="H396:H423" ca="1" si="33">IF(J396&lt;&gt;1,"",IF(I396="SBJ","CB","?"))</f>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400</v>
      </c>
      <c r="B397" s="26" t="s">
        <v>189</v>
      </c>
      <c r="C397" s="26" t="s">
        <v>180</v>
      </c>
      <c r="D397" s="26" t="s">
        <v>181</v>
      </c>
      <c r="E397" s="20"/>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33"/>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t="s">
        <v>653</v>
      </c>
    </row>
    <row r="398" spans="1:12" x14ac:dyDescent="0.3">
      <c r="A398" t="s">
        <v>167</v>
      </c>
      <c r="E398" s="20" t="str">
        <f t="shared" si="32"/>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33"/>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336</v>
      </c>
      <c r="E399" s="20" t="str">
        <f t="shared" si="32"/>
        <v/>
      </c>
      <c r="F399" s="21"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33"/>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5"/>
    </row>
    <row r="400" spans="1:12" x14ac:dyDescent="0.3">
      <c r="A400" t="s">
        <v>167</v>
      </c>
      <c r="E400" s="20" t="str">
        <f t="shared" si="32"/>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ca="1" si="33"/>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240</v>
      </c>
      <c r="E401" s="20" t="str">
        <f t="shared" si="32"/>
        <v/>
      </c>
      <c r="F401" s="21"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33"/>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5"/>
    </row>
    <row r="402" spans="1:12" x14ac:dyDescent="0.3">
      <c r="A402" t="s">
        <v>401</v>
      </c>
      <c r="B402" s="26" t="s">
        <v>169</v>
      </c>
      <c r="C402" s="26" t="s">
        <v>166</v>
      </c>
      <c r="E402" s="20" t="s">
        <v>686</v>
      </c>
      <c r="F402" s="21" t="str">
        <f>IF(OR(E402="",E402="!!!"),"",IF(NOT(ISNA(VLOOKUP(E402,E$1:E401,1,FALSE()))),"OLD",IF(AND(E402&lt;&gt;"",E402&lt;&gt;"!!!"),"NEW","")))</f>
        <v>NEW</v>
      </c>
      <c r="G402" s="22" t="s">
        <v>699</v>
      </c>
      <c r="H402" s="23" t="str">
        <f t="shared" ca="1" si="33"/>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235</v>
      </c>
      <c r="E403" s="20" t="str">
        <f t="shared" si="32"/>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33"/>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402</v>
      </c>
      <c r="B404" s="26" t="s">
        <v>177</v>
      </c>
      <c r="C404" s="26" t="s">
        <v>180</v>
      </c>
      <c r="D404" s="26" t="s">
        <v>181</v>
      </c>
      <c r="E404" s="20" t="s">
        <v>654</v>
      </c>
      <c r="F404" s="21" t="str">
        <f>IF(OR(E404="",E404="!!!"),"",IF(NOT(ISNA(VLOOKUP(E404,E$1:E403,1,FALSE()))),"OLD",IF(AND(E404&lt;&gt;"",E404&lt;&gt;"!!!"),"NEW","")))</f>
        <v>NEW</v>
      </c>
      <c r="G404" s="22" t="s">
        <v>156</v>
      </c>
      <c r="H404" s="23" t="str">
        <f t="shared" ca="1" si="33"/>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403</v>
      </c>
      <c r="E405" s="20" t="str">
        <f t="shared" si="32"/>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33"/>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167</v>
      </c>
      <c r="E406" s="20" t="str">
        <f t="shared" si="32"/>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33"/>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260</v>
      </c>
      <c r="B407" s="26" t="s">
        <v>404</v>
      </c>
      <c r="E407" s="20" t="str">
        <f t="shared" si="32"/>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33"/>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405</v>
      </c>
      <c r="E408" s="20" t="str">
        <f t="shared" si="32"/>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33"/>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09" spans="1:12" x14ac:dyDescent="0.3">
      <c r="A409" t="s">
        <v>209</v>
      </c>
      <c r="E409" s="20" t="str">
        <f t="shared" si="32"/>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33"/>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3">
      <c r="A410" t="s">
        <v>406</v>
      </c>
      <c r="E410" s="20" t="str">
        <f t="shared" si="32"/>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33"/>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407</v>
      </c>
      <c r="E411" s="20" t="str">
        <f t="shared" si="32"/>
        <v/>
      </c>
      <c r="F411" s="21"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33"/>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5"/>
    </row>
    <row r="412" spans="1:12" x14ac:dyDescent="0.3">
      <c r="A412" t="s">
        <v>408</v>
      </c>
      <c r="B412" s="26" t="s">
        <v>174</v>
      </c>
      <c r="C412" s="26" t="s">
        <v>215</v>
      </c>
      <c r="E412" s="20" t="str">
        <f t="shared" si="32"/>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33"/>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235</v>
      </c>
      <c r="E413" s="20" t="str">
        <f t="shared" si="32"/>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33"/>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409</v>
      </c>
      <c r="E414" s="20" t="s">
        <v>649</v>
      </c>
      <c r="F414" s="21" t="str">
        <f>IF(OR(E414="",E414="!!!"),"",IF(NOT(ISNA(VLOOKUP(E414,E$1:E413,1,FALSE()))),"OLD",IF(AND(E414&lt;&gt;"",E414&lt;&gt;"!!!"),"NEW","")))</f>
        <v>OLD</v>
      </c>
      <c r="G414" s="22" t="s">
        <v>697</v>
      </c>
      <c r="H414" s="23" t="str">
        <f t="shared" ca="1" si="33"/>
        <v/>
      </c>
      <c r="I414" s="24" t="str">
        <f>IF(OR(E414="",E414="!!!",F414="NEW"),"",INDEX(B$2:B413,-1+SUMPRODUCT(MAX(ROW(E$2:E413)*(E414=E$2:E413)))))</f>
        <v>SBJ</v>
      </c>
      <c r="J414" s="24">
        <f ca="1">IF(OR(E414="",E414="!!!",F414="NEW"),"",COUNTBLANK(OFFSET(A$1,,,SUMPRODUCT(MAX(ROW(E$2:E414)*(E414=E$2:E414)))))-COUNTBLANK(OFFSET(A$1,,,SUMPRODUCT(MAX(ROW(E$1:E413)*(E2=E$1:E413))))))</f>
        <v>0</v>
      </c>
      <c r="K414" s="24">
        <f ca="1">IF(OR(E414="",E414="!!!",F414="NEW"),"",INDEX(J$1:J413,SUMPRODUCT(MAX(ROW(E$1:E413)*(E414=E$1:E413)))))</f>
        <v>0</v>
      </c>
      <c r="L414" s="25"/>
    </row>
    <row r="415" spans="1:12" x14ac:dyDescent="0.3">
      <c r="A415" t="s">
        <v>410</v>
      </c>
      <c r="B415" s="26" t="s">
        <v>174</v>
      </c>
      <c r="C415" s="26" t="s">
        <v>224</v>
      </c>
      <c r="E415" s="20" t="s">
        <v>655</v>
      </c>
      <c r="F415" s="21" t="str">
        <f>IF(OR(E415="",E415="!!!"),"",IF(NOT(ISNA(VLOOKUP(E415,E$1:E414,1,FALSE()))),"OLD",IF(AND(E415&lt;&gt;"",E415&lt;&gt;"!!!"),"NEW","")))</f>
        <v>NEW</v>
      </c>
      <c r="G415" s="22" t="s">
        <v>699</v>
      </c>
      <c r="H415" s="23" t="str">
        <f t="shared" ca="1" si="33"/>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411</v>
      </c>
      <c r="E416" s="20" t="str">
        <f t="shared" si="32"/>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33"/>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7" spans="1:12" x14ac:dyDescent="0.3">
      <c r="A417" t="s">
        <v>412</v>
      </c>
      <c r="E417" s="20" t="str">
        <f t="shared" si="32"/>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33"/>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167</v>
      </c>
      <c r="E418" s="20" t="str">
        <f t="shared" si="32"/>
        <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33"/>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3">
      <c r="A419" t="s">
        <v>207</v>
      </c>
      <c r="E419" s="20" t="str">
        <f t="shared" si="32"/>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33"/>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413</v>
      </c>
      <c r="B420" s="26" t="s">
        <v>189</v>
      </c>
      <c r="C420" s="26" t="s">
        <v>166</v>
      </c>
      <c r="E420" s="20" t="str">
        <f t="shared" si="32"/>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33"/>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414</v>
      </c>
      <c r="E421" s="20" t="str">
        <f t="shared" si="32"/>
        <v/>
      </c>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33"/>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415</v>
      </c>
      <c r="E422" s="20" t="str">
        <f t="shared" si="32"/>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33"/>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201</v>
      </c>
      <c r="E423" s="20" t="str">
        <f t="shared" si="32"/>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33"/>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5" spans="1:12" x14ac:dyDescent="0.3">
      <c r="A425" t="s">
        <v>416</v>
      </c>
    </row>
    <row r="426" spans="1:12" x14ac:dyDescent="0.3">
      <c r="A426" t="s">
        <v>345</v>
      </c>
      <c r="B426" s="26" t="s">
        <v>185</v>
      </c>
      <c r="C426" s="26" t="s">
        <v>312</v>
      </c>
      <c r="D426" s="26" t="s">
        <v>181</v>
      </c>
      <c r="E426" s="20" t="s">
        <v>649</v>
      </c>
      <c r="F426" s="21" t="str">
        <f>IF(OR(E426="",E426="!!!"),"",IF(NOT(ISNA(VLOOKUP(E426,E$1:E425,1,FALSE()))),"OLD",IF(AND(E426&lt;&gt;"",E426&lt;&gt;"!!!"),"NEW","")))</f>
        <v>OLD</v>
      </c>
      <c r="G426" s="22" t="s">
        <v>697</v>
      </c>
      <c r="H426" s="23" t="s">
        <v>158</v>
      </c>
      <c r="I426" s="24">
        <f>IF(OR(E426="",E426="!!!",F426="NEW"),"",INDEX(B$2:B425,-1+SUMPRODUCT(MAX(ROW(E$2:E425)*(E426=E$2:E425)))))</f>
        <v>0</v>
      </c>
      <c r="J426" s="24">
        <f ca="1">IF(OR(E426="",E426="!!!",F426="NEW"),"",COUNTBLANK(OFFSET(A$1,,,SUMPRODUCT(MAX(ROW(E$2:E426)*(E426=E$2:E426)))))-COUNTBLANK(OFFSET(A$1,,,SUMPRODUCT(MAX(ROW(E$1:E425)*(E2=E$1:E425))))))</f>
        <v>0</v>
      </c>
      <c r="K426" s="24">
        <f ca="1">IF(OR(E426="",E426="!!!",F426="NEW"),"",INDEX(J$1:J425,SUMPRODUCT(MAX(ROW(E$1:E425)*(E426=E$1:E425)))))</f>
        <v>0</v>
      </c>
      <c r="L426" s="25"/>
    </row>
    <row r="427" spans="1:12" x14ac:dyDescent="0.3">
      <c r="A427" t="s">
        <v>278</v>
      </c>
      <c r="E427" s="20" t="str">
        <f t="shared" ref="E427:E443" si="34">IF(D427="?OLD","!!!","")</f>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ref="H427:H443" ca="1" si="35">IF(J427&lt;&gt;1,"",IF(I427="SBJ","CB","?"))</f>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167</v>
      </c>
      <c r="E428" s="20" t="str">
        <f t="shared" si="34"/>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35"/>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240</v>
      </c>
      <c r="E429" s="20" t="str">
        <f t="shared" si="34"/>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35"/>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417</v>
      </c>
      <c r="B430" s="26" t="s">
        <v>172</v>
      </c>
      <c r="C430" s="26" t="s">
        <v>312</v>
      </c>
      <c r="D430" s="26" t="s">
        <v>181</v>
      </c>
      <c r="E430" s="20" t="s">
        <v>649</v>
      </c>
      <c r="F430" s="21" t="str">
        <f>IF(OR(E430="",E430="!!!"),"",IF(NOT(ISNA(VLOOKUP(E430,E$1:E429,1,FALSE()))),"OLD",IF(AND(E430&lt;&gt;"",E430&lt;&gt;"!!!"),"NEW","")))</f>
        <v>OLD</v>
      </c>
      <c r="G430" s="22" t="s">
        <v>697</v>
      </c>
      <c r="H430" s="23" t="str">
        <f t="shared" ca="1" si="35"/>
        <v/>
      </c>
      <c r="I430" s="24" t="str">
        <f>IF(OR(E430="",E430="!!!",F430="NEW"),"",INDEX(B$2:B429,-1+SUMPRODUCT(MAX(ROW(E$2:E429)*(E430=E$2:E429)))))</f>
        <v>SBJ</v>
      </c>
      <c r="J430" s="24">
        <f ca="1">IF(OR(E430="",E430="!!!",F430="NEW"),"",COUNTBLANK(OFFSET(A$1,,,SUMPRODUCT(MAX(ROW(E$2:E430)*(E430=E$2:E430)))))-COUNTBLANK(OFFSET(A$1,,,SUMPRODUCT(MAX(ROW(E$1:E429)*(E2=E$1:E429))))))</f>
        <v>0</v>
      </c>
      <c r="K430" s="24">
        <f ca="1">IF(OR(E430="",E430="!!!",F430="NEW"),"",INDEX(J$1:J429,SUMPRODUCT(MAX(ROW(E$1:E429)*(E430=E$1:E429)))))</f>
        <v>0</v>
      </c>
      <c r="L430" s="25"/>
    </row>
    <row r="431" spans="1:12" x14ac:dyDescent="0.3">
      <c r="A431" t="s">
        <v>256</v>
      </c>
      <c r="E431" s="20" t="str">
        <f t="shared" si="34"/>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35"/>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2" spans="1:12" x14ac:dyDescent="0.3">
      <c r="A432" t="s">
        <v>418</v>
      </c>
      <c r="E432" s="20" t="str">
        <f t="shared" si="34"/>
        <v/>
      </c>
      <c r="F432" s="21"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35"/>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3">
      <c r="A433" t="s">
        <v>392</v>
      </c>
      <c r="B433" s="26" t="s">
        <v>169</v>
      </c>
      <c r="C433" s="26" t="s">
        <v>258</v>
      </c>
      <c r="E433" s="20" t="str">
        <f t="shared" si="34"/>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35"/>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3">
      <c r="A434" t="s">
        <v>167</v>
      </c>
      <c r="E434" s="20" t="str">
        <f t="shared" si="34"/>
        <v/>
      </c>
      <c r="F434" s="21" t="str">
        <f>IF(OR(E434="",E434="!!!"),"",IF(NOT(ISNA(VLOOKUP(E434,E$1:E433,1,FALSE()))),"OLD",IF(AND(E434&lt;&gt;"",E434&lt;&gt;"!!!"),"NEW","")))</f>
        <v/>
      </c>
      <c r="G434" s="22" t="str">
        <f>IF(OR(E434="",E434="!!!"),"",IF(OR(J434=0,AND(J434=1,K434=1),AND(J434=1,I434="SBJ"),AND(J434=1,I434=0)),"?IN_FOCUS",IF(J434&lt;=2,"?ACTIVATED",IF(J434&lt;&gt;"","?FAMILIAR",IF(F434="NEW",IF(ISNA(VLOOKUP(E434,#REF!,1,FALSE())),"?TYPE_IDENTIFIABLE","?REFERENTIAL"),"_")))))</f>
        <v/>
      </c>
      <c r="H434" s="23" t="str">
        <f t="shared" ca="1" si="35"/>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5"/>
    </row>
    <row r="435" spans="1:12" x14ac:dyDescent="0.3">
      <c r="A435" t="s">
        <v>230</v>
      </c>
      <c r="B435" s="26" t="s">
        <v>404</v>
      </c>
      <c r="E435" s="20" t="str">
        <f t="shared" si="34"/>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35"/>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3">
      <c r="A436" t="s">
        <v>178</v>
      </c>
      <c r="E436" s="20" t="str">
        <f t="shared" si="34"/>
        <v/>
      </c>
      <c r="F436" s="21" t="str">
        <f>IF(OR(E436="",E436="!!!"),"",IF(NOT(ISNA(VLOOKUP(E436,E$1:E435,1,FALSE()))),"OLD",IF(AND(E436&lt;&gt;"",E436&lt;&gt;"!!!"),"NEW","")))</f>
        <v/>
      </c>
      <c r="G436" s="22" t="str">
        <f>IF(OR(E436="",E436="!!!"),"",IF(OR(J436=0,AND(J436=1,K436=1),AND(J436=1,I436="SBJ"),AND(J436=1,I436=0)),"?IN_FOCUS",IF(J436&lt;=2,"?ACTIVATED",IF(J436&lt;&gt;"","?FAMILIAR",IF(F436="NEW",IF(ISNA(VLOOKUP(E436,#REF!,1,FALSE())),"?TYPE_IDENTIFIABLE","?REFERENTIAL"),"_")))))</f>
        <v/>
      </c>
      <c r="H436" s="23" t="str">
        <f t="shared" ca="1" si="35"/>
        <v/>
      </c>
      <c r="I436" s="24" t="str">
        <f>IF(OR(E436="",E436="!!!",F436="NEW"),"",INDEX(B$2:B435,-1+SUMPRODUCT(MAX(ROW(E$2:E435)*(E436=E$2:E435)))))</f>
        <v/>
      </c>
      <c r="J436" s="24" t="str">
        <f ca="1">IF(OR(E436="",E436="!!!",F436="NEW"),"",COUNTBLANK(OFFSET(A$1,,,SUMPRODUCT(MAX(ROW(E$2:E436)*(E436=E$2:E436)))))-COUNTBLANK(OFFSET(A$1,,,SUMPRODUCT(MAX(ROW(E$1:E435)*(E2=E$1:E435))))))</f>
        <v/>
      </c>
      <c r="K436" s="24" t="str">
        <f>IF(OR(E436="",E436="!!!",F436="NEW"),"",INDEX(J$1:J435,SUMPRODUCT(MAX(ROW(E$1:E435)*(E436=E$1:E435)))))</f>
        <v/>
      </c>
      <c r="L436" s="25"/>
    </row>
    <row r="437" spans="1:12" x14ac:dyDescent="0.3">
      <c r="A437" t="s">
        <v>230</v>
      </c>
      <c r="E437" s="20" t="str">
        <f t="shared" si="34"/>
        <v/>
      </c>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35"/>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319</v>
      </c>
      <c r="B438" s="26" t="s">
        <v>174</v>
      </c>
      <c r="C438" s="26" t="s">
        <v>194</v>
      </c>
      <c r="D438" s="26" t="s">
        <v>181</v>
      </c>
      <c r="E438" s="20"/>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35"/>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39" spans="1:12" x14ac:dyDescent="0.3">
      <c r="A439" t="s">
        <v>419</v>
      </c>
      <c r="E439" s="20" t="str">
        <f t="shared" si="34"/>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35"/>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167</v>
      </c>
      <c r="E440" s="20" t="str">
        <f t="shared" si="34"/>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35"/>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420</v>
      </c>
      <c r="E441" s="20" t="str">
        <f t="shared" si="34"/>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35"/>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5"/>
    </row>
    <row r="442" spans="1:12" x14ac:dyDescent="0.3">
      <c r="A442" t="s">
        <v>284</v>
      </c>
      <c r="E442" s="20" t="str">
        <f t="shared" si="34"/>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35"/>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3" spans="1:12" x14ac:dyDescent="0.3">
      <c r="A443" t="s">
        <v>201</v>
      </c>
      <c r="E443" s="20" t="str">
        <f t="shared" si="34"/>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35"/>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5" spans="1:12" x14ac:dyDescent="0.3">
      <c r="A445" t="s">
        <v>421</v>
      </c>
      <c r="E445" s="20" t="str">
        <f>IF(D445="?OLD","!!!","")</f>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ca="1">IF(J445&lt;&gt;1,"",IF(I445="SBJ","CB","?"))</f>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422</v>
      </c>
    </row>
    <row r="447" spans="1:12" x14ac:dyDescent="0.3">
      <c r="A447" t="s">
        <v>423</v>
      </c>
      <c r="E447" s="20" t="str">
        <f t="shared" ref="E447:E462" si="36">IF(D447="?OLD","!!!","")</f>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ref="H447:H462" ca="1" si="37">IF(J447&lt;&gt;1,"",IF(I447="SBJ","CB","?"))</f>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424</v>
      </c>
      <c r="B448" s="26" t="s">
        <v>169</v>
      </c>
      <c r="C448" s="26" t="s">
        <v>277</v>
      </c>
      <c r="D448" s="26" t="s">
        <v>181</v>
      </c>
      <c r="E448" s="20" t="s">
        <v>658</v>
      </c>
      <c r="F448" s="21" t="s">
        <v>635</v>
      </c>
      <c r="G448" s="22" t="s">
        <v>698</v>
      </c>
      <c r="H448" s="23" t="str">
        <f t="shared" ca="1" si="37"/>
        <v/>
      </c>
      <c r="I448" s="24" t="e">
        <f>IF(OR(E448="",E448="!!!",F448="NEW"),"",INDEX(B$2:B447,-1+SUMPRODUCT(MAX(ROW(E$2:E447)*(E448=E$2:E447)))))</f>
        <v>#VALUE!</v>
      </c>
      <c r="J448" s="24">
        <f ca="1">IF(OR(E448="",E448="!!!",F448="NEW"),"",COUNTBLANK(OFFSET(A$1,,,SUMPRODUCT(MAX(ROW(E$2:E448)*(E448=E$2:E448)))))-COUNTBLANK(OFFSET(A$1,,,SUMPRODUCT(MAX(ROW(E$1:E447)*(E2=E$1:E447))))))</f>
        <v>0</v>
      </c>
      <c r="K448" s="24" t="e">
        <f>IF(OR(E448="",E448="!!!",F448="NEW"),"",INDEX(J$1:J447,SUMPRODUCT(MAX(ROW(E$1:E447)*(E448=E$1:E447)))))</f>
        <v>#VALUE!</v>
      </c>
      <c r="L448" s="25"/>
    </row>
    <row r="449" spans="1:12" x14ac:dyDescent="0.3">
      <c r="A449" t="s">
        <v>425</v>
      </c>
      <c r="E449" s="20" t="str">
        <f t="shared" si="36"/>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37"/>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426</v>
      </c>
      <c r="E450" s="20" t="str">
        <f t="shared" si="36"/>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t="shared" ca="1" si="37"/>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186</v>
      </c>
      <c r="E451" s="20" t="str">
        <f t="shared" si="36"/>
        <v/>
      </c>
      <c r="F451" s="21" t="str">
        <f>IF(OR(E451="",E451="!!!"),"",IF(NOT(ISNA(VLOOKUP(E451,E$1:E450,1,FALSE()))),"OLD",IF(AND(E451&lt;&gt;"",E451&lt;&gt;"!!!"),"NEW","")))</f>
        <v/>
      </c>
      <c r="G451" s="22" t="str">
        <f>IF(OR(E451="",E451="!!!"),"",IF(OR(J451=0,AND(J451=1,K451=1),AND(J451=1,I451="SBJ"),AND(J451=1,I451=0)),"?IN_FOCUS",IF(J451&lt;=2,"?ACTIVATED",IF(J451&lt;&gt;"","?FAMILIAR",IF(F451="NEW",IF(ISNA(VLOOKUP(E451,#REF!,1,FALSE())),"?TYPE_IDENTIFIABLE","?REFERENTIAL"),"_")))))</f>
        <v/>
      </c>
      <c r="H451" s="23" t="str">
        <f t="shared" ca="1" si="37"/>
        <v/>
      </c>
      <c r="I451" s="24" t="str">
        <f>IF(OR(E451="",E451="!!!",F451="NEW"),"",INDEX(B$2:B450,-1+SUMPRODUCT(MAX(ROW(E$2:E450)*(E451=E$2:E450)))))</f>
        <v/>
      </c>
      <c r="J451" s="24" t="str">
        <f ca="1">IF(OR(E451="",E451="!!!",F451="NEW"),"",COUNTBLANK(OFFSET(A$1,,,SUMPRODUCT(MAX(ROW(E$2:E451)*(E451=E$2:E451)))))-COUNTBLANK(OFFSET(A$1,,,SUMPRODUCT(MAX(ROW(E$1:E450)*(E2=E$1:E450))))))</f>
        <v/>
      </c>
      <c r="K451" s="24" t="str">
        <f>IF(OR(E451="",E451="!!!",F451="NEW"),"",INDEX(J$1:J450,SUMPRODUCT(MAX(ROW(E$1:E450)*(E451=E$1:E450)))))</f>
        <v/>
      </c>
      <c r="L451" s="25"/>
    </row>
    <row r="452" spans="1:12" x14ac:dyDescent="0.3">
      <c r="A452" t="s">
        <v>260</v>
      </c>
      <c r="E452" s="20" t="str">
        <f t="shared" si="36"/>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37"/>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401</v>
      </c>
      <c r="B453" s="26" t="s">
        <v>427</v>
      </c>
      <c r="C453" s="26" t="s">
        <v>194</v>
      </c>
      <c r="D453" s="26" t="s">
        <v>181</v>
      </c>
      <c r="E453" s="20" t="s">
        <v>686</v>
      </c>
      <c r="F453" s="21" t="s">
        <v>638</v>
      </c>
      <c r="G453" s="22" t="s">
        <v>698</v>
      </c>
      <c r="H453" s="23" t="str">
        <f t="shared" ca="1" si="37"/>
        <v/>
      </c>
      <c r="I453" s="24" t="str">
        <f>IF(OR(E453="",E453="!!!",F453="NEW"),"",INDEX(B$2:B452,-1+SUMPRODUCT(MAX(ROW(E$2:E452)*(E453=E$2:E452)))))</f>
        <v>SBJ_2</v>
      </c>
      <c r="J453" s="24">
        <f ca="1">IF(OR(E453="",E453="!!!",F453="NEW"),"",COUNTBLANK(OFFSET(A$1,,,SUMPRODUCT(MAX(ROW(E$2:E453)*(E453=E$2:E453)))))-COUNTBLANK(OFFSET(A$1,,,SUMPRODUCT(MAX(ROW(E$1:E452)*(E2=E$1:E452))))))</f>
        <v>0</v>
      </c>
      <c r="K453" s="24" t="str">
        <f ca="1">IF(OR(E453="",E453="!!!",F453="NEW"),"",INDEX(J$1:J452,SUMPRODUCT(MAX(ROW(E$1:E452)*(E453=E$1:E452)))))</f>
        <v/>
      </c>
      <c r="L453" s="25" t="s">
        <v>656</v>
      </c>
    </row>
    <row r="454" spans="1:12" x14ac:dyDescent="0.3">
      <c r="A454" t="s">
        <v>428</v>
      </c>
      <c r="E454" s="20" t="str">
        <f t="shared" si="36"/>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37"/>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186</v>
      </c>
      <c r="E455" s="20" t="str">
        <f t="shared" si="36"/>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ca="1" si="37"/>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3">
      <c r="A456" t="s">
        <v>428</v>
      </c>
      <c r="E456" s="20" t="str">
        <f t="shared" si="36"/>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37"/>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7" spans="1:12" x14ac:dyDescent="0.3">
      <c r="A457" t="s">
        <v>429</v>
      </c>
      <c r="E457" s="20" t="str">
        <f t="shared" si="36"/>
        <v/>
      </c>
      <c r="F457" s="21" t="str">
        <f>IF(OR(E457="",E457="!!!"),"",IF(NOT(ISNA(VLOOKUP(E457,E$1:E456,1,FALSE()))),"OLD",IF(AND(E457&lt;&gt;"",E457&lt;&gt;"!!!"),"NEW","")))</f>
        <v/>
      </c>
      <c r="G457" s="22" t="str">
        <f>IF(OR(E457="",E457="!!!"),"",IF(OR(J457=0,AND(J457=1,K457=1),AND(J457=1,I457="SBJ"),AND(J457=1,I457=0)),"?IN_FOCUS",IF(J457&lt;=2,"?ACTIVATED",IF(J457&lt;&gt;"","?FAMILIAR",IF(F457="NEW",IF(ISNA(VLOOKUP(E457,#REF!,1,FALSE())),"?TYPE_IDENTIFIABLE","?REFERENTIAL"),"_")))))</f>
        <v/>
      </c>
      <c r="H457" s="23" t="str">
        <f t="shared" ca="1" si="37"/>
        <v/>
      </c>
      <c r="I457" s="24" t="str">
        <f>IF(OR(E457="",E457="!!!",F457="NEW"),"",INDEX(B$2:B456,-1+SUMPRODUCT(MAX(ROW(E$2:E456)*(E457=E$2:E456)))))</f>
        <v/>
      </c>
      <c r="J457" s="24" t="str">
        <f ca="1">IF(OR(E457="",E457="!!!",F457="NEW"),"",COUNTBLANK(OFFSET(A$1,,,SUMPRODUCT(MAX(ROW(E$2:E457)*(E457=E$2:E457)))))-COUNTBLANK(OFFSET(A$1,,,SUMPRODUCT(MAX(ROW(E$1:E456)*(E2=E$1:E456))))))</f>
        <v/>
      </c>
      <c r="K457" s="24" t="str">
        <f>IF(OR(E457="",E457="!!!",F457="NEW"),"",INDEX(J$1:J456,SUMPRODUCT(MAX(ROW(E$1:E456)*(E457=E$1:E456)))))</f>
        <v/>
      </c>
      <c r="L457" s="25"/>
    </row>
    <row r="458" spans="1:12" x14ac:dyDescent="0.3">
      <c r="A458" t="s">
        <v>167</v>
      </c>
      <c r="E458" s="20" t="str">
        <f t="shared" si="36"/>
        <v/>
      </c>
      <c r="F458" s="21" t="str">
        <f>IF(OR(E458="",E458="!!!"),"",IF(NOT(ISNA(VLOOKUP(E458,E$1:E457,1,FALSE()))),"OLD",IF(AND(E458&lt;&gt;"",E458&lt;&gt;"!!!"),"NEW","")))</f>
        <v/>
      </c>
      <c r="G458" s="22" t="str">
        <f>IF(OR(E458="",E458="!!!"),"",IF(OR(J458=0,AND(J458=1,K458=1),AND(J458=1,I458="SBJ"),AND(J458=1,I458=0)),"?IN_FOCUS",IF(J458&lt;=2,"?ACTIVATED",IF(J458&lt;&gt;"","?FAMILIAR",IF(F458="NEW",IF(ISNA(VLOOKUP(E458,#REF!,1,FALSE())),"?TYPE_IDENTIFIABLE","?REFERENTIAL"),"_")))))</f>
        <v/>
      </c>
      <c r="H458" s="23" t="str">
        <f t="shared" ca="1" si="37"/>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3">
      <c r="A459" t="s">
        <v>423</v>
      </c>
      <c r="E459" s="20" t="str">
        <f t="shared" si="36"/>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37"/>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278</v>
      </c>
      <c r="E460" s="20" t="str">
        <f t="shared" si="36"/>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37"/>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388</v>
      </c>
      <c r="B461" s="26" t="s">
        <v>185</v>
      </c>
      <c r="C461" s="26" t="s">
        <v>180</v>
      </c>
      <c r="D461" s="26" t="s">
        <v>181</v>
      </c>
      <c r="E461" s="20" t="s">
        <v>649</v>
      </c>
      <c r="F461" s="21" t="str">
        <f>IF(OR(E461="",E461="!!!"),"",IF(NOT(ISNA(VLOOKUP(E461,E$1:E460,1,FALSE()))),"OLD",IF(AND(E461&lt;&gt;"",E461&lt;&gt;"!!!"),"NEW","")))</f>
        <v>OLD</v>
      </c>
      <c r="G461" s="22" t="s">
        <v>697</v>
      </c>
      <c r="H461" s="23" t="s">
        <v>158</v>
      </c>
      <c r="I461" s="24" t="str">
        <f>IF(OR(E461="",E461="!!!",F461="NEW"),"",INDEX(B$2:B460,-1+SUMPRODUCT(MAX(ROW(E$2:E460)*(E461=E$2:E460)))))</f>
        <v>OBJ_2</v>
      </c>
      <c r="J461" s="24">
        <f ca="1">IF(OR(E461="",E461="!!!",F461="NEW"),"",COUNTBLANK(OFFSET(A$1,,,SUMPRODUCT(MAX(ROW(E$2:E461)*(E461=E$2:E461)))))-COUNTBLANK(OFFSET(A$1,,,SUMPRODUCT(MAX(ROW(E$1:E460)*(E2=E$1:E460))))))</f>
        <v>0</v>
      </c>
      <c r="K461" s="24">
        <f ca="1">IF(OR(E461="",E461="!!!",F461="NEW"),"",INDEX(J$1:J460,SUMPRODUCT(MAX(ROW(E$1:E460)*(E461=E$1:E460)))))</f>
        <v>0</v>
      </c>
      <c r="L461" s="25"/>
    </row>
    <row r="462" spans="1:12" x14ac:dyDescent="0.3">
      <c r="A462" t="s">
        <v>201</v>
      </c>
      <c r="E462" s="20" t="str">
        <f t="shared" si="36"/>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37"/>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4" spans="1:12" x14ac:dyDescent="0.3">
      <c r="A464" t="s">
        <v>430</v>
      </c>
    </row>
    <row r="465" spans="1:12" x14ac:dyDescent="0.3">
      <c r="A465" t="s">
        <v>203</v>
      </c>
      <c r="B465" s="26" t="s">
        <v>185</v>
      </c>
      <c r="C465" s="26" t="s">
        <v>312</v>
      </c>
      <c r="D465" s="26" t="s">
        <v>181</v>
      </c>
      <c r="E465" s="20" t="s">
        <v>686</v>
      </c>
      <c r="F465" s="21" t="str">
        <f>IF(OR(E465="",E465="!!!"),"",IF(NOT(ISNA(VLOOKUP(E465,E$1:E464,1,FALSE()))),"OLD",IF(AND(E465&lt;&gt;"",E465&lt;&gt;"!!!"),"NEW","")))</f>
        <v>OLD</v>
      </c>
      <c r="G465" s="22" t="s">
        <v>697</v>
      </c>
      <c r="H465" s="23" t="s">
        <v>158</v>
      </c>
      <c r="I465" s="24" t="str">
        <f>IF(OR(E465="",E465="!!!",F465="NEW"),"",INDEX(B$2:B464,-1+SUMPRODUCT(MAX(ROW(E$2:E464)*(E465=E$2:E464)))))</f>
        <v>OBJ_3</v>
      </c>
      <c r="J465" s="24">
        <f ca="1">IF(OR(E465="",E465="!!!",F465="NEW"),"",COUNTBLANK(OFFSET(A$1,,,SUMPRODUCT(MAX(ROW(E$2:E465)*(E465=E$2:E465)))))-COUNTBLANK(OFFSET(A$1,,,SUMPRODUCT(MAX(ROW(E$1:E464)*(E2=E$1:E464))))))</f>
        <v>0</v>
      </c>
      <c r="K465" s="24">
        <f ca="1">IF(OR(E465="",E465="!!!",F465="NEW"),"",INDEX(J$1:J464,SUMPRODUCT(MAX(ROW(E$1:E464)*(E465=E$1:E464)))))</f>
        <v>0</v>
      </c>
      <c r="L465" s="25"/>
    </row>
    <row r="466" spans="1:12" x14ac:dyDescent="0.3">
      <c r="A466" t="s">
        <v>367</v>
      </c>
      <c r="E466" s="20" t="str">
        <f>IF(D466="?OLD","!!!","")</f>
        <v/>
      </c>
      <c r="F466" s="21" t="str">
        <f>IF(OR(E466="",E466="!!!"),"",IF(NOT(ISNA(VLOOKUP(E466,E$1:E465,1,FALSE()))),"OLD",IF(AND(E466&lt;&gt;"",E466&lt;&gt;"!!!"),"NEW","")))</f>
        <v/>
      </c>
      <c r="G466" s="22" t="str">
        <f>IF(OR(E466="",E466="!!!"),"",IF(OR(J466=0,AND(J466=1,K466=1),AND(J466=1,I466="SBJ"),AND(J466=1,I466=0)),"?IN_FOCUS",IF(J466&lt;=2,"?ACTIVATED",IF(J466&lt;&gt;"","?FAMILIAR",IF(F466="NEW",IF(ISNA(VLOOKUP(E466,#REF!,1,FALSE())),"?TYPE_IDENTIFIABLE","?REFERENTIAL"),"_")))))</f>
        <v/>
      </c>
      <c r="H466" s="23" t="str">
        <f ca="1">IF(J466&lt;&gt;1,"",IF(I466="SBJ","CB","?"))</f>
        <v/>
      </c>
      <c r="I466" s="24" t="str">
        <f>IF(OR(E466="",E466="!!!",F466="NEW"),"",INDEX(B$2:B465,-1+SUMPRODUCT(MAX(ROW(E$2:E465)*(E466=E$2:E465)))))</f>
        <v/>
      </c>
      <c r="J466" s="24" t="str">
        <f ca="1">IF(OR(E466="",E466="!!!",F466="NEW"),"",COUNTBLANK(OFFSET(A$1,,,SUMPRODUCT(MAX(ROW(E$2:E466)*(E466=E$2:E466)))))-COUNTBLANK(OFFSET(A$1,,,SUMPRODUCT(MAX(ROW(E$1:E465)*(E2=E$1:E465))))))</f>
        <v/>
      </c>
      <c r="K466" s="24" t="str">
        <f>IF(OR(E466="",E466="!!!",F466="NEW"),"",INDEX(J$1:J465,SUMPRODUCT(MAX(ROW(E$1:E465)*(E466=E$1:E465)))))</f>
        <v/>
      </c>
      <c r="L466" s="25"/>
    </row>
    <row r="467" spans="1:12" x14ac:dyDescent="0.3">
      <c r="A467" t="s">
        <v>431</v>
      </c>
      <c r="E467" s="20" t="s">
        <v>649</v>
      </c>
      <c r="F467" s="21" t="str">
        <f>IF(OR(E467="",E467="!!!"),"",IF(NOT(ISNA(VLOOKUP(E467,E$1:E466,1,FALSE()))),"OLD",IF(AND(E467&lt;&gt;"",E467&lt;&gt;"!!!"),"NEW","")))</f>
        <v>OLD</v>
      </c>
      <c r="G467" s="22" t="s">
        <v>697</v>
      </c>
      <c r="H467" s="23" t="str">
        <f ca="1">IF(J467&lt;&gt;1,"",IF(I467="SBJ","CB","?"))</f>
        <v/>
      </c>
      <c r="I467" s="24" t="str">
        <f>IF(OR(E467="",E467="!!!",F467="NEW"),"",INDEX(B$2:B466,-1+SUMPRODUCT(MAX(ROW(E$2:E466)*(E467=E$2:E466)))))</f>
        <v>SBJ</v>
      </c>
      <c r="J467" s="24">
        <f ca="1">IF(OR(E467="",E467="!!!",F467="NEW"),"",COUNTBLANK(OFFSET(A$1,,,SUMPRODUCT(MAX(ROW(E$2:E467)*(E467=E$2:E467)))))-COUNTBLANK(OFFSET(A$1,,,SUMPRODUCT(MAX(ROW(E$1:E466)*(E2=E$1:E466))))))</f>
        <v>0</v>
      </c>
      <c r="K467" s="24">
        <f ca="1">IF(OR(E467="",E467="!!!",F467="NEW"),"",INDEX(J$1:J466,SUMPRODUCT(MAX(ROW(E$1:E466)*(E467=E$1:E466)))))</f>
        <v>0</v>
      </c>
      <c r="L467" s="25"/>
    </row>
    <row r="468" spans="1:12" x14ac:dyDescent="0.3">
      <c r="A468" t="s">
        <v>432</v>
      </c>
      <c r="B468" s="26" t="s">
        <v>193</v>
      </c>
      <c r="C468" s="26" t="s">
        <v>224</v>
      </c>
      <c r="E468" s="20" t="s">
        <v>659</v>
      </c>
      <c r="F468" s="21" t="str">
        <f>IF(OR(E468="",E468="!!!"),"",IF(NOT(ISNA(VLOOKUP(E468,E$1:E467,1,FALSE()))),"OLD",IF(AND(E468&lt;&gt;"",E468&lt;&gt;"!!!"),"NEW","")))</f>
        <v>NEW</v>
      </c>
      <c r="G468" s="22" t="s">
        <v>699</v>
      </c>
      <c r="H468" s="23" t="str">
        <f ca="1">IF(J468&lt;&gt;1,"",IF(I468="SBJ","CB","?"))</f>
        <v/>
      </c>
      <c r="I468" s="24" t="str">
        <f>IF(OR(E468="",E468="!!!",F468="NEW"),"",INDEX(B$2:B467,-1+SUMPRODUCT(MAX(ROW(E$2:E467)*(E468=E$2:E467)))))</f>
        <v/>
      </c>
      <c r="J468" s="24" t="str">
        <f ca="1">IF(OR(E468="",E468="!!!",F468="NEW"),"",COUNTBLANK(OFFSET(A$1,,,SUMPRODUCT(MAX(ROW(E$2:E468)*(E468=E$2:E468)))))-COUNTBLANK(OFFSET(A$1,,,SUMPRODUCT(MAX(ROW(E$1:E467)*(E2=E$1:E467))))))</f>
        <v/>
      </c>
      <c r="K468" s="24" t="str">
        <f>IF(OR(E468="",E468="!!!",F468="NEW"),"",INDEX(J$1:J467,SUMPRODUCT(MAX(ROW(E$1:E467)*(E468=E$1:E467)))))</f>
        <v/>
      </c>
      <c r="L468" s="25"/>
    </row>
    <row r="469" spans="1:12" x14ac:dyDescent="0.3">
      <c r="A469" t="s">
        <v>201</v>
      </c>
      <c r="E469" s="20" t="str">
        <f>IF(D469="?OLD","!!!","")</f>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ca="1">IF(J469&lt;&gt;1,"",IF(I469="SBJ","CB","?"))</f>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1" spans="1:12" x14ac:dyDescent="0.3">
      <c r="A471" t="s">
        <v>433</v>
      </c>
    </row>
    <row r="472" spans="1:12" x14ac:dyDescent="0.3">
      <c r="A472" t="s">
        <v>434</v>
      </c>
      <c r="E472" s="20" t="s">
        <v>649</v>
      </c>
      <c r="F472" s="21" t="str">
        <f>IF(OR(E472="",E472="!!!"),"",IF(NOT(ISNA(VLOOKUP(E472,E$1:E471,1,FALSE()))),"OLD",IF(AND(E472&lt;&gt;"",E472&lt;&gt;"!!!"),"NEW","")))</f>
        <v>OLD</v>
      </c>
      <c r="G472" s="22" t="s">
        <v>697</v>
      </c>
      <c r="H472" s="23" t="s">
        <v>158</v>
      </c>
      <c r="I472" s="24">
        <f>IF(OR(E472="",E472="!!!",F472="NEW"),"",INDEX(B$2:B471,-1+SUMPRODUCT(MAX(ROW(E$2:E471)*(E472=E$2:E471)))))</f>
        <v>0</v>
      </c>
      <c r="J472" s="24">
        <f ca="1">IF(OR(E472="",E472="!!!",F472="NEW"),"",COUNTBLANK(OFFSET(A$1,,,SUMPRODUCT(MAX(ROW(E$2:E472)*(E472=E$2:E472)))))-COUNTBLANK(OFFSET(A$1,,,SUMPRODUCT(MAX(ROW(E$1:E471)*(E2=E$1:E471))))))</f>
        <v>0</v>
      </c>
      <c r="K472" s="24">
        <f ca="1">IF(OR(E472="",E472="!!!",F472="NEW"),"",INDEX(J$1:J471,SUMPRODUCT(MAX(ROW(E$1:E471)*(E472=E$1:E471)))))</f>
        <v>0</v>
      </c>
      <c r="L472" s="25"/>
    </row>
    <row r="473" spans="1:12" x14ac:dyDescent="0.3">
      <c r="A473" t="s">
        <v>390</v>
      </c>
      <c r="B473" s="26" t="s">
        <v>185</v>
      </c>
      <c r="C473" s="26" t="s">
        <v>224</v>
      </c>
      <c r="E473" s="20" t="s">
        <v>650</v>
      </c>
      <c r="F473" s="21" t="str">
        <f>IF(OR(E473="",E473="!!!"),"",IF(NOT(ISNA(VLOOKUP(E473,E$1:E472,1,FALSE()))),"OLD",IF(AND(E473&lt;&gt;"",E473&lt;&gt;"!!!"),"NEW","")))</f>
        <v>OLD</v>
      </c>
      <c r="G473" s="22" t="s">
        <v>696</v>
      </c>
      <c r="H473" s="23" t="str">
        <f t="shared" ref="H473:H499" ca="1" si="38">IF(J473&lt;&gt;1,"",IF(I473="SBJ","CB","?"))</f>
        <v/>
      </c>
      <c r="I473" s="24" t="str">
        <f>IF(OR(E473="",E473="!!!",F473="NEW"),"",INDEX(B$2:B472,-1+SUMPRODUCT(MAX(ROW(E$2:E472)*(E473=E$2:E472)))))</f>
        <v>other_2</v>
      </c>
      <c r="J473" s="24">
        <f ca="1">IF(OR(E473="",E473="!!!",F473="NEW"),"",COUNTBLANK(OFFSET(A$1,,,SUMPRODUCT(MAX(ROW(E$2:E473)*(E473=E$2:E473)))))-COUNTBLANK(OFFSET(A$1,,,SUMPRODUCT(MAX(ROW(E$1:E472)*(E2=E$1:E472))))))</f>
        <v>0</v>
      </c>
      <c r="K473" s="24" t="str">
        <f ca="1">IF(OR(E473="",E473="!!!",F473="NEW"),"",INDEX(J$1:J472,SUMPRODUCT(MAX(ROW(E$1:E472)*(E473=E$1:E472)))))</f>
        <v/>
      </c>
      <c r="L473" s="25"/>
    </row>
    <row r="474" spans="1:12" x14ac:dyDescent="0.3">
      <c r="A474" t="s">
        <v>278</v>
      </c>
      <c r="E474" s="20" t="str">
        <f t="shared" ref="E474:E499" si="39">IF(D474="?OLD","!!!","")</f>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38"/>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3">
      <c r="A475" t="s">
        <v>388</v>
      </c>
      <c r="B475" s="26" t="s">
        <v>185</v>
      </c>
      <c r="C475" s="26" t="s">
        <v>180</v>
      </c>
      <c r="D475" s="26" t="s">
        <v>181</v>
      </c>
      <c r="E475" s="20" t="s">
        <v>649</v>
      </c>
      <c r="F475" s="21" t="str">
        <f>IF(OR(E475="",E475="!!!"),"",IF(NOT(ISNA(VLOOKUP(E475,E$1:E474,1,FALSE()))),"OLD",IF(AND(E475&lt;&gt;"",E475&lt;&gt;"!!!"),"NEW","")))</f>
        <v>OLD</v>
      </c>
      <c r="G475" s="22" t="s">
        <v>697</v>
      </c>
      <c r="H475" s="23" t="str">
        <f t="shared" ca="1" si="38"/>
        <v/>
      </c>
      <c r="I475" s="24">
        <f>IF(OR(E475="",E475="!!!",F475="NEW"),"",INDEX(B$2:B474,-1+SUMPRODUCT(MAX(ROW(E$2:E474)*(E475=E$2:E474)))))</f>
        <v>0</v>
      </c>
      <c r="J475" s="24">
        <f ca="1">IF(OR(E475="",E475="!!!",F475="NEW"),"",COUNTBLANK(OFFSET(A$1,,,SUMPRODUCT(MAX(ROW(E$2:E475)*(E475=E$2:E475)))))-COUNTBLANK(OFFSET(A$1,,,SUMPRODUCT(MAX(ROW(E$1:E474)*(E2=E$1:E474))))))</f>
        <v>0</v>
      </c>
      <c r="K475" s="24">
        <f ca="1">IF(OR(E475="",E475="!!!",F475="NEW"),"",INDEX(J$1:J474,SUMPRODUCT(MAX(ROW(E$1:E474)*(E475=E$1:E474)))))</f>
        <v>0</v>
      </c>
      <c r="L475" s="25"/>
    </row>
    <row r="476" spans="1:12" x14ac:dyDescent="0.3">
      <c r="A476" t="s">
        <v>167</v>
      </c>
      <c r="E476" s="20" t="str">
        <f t="shared" si="39"/>
        <v/>
      </c>
      <c r="F476" s="21" t="str">
        <f>IF(OR(E476="",E476="!!!"),"",IF(NOT(ISNA(VLOOKUP(E476,E$1:E475,1,FALSE()))),"OLD",IF(AND(E476&lt;&gt;"",E476&lt;&gt;"!!!"),"NEW","")))</f>
        <v/>
      </c>
      <c r="G476" s="22" t="str">
        <f>IF(OR(E476="",E476="!!!"),"",IF(OR(J476=0,AND(J476=1,K476=1),AND(J476=1,I476="SBJ"),AND(J476=1,I476=0)),"?IN_FOCUS",IF(J476&lt;=2,"?ACTIVATED",IF(J476&lt;&gt;"","?FAMILIAR",IF(F476="NEW",IF(ISNA(VLOOKUP(E476,#REF!,1,FALSE())),"?TYPE_IDENTIFIABLE","?REFERENTIAL"),"_")))))</f>
        <v/>
      </c>
      <c r="H476" s="23" t="str">
        <f t="shared" ca="1" si="38"/>
        <v/>
      </c>
      <c r="I476" s="24" t="str">
        <f>IF(OR(E476="",E476="!!!",F476="NEW"),"",INDEX(B$2:B475,-1+SUMPRODUCT(MAX(ROW(E$2:E475)*(E476=E$2:E475)))))</f>
        <v/>
      </c>
      <c r="J476" s="24" t="str">
        <f ca="1">IF(OR(E476="",E476="!!!",F476="NEW"),"",COUNTBLANK(OFFSET(A$1,,,SUMPRODUCT(MAX(ROW(E$2:E476)*(E476=E$2:E476)))))-COUNTBLANK(OFFSET(A$1,,,SUMPRODUCT(MAX(ROW(E$1:E475)*(E2=E$1:E475))))))</f>
        <v/>
      </c>
      <c r="K476" s="24" t="str">
        <f>IF(OR(E476="",E476="!!!",F476="NEW"),"",INDEX(J$1:J475,SUMPRODUCT(MAX(ROW(E$1:E475)*(E476=E$1:E475)))))</f>
        <v/>
      </c>
      <c r="L476" s="25"/>
    </row>
    <row r="477" spans="1:12" x14ac:dyDescent="0.3">
      <c r="A477" t="s">
        <v>240</v>
      </c>
      <c r="E477" s="20" t="str">
        <f t="shared" si="39"/>
        <v/>
      </c>
      <c r="F477" s="21" t="str">
        <f>IF(OR(E477="",E477="!!!"),"",IF(NOT(ISNA(VLOOKUP(E477,E$1:E476,1,FALSE()))),"OLD",IF(AND(E477&lt;&gt;"",E477&lt;&gt;"!!!"),"NEW","")))</f>
        <v/>
      </c>
      <c r="G477" s="22" t="str">
        <f>IF(OR(E477="",E477="!!!"),"",IF(OR(J477=0,AND(J477=1,K477=1),AND(J477=1,I477="SBJ"),AND(J477=1,I477=0)),"?IN_FOCUS",IF(J477&lt;=2,"?ACTIVATED",IF(J477&lt;&gt;"","?FAMILIAR",IF(F477="NEW",IF(ISNA(VLOOKUP(E477,#REF!,1,FALSE())),"?TYPE_IDENTIFIABLE","?REFERENTIAL"),"_")))))</f>
        <v/>
      </c>
      <c r="H477" s="23" t="str">
        <f t="shared" ca="1" si="38"/>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3">
      <c r="A478" t="s">
        <v>435</v>
      </c>
      <c r="B478" s="26" t="s">
        <v>372</v>
      </c>
      <c r="C478" s="26" t="s">
        <v>277</v>
      </c>
      <c r="D478" s="26" t="s">
        <v>181</v>
      </c>
      <c r="E478" s="20" t="s">
        <v>650</v>
      </c>
      <c r="F478" s="21" t="str">
        <f>IF(OR(E478="",E478="!!!"),"",IF(NOT(ISNA(VLOOKUP(E478,E$1:E477,1,FALSE()))),"OLD",IF(AND(E478&lt;&gt;"",E478&lt;&gt;"!!!"),"NEW","")))</f>
        <v>OLD</v>
      </c>
      <c r="G478" s="22" t="s">
        <v>697</v>
      </c>
      <c r="H478" s="23" t="str">
        <f t="shared" ca="1" si="38"/>
        <v/>
      </c>
      <c r="I478" s="24" t="str">
        <f>IF(OR(E478="",E478="!!!",F478="NEW"),"",INDEX(B$2:B477,-1+SUMPRODUCT(MAX(ROW(E$2:E477)*(E478=E$2:E477)))))</f>
        <v>SBJ</v>
      </c>
      <c r="J478" s="24">
        <f ca="1">IF(OR(E478="",E478="!!!",F478="NEW"),"",COUNTBLANK(OFFSET(A$1,,,SUMPRODUCT(MAX(ROW(E$2:E478)*(E478=E$2:E478)))))-COUNTBLANK(OFFSET(A$1,,,SUMPRODUCT(MAX(ROW(E$1:E477)*(E2=E$1:E477))))))</f>
        <v>0</v>
      </c>
      <c r="K478" s="24">
        <f ca="1">IF(OR(E478="",E478="!!!",F478="NEW"),"",INDEX(J$1:J477,SUMPRODUCT(MAX(ROW(E$1:E477)*(E478=E$1:E477)))))</f>
        <v>0</v>
      </c>
      <c r="L478" s="25"/>
    </row>
    <row r="479" spans="1:12" x14ac:dyDescent="0.3">
      <c r="A479" t="s">
        <v>178</v>
      </c>
      <c r="E479" s="20" t="str">
        <f t="shared" si="39"/>
        <v/>
      </c>
      <c r="F479" s="21" t="str">
        <f>IF(OR(E479="",E479="!!!"),"",IF(NOT(ISNA(VLOOKUP(E479,E$1:E478,1,FALSE()))),"OLD",IF(AND(E479&lt;&gt;"",E479&lt;&gt;"!!!"),"NEW","")))</f>
        <v/>
      </c>
      <c r="G479" s="22" t="str">
        <f>IF(OR(E479="",E479="!!!"),"",IF(OR(J479=0,AND(J479=1,K479=1),AND(J479=1,I479="SBJ"),AND(J479=1,I479=0)),"?IN_FOCUS",IF(J479&lt;=2,"?ACTIVATED",IF(J479&lt;&gt;"","?FAMILIAR",IF(F479="NEW",IF(ISNA(VLOOKUP(E479,#REF!,1,FALSE())),"?TYPE_IDENTIFIABLE","?REFERENTIAL"),"_")))))</f>
        <v/>
      </c>
      <c r="H479" s="23" t="str">
        <f t="shared" ca="1" si="38"/>
        <v/>
      </c>
      <c r="I479" s="24" t="str">
        <f>IF(OR(E479="",E479="!!!",F479="NEW"),"",INDEX(B$2:B478,-1+SUMPRODUCT(MAX(ROW(E$2:E478)*(E479=E$2:E478)))))</f>
        <v/>
      </c>
      <c r="J479" s="24" t="str">
        <f ca="1">IF(OR(E479="",E479="!!!",F479="NEW"),"",COUNTBLANK(OFFSET(A$1,,,SUMPRODUCT(MAX(ROW(E$2:E479)*(E479=E$2:E479)))))-COUNTBLANK(OFFSET(A$1,,,SUMPRODUCT(MAX(ROW(E$1:E478)*(E2=E$1:E478))))))</f>
        <v/>
      </c>
      <c r="K479" s="24" t="str">
        <f>IF(OR(E479="",E479="!!!",F479="NEW"),"",INDEX(J$1:J478,SUMPRODUCT(MAX(ROW(E$1:E478)*(E479=E$1:E478)))))</f>
        <v/>
      </c>
      <c r="L479" s="25"/>
    </row>
    <row r="480" spans="1:12" x14ac:dyDescent="0.3">
      <c r="A480" t="s">
        <v>191</v>
      </c>
      <c r="E480" s="20" t="str">
        <f t="shared" si="39"/>
        <v/>
      </c>
      <c r="F480" s="21" t="str">
        <f>IF(OR(E480="",E480="!!!"),"",IF(NOT(ISNA(VLOOKUP(E480,E$1:E479,1,FALSE()))),"OLD",IF(AND(E480&lt;&gt;"",E480&lt;&gt;"!!!"),"NEW","")))</f>
        <v/>
      </c>
      <c r="G480" s="22" t="str">
        <f>IF(OR(E480="",E480="!!!"),"",IF(OR(J480=0,AND(J480=1,K480=1),AND(J480=1,I480="SBJ"),AND(J480=1,I480=0)),"?IN_FOCUS",IF(J480&lt;=2,"?ACTIVATED",IF(J480&lt;&gt;"","?FAMILIAR",IF(F480="NEW",IF(ISNA(VLOOKUP(E480,#REF!,1,FALSE())),"?TYPE_IDENTIFIABLE","?REFERENTIAL"),"_")))))</f>
        <v/>
      </c>
      <c r="H480" s="23" t="str">
        <f t="shared" ca="1" si="38"/>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436</v>
      </c>
      <c r="E481" s="20" t="str">
        <f t="shared" si="39"/>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38"/>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3">
      <c r="A482" t="s">
        <v>437</v>
      </c>
      <c r="B482" s="26" t="s">
        <v>189</v>
      </c>
      <c r="C482" s="26" t="s">
        <v>337</v>
      </c>
      <c r="D482" s="26" t="s">
        <v>181</v>
      </c>
      <c r="E482" s="20" t="s">
        <v>660</v>
      </c>
      <c r="F482" s="21" t="str">
        <f>IF(OR(E482="",E482="!!!"),"",IF(NOT(ISNA(VLOOKUP(E482,E$1:E481,1,FALSE()))),"OLD",IF(AND(E482&lt;&gt;"",E482&lt;&gt;"!!!"),"NEW","")))</f>
        <v>NEW</v>
      </c>
      <c r="G482" s="22" t="s">
        <v>699</v>
      </c>
      <c r="H482" s="23" t="str">
        <f t="shared" ca="1" si="38"/>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3">
      <c r="A483" t="s">
        <v>167</v>
      </c>
      <c r="E483" s="20" t="str">
        <f t="shared" si="39"/>
        <v/>
      </c>
      <c r="F483" s="21" t="str">
        <f>IF(OR(E483="",E483="!!!"),"",IF(NOT(ISNA(VLOOKUP(E483,E$1:E482,1,FALSE()))),"OLD",IF(AND(E483&lt;&gt;"",E483&lt;&gt;"!!!"),"NEW","")))</f>
        <v/>
      </c>
      <c r="G483" s="22" t="str">
        <f>IF(OR(E483="",E483="!!!"),"",IF(OR(J483=0,AND(J483=1,K483=1),AND(J483=1,I483="SBJ"),AND(J483=1,I483=0)),"?IN_FOCUS",IF(J483&lt;=2,"?ACTIVATED",IF(J483&lt;&gt;"","?FAMILIAR",IF(F483="NEW",IF(ISNA(VLOOKUP(E483,#REF!,1,FALSE())),"?TYPE_IDENTIFIABLE","?REFERENTIAL"),"_")))))</f>
        <v/>
      </c>
      <c r="H483" s="23" t="str">
        <f t="shared" ca="1" si="38"/>
        <v/>
      </c>
      <c r="I483" s="24" t="str">
        <f>IF(OR(E483="",E483="!!!",F483="NEW"),"",INDEX(B$2:B482,-1+SUMPRODUCT(MAX(ROW(E$2:E482)*(E483=E$2:E482)))))</f>
        <v/>
      </c>
      <c r="J483" s="24" t="str">
        <f ca="1">IF(OR(E483="",E483="!!!",F483="NEW"),"",COUNTBLANK(OFFSET(A$1,,,SUMPRODUCT(MAX(ROW(E$2:E483)*(E483=E$2:E483)))))-COUNTBLANK(OFFSET(A$1,,,SUMPRODUCT(MAX(ROW(E$1:E482)*(E2=E$1:E482))))))</f>
        <v/>
      </c>
      <c r="K483" s="24" t="str">
        <f>IF(OR(E483="",E483="!!!",F483="NEW"),"",INDEX(J$1:J482,SUMPRODUCT(MAX(ROW(E$1:E482)*(E483=E$1:E482)))))</f>
        <v/>
      </c>
      <c r="L483" s="25"/>
    </row>
    <row r="484" spans="1:12" x14ac:dyDescent="0.3">
      <c r="A484" t="s">
        <v>178</v>
      </c>
      <c r="E484" s="20" t="str">
        <f t="shared" si="39"/>
        <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38"/>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5" spans="1:12" x14ac:dyDescent="0.3">
      <c r="A485" t="s">
        <v>438</v>
      </c>
      <c r="E485" s="20" t="str">
        <f t="shared" si="39"/>
        <v/>
      </c>
      <c r="F485" s="21" t="str">
        <f>IF(OR(E485="",E485="!!!"),"",IF(NOT(ISNA(VLOOKUP(E485,E$1:E484,1,FALSE()))),"OLD",IF(AND(E485&lt;&gt;"",E485&lt;&gt;"!!!"),"NEW","")))</f>
        <v/>
      </c>
      <c r="G485" s="22" t="str">
        <f>IF(OR(E485="",E485="!!!"),"",IF(OR(J485=0,AND(J485=1,K485=1),AND(J485=1,I485="SBJ"),AND(J485=1,I485=0)),"?IN_FOCUS",IF(J485&lt;=2,"?ACTIVATED",IF(J485&lt;&gt;"","?FAMILIAR",IF(F485="NEW",IF(ISNA(VLOOKUP(E485,#REF!,1,FALSE())),"?TYPE_IDENTIFIABLE","?REFERENTIAL"),"_")))))</f>
        <v/>
      </c>
      <c r="H485" s="23" t="str">
        <f t="shared" ca="1" si="38"/>
        <v/>
      </c>
      <c r="I485" s="24" t="str">
        <f>IF(OR(E485="",E485="!!!",F485="NEW"),"",INDEX(B$2:B484,-1+SUMPRODUCT(MAX(ROW(E$2:E484)*(E485=E$2:E484)))))</f>
        <v/>
      </c>
      <c r="J485" s="24" t="str">
        <f ca="1">IF(OR(E485="",E485="!!!",F485="NEW"),"",COUNTBLANK(OFFSET(A$1,,,SUMPRODUCT(MAX(ROW(E$2:E485)*(E485=E$2:E485)))))-COUNTBLANK(OFFSET(A$1,,,SUMPRODUCT(MAX(ROW(E$1:E484)*(E2=E$1:E484))))))</f>
        <v/>
      </c>
      <c r="K485" s="24" t="str">
        <f>IF(OR(E485="",E485="!!!",F485="NEW"),"",INDEX(J$1:J484,SUMPRODUCT(MAX(ROW(E$1:E484)*(E485=E$1:E484)))))</f>
        <v/>
      </c>
      <c r="L485" s="25"/>
    </row>
    <row r="486" spans="1:12" x14ac:dyDescent="0.3">
      <c r="A486" t="s">
        <v>435</v>
      </c>
      <c r="B486" s="26" t="s">
        <v>404</v>
      </c>
      <c r="C486" s="26" t="s">
        <v>277</v>
      </c>
      <c r="D486" s="26" t="s">
        <v>181</v>
      </c>
      <c r="E486" s="20" t="s">
        <v>650</v>
      </c>
      <c r="F486" s="21" t="str">
        <f>IF(OR(E486="",E486="!!!"),"",IF(NOT(ISNA(VLOOKUP(E486,E$1:E485,1,FALSE()))),"OLD",IF(AND(E486&lt;&gt;"",E486&lt;&gt;"!!!"),"NEW","")))</f>
        <v>OLD</v>
      </c>
      <c r="G486" s="22" t="s">
        <v>697</v>
      </c>
      <c r="H486" s="23" t="str">
        <f t="shared" ca="1" si="38"/>
        <v/>
      </c>
      <c r="I486" s="24" t="str">
        <f>IF(OR(E486="",E486="!!!",F486="NEW"),"",INDEX(B$2:B485,-1+SUMPRODUCT(MAX(ROW(E$2:E485)*(E486=E$2:E485)))))</f>
        <v>SBJ_3</v>
      </c>
      <c r="J486" s="24">
        <f ca="1">IF(OR(E486="",E486="!!!",F486="NEW"),"",COUNTBLANK(OFFSET(A$1,,,SUMPRODUCT(MAX(ROW(E$2:E486)*(E486=E$2:E486)))))-COUNTBLANK(OFFSET(A$1,,,SUMPRODUCT(MAX(ROW(E$1:E485)*(E2=E$1:E485))))))</f>
        <v>0</v>
      </c>
      <c r="K486" s="24">
        <f ca="1">IF(OR(E486="",E486="!!!",F486="NEW"),"",INDEX(J$1:J485,SUMPRODUCT(MAX(ROW(E$1:E485)*(E486=E$1:E485)))))</f>
        <v>0</v>
      </c>
      <c r="L486" s="25"/>
    </row>
    <row r="487" spans="1:12" x14ac:dyDescent="0.3">
      <c r="A487" t="s">
        <v>439</v>
      </c>
      <c r="E487" s="20" t="str">
        <f t="shared" si="39"/>
        <v/>
      </c>
      <c r="F487" s="21" t="str">
        <f>IF(OR(E487="",E487="!!!"),"",IF(NOT(ISNA(VLOOKUP(E487,E$1:E486,1,FALSE()))),"OLD",IF(AND(E487&lt;&gt;"",E487&lt;&gt;"!!!"),"NEW","")))</f>
        <v/>
      </c>
      <c r="G487" s="22" t="str">
        <f>IF(OR(E487="",E487="!!!"),"",IF(OR(J487=0,AND(J487=1,K487=1),AND(J487=1,I487="SBJ"),AND(J487=1,I487=0)),"?IN_FOCUS",IF(J487&lt;=2,"?ACTIVATED",IF(J487&lt;&gt;"","?FAMILIAR",IF(F487="NEW",IF(ISNA(VLOOKUP(E487,#REF!,1,FALSE())),"?TYPE_IDENTIFIABLE","?REFERENTIAL"),"_")))))</f>
        <v/>
      </c>
      <c r="H487" s="23" t="str">
        <f t="shared" ca="1" si="38"/>
        <v/>
      </c>
      <c r="I487" s="24" t="str">
        <f>IF(OR(E487="",E487="!!!",F487="NEW"),"",INDEX(B$2:B486,-1+SUMPRODUCT(MAX(ROW(E$2:E486)*(E487=E$2:E486)))))</f>
        <v/>
      </c>
      <c r="J487" s="24" t="str">
        <f ca="1">IF(OR(E487="",E487="!!!",F487="NEW"),"",COUNTBLANK(OFFSET(A$1,,,SUMPRODUCT(MAX(ROW(E$2:E487)*(E487=E$2:E487)))))-COUNTBLANK(OFFSET(A$1,,,SUMPRODUCT(MAX(ROW(E$1:E486)*(E2=E$1:E486))))))</f>
        <v/>
      </c>
      <c r="K487" s="24" t="str">
        <f>IF(OR(E487="",E487="!!!",F487="NEW"),"",INDEX(J$1:J486,SUMPRODUCT(MAX(ROW(E$1:E486)*(E487=E$1:E486)))))</f>
        <v/>
      </c>
      <c r="L487" s="25"/>
    </row>
    <row r="488" spans="1:12" x14ac:dyDescent="0.3">
      <c r="A488" t="s">
        <v>440</v>
      </c>
      <c r="E488" s="20" t="str">
        <f t="shared" si="39"/>
        <v/>
      </c>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ca="1" si="38"/>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row>
    <row r="489" spans="1:12" x14ac:dyDescent="0.3">
      <c r="A489" t="s">
        <v>167</v>
      </c>
      <c r="E489" s="20" t="str">
        <f t="shared" si="39"/>
        <v/>
      </c>
      <c r="F489" s="21" t="str">
        <f>IF(OR(E489="",E489="!!!"),"",IF(NOT(ISNA(VLOOKUP(E489,E$1:E488,1,FALSE()))),"OLD",IF(AND(E489&lt;&gt;"",E489&lt;&gt;"!!!"),"NEW","")))</f>
        <v/>
      </c>
      <c r="G489" s="22" t="str">
        <f>IF(OR(E489="",E489="!!!"),"",IF(OR(J489=0,AND(J489=1,K489=1),AND(J489=1,I489="SBJ"),AND(J489=1,I489=0)),"?IN_FOCUS",IF(J489&lt;=2,"?ACTIVATED",IF(J489&lt;&gt;"","?FAMILIAR",IF(F489="NEW",IF(ISNA(VLOOKUP(E489,#REF!,1,FALSE())),"?TYPE_IDENTIFIABLE","?REFERENTIAL"),"_")))))</f>
        <v/>
      </c>
      <c r="H489" s="23" t="str">
        <f t="shared" ca="1" si="38"/>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0" spans="1:12" x14ac:dyDescent="0.3">
      <c r="A490" t="s">
        <v>378</v>
      </c>
      <c r="E490" s="20" t="str">
        <f t="shared" si="39"/>
        <v/>
      </c>
      <c r="F490" s="21" t="str">
        <f>IF(OR(E490="",E490="!!!"),"",IF(NOT(ISNA(VLOOKUP(E490,E$1:E489,1,FALSE()))),"OLD",IF(AND(E490&lt;&gt;"",E490&lt;&gt;"!!!"),"NEW","")))</f>
        <v/>
      </c>
      <c r="G490" s="22" t="str">
        <f>IF(OR(E490="",E490="!!!"),"",IF(OR(J490=0,AND(J490=1,K490=1),AND(J490=1,I490="SBJ"),AND(J490=1,I490=0)),"?IN_FOCUS",IF(J490&lt;=2,"?ACTIVATED",IF(J490&lt;&gt;"","?FAMILIAR",IF(F490="NEW",IF(ISNA(VLOOKUP(E490,#REF!,1,FALSE())),"?TYPE_IDENTIFIABLE","?REFERENTIAL"),"_")))))</f>
        <v/>
      </c>
      <c r="H490" s="23" t="str">
        <f t="shared" ca="1" si="38"/>
        <v/>
      </c>
      <c r="I490" s="24" t="str">
        <f>IF(OR(E490="",E490="!!!",F490="NEW"),"",INDEX(B$2:B489,-1+SUMPRODUCT(MAX(ROW(E$2:E489)*(E490=E$2:E489)))))</f>
        <v/>
      </c>
      <c r="J490" s="24" t="str">
        <f ca="1">IF(OR(E490="",E490="!!!",F490="NEW"),"",COUNTBLANK(OFFSET(A$1,,,SUMPRODUCT(MAX(ROW(E$2:E490)*(E490=E$2:E490)))))-COUNTBLANK(OFFSET(A$1,,,SUMPRODUCT(MAX(ROW(E$1:E489)*(E2=E$1:E489))))))</f>
        <v/>
      </c>
      <c r="K490" s="24" t="str">
        <f>IF(OR(E490="",E490="!!!",F490="NEW"),"",INDEX(J$1:J489,SUMPRODUCT(MAX(ROW(E$1:E489)*(E490=E$1:E489)))))</f>
        <v/>
      </c>
      <c r="L490" s="25"/>
    </row>
    <row r="491" spans="1:12" x14ac:dyDescent="0.3">
      <c r="A491" t="s">
        <v>441</v>
      </c>
      <c r="E491" s="20" t="str">
        <f t="shared" si="39"/>
        <v/>
      </c>
      <c r="F491" s="21" t="str">
        <f>IF(OR(E491="",E491="!!!"),"",IF(NOT(ISNA(VLOOKUP(E491,E$1:E490,1,FALSE()))),"OLD",IF(AND(E491&lt;&gt;"",E491&lt;&gt;"!!!"),"NEW","")))</f>
        <v/>
      </c>
      <c r="G491" s="22" t="str">
        <f>IF(OR(E491="",E491="!!!"),"",IF(OR(J491=0,AND(J491=1,K491=1),AND(J491=1,I491="SBJ"),AND(J491=1,I491=0)),"?IN_FOCUS",IF(J491&lt;=2,"?ACTIVATED",IF(J491&lt;&gt;"","?FAMILIAR",IF(F491="NEW",IF(ISNA(VLOOKUP(E491,#REF!,1,FALSE())),"?TYPE_IDENTIFIABLE","?REFERENTIAL"),"_")))))</f>
        <v/>
      </c>
      <c r="H491" s="23" t="str">
        <f t="shared" ca="1" si="38"/>
        <v/>
      </c>
      <c r="I491" s="24" t="str">
        <f>IF(OR(E491="",E491="!!!",F491="NEW"),"",INDEX(B$2:B490,-1+SUMPRODUCT(MAX(ROW(E$2:E490)*(E491=E$2:E490)))))</f>
        <v/>
      </c>
      <c r="J491" s="24" t="str">
        <f ca="1">IF(OR(E491="",E491="!!!",F491="NEW"),"",COUNTBLANK(OFFSET(A$1,,,SUMPRODUCT(MAX(ROW(E$2:E491)*(E491=E$2:E491)))))-COUNTBLANK(OFFSET(A$1,,,SUMPRODUCT(MAX(ROW(E$1:E490)*(E2=E$1:E490))))))</f>
        <v/>
      </c>
      <c r="K491" s="24" t="str">
        <f>IF(OR(E491="",E491="!!!",F491="NEW"),"",INDEX(J$1:J490,SUMPRODUCT(MAX(ROW(E$1:E490)*(E491=E$1:E490)))))</f>
        <v/>
      </c>
      <c r="L491" s="25"/>
    </row>
    <row r="492" spans="1:12" x14ac:dyDescent="0.3">
      <c r="A492" t="s">
        <v>442</v>
      </c>
      <c r="E492" s="20" t="str">
        <f t="shared" si="39"/>
        <v/>
      </c>
      <c r="F492" s="21" t="str">
        <f>IF(OR(E492="",E492="!!!"),"",IF(NOT(ISNA(VLOOKUP(E492,E$1:E491,1,FALSE()))),"OLD",IF(AND(E492&lt;&gt;"",E492&lt;&gt;"!!!"),"NEW","")))</f>
        <v/>
      </c>
      <c r="G492" s="22" t="str">
        <f>IF(OR(E492="",E492="!!!"),"",IF(OR(J492=0,AND(J492=1,K492=1),AND(J492=1,I492="SBJ"),AND(J492=1,I492=0)),"?IN_FOCUS",IF(J492&lt;=2,"?ACTIVATED",IF(J492&lt;&gt;"","?FAMILIAR",IF(F492="NEW",IF(ISNA(VLOOKUP(E492,#REF!,1,FALSE())),"?TYPE_IDENTIFIABLE","?REFERENTIAL"),"_")))))</f>
        <v/>
      </c>
      <c r="H492" s="23" t="str">
        <f t="shared" ca="1" si="38"/>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3">
      <c r="A493" t="s">
        <v>443</v>
      </c>
      <c r="E493" s="20" t="str">
        <f t="shared" si="39"/>
        <v/>
      </c>
      <c r="F493" s="21" t="str">
        <f>IF(OR(E493="",E493="!!!"),"",IF(NOT(ISNA(VLOOKUP(E493,E$1:E492,1,FALSE()))),"OLD",IF(AND(E493&lt;&gt;"",E493&lt;&gt;"!!!"),"NEW","")))</f>
        <v/>
      </c>
      <c r="G493" s="22" t="str">
        <f>IF(OR(E493="",E493="!!!"),"",IF(OR(J493=0,AND(J493=1,K493=1),AND(J493=1,I493="SBJ"),AND(J493=1,I493=0)),"?IN_FOCUS",IF(J493&lt;=2,"?ACTIVATED",IF(J493&lt;&gt;"","?FAMILIAR",IF(F493="NEW",IF(ISNA(VLOOKUP(E493,#REF!,1,FALSE())),"?TYPE_IDENTIFIABLE","?REFERENTIAL"),"_")))))</f>
        <v/>
      </c>
      <c r="H493" s="23" t="str">
        <f t="shared" ca="1" si="38"/>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3">
      <c r="A494" t="s">
        <v>444</v>
      </c>
      <c r="B494" s="26" t="s">
        <v>172</v>
      </c>
      <c r="C494" s="26" t="s">
        <v>297</v>
      </c>
      <c r="E494" s="20" t="str">
        <f t="shared" si="39"/>
        <v/>
      </c>
      <c r="F494" s="21" t="str">
        <f>IF(OR(E494="",E494="!!!"),"",IF(NOT(ISNA(VLOOKUP(E494,E$1:E493,1,FALSE()))),"OLD",IF(AND(E494&lt;&gt;"",E494&lt;&gt;"!!!"),"NEW","")))</f>
        <v/>
      </c>
      <c r="G494" s="22" t="str">
        <f>IF(OR(E494="",E494="!!!"),"",IF(OR(J494=0,AND(J494=1,K494=1),AND(J494=1,I494="SBJ"),AND(J494=1,I494=0)),"?IN_FOCUS",IF(J494&lt;=2,"?ACTIVATED",IF(J494&lt;&gt;"","?FAMILIAR",IF(F494="NEW",IF(ISNA(VLOOKUP(E494,#REF!,1,FALSE())),"?TYPE_IDENTIFIABLE","?REFERENTIAL"),"_")))))</f>
        <v/>
      </c>
      <c r="H494" s="23" t="str">
        <f t="shared" ca="1" si="38"/>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5" spans="1:12" x14ac:dyDescent="0.3">
      <c r="A495" t="s">
        <v>219</v>
      </c>
      <c r="E495" s="20" t="str">
        <f t="shared" si="39"/>
        <v/>
      </c>
      <c r="F495" s="21" t="str">
        <f>IF(OR(E495="",E495="!!!"),"",IF(NOT(ISNA(VLOOKUP(E495,E$1:E494,1,FALSE()))),"OLD",IF(AND(E495&lt;&gt;"",E495&lt;&gt;"!!!"),"NEW","")))</f>
        <v/>
      </c>
      <c r="G495" s="22" t="str">
        <f>IF(OR(E495="",E495="!!!"),"",IF(OR(J495=0,AND(J495=1,K495=1),AND(J495=1,I495="SBJ"),AND(J495=1,I495=0)),"?IN_FOCUS",IF(J495&lt;=2,"?ACTIVATED",IF(J495&lt;&gt;"","?FAMILIAR",IF(F495="NEW",IF(ISNA(VLOOKUP(E495,#REF!,1,FALSE())),"?TYPE_IDENTIFIABLE","?REFERENTIAL"),"_")))))</f>
        <v/>
      </c>
      <c r="H495" s="23" t="str">
        <f t="shared" ca="1" si="38"/>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6" spans="1:12" x14ac:dyDescent="0.3">
      <c r="A496" t="s">
        <v>445</v>
      </c>
      <c r="B496" s="26" t="s">
        <v>177</v>
      </c>
      <c r="C496" s="26" t="s">
        <v>194</v>
      </c>
      <c r="D496" s="26" t="s">
        <v>181</v>
      </c>
      <c r="E496" s="20" t="s">
        <v>654</v>
      </c>
      <c r="F496" s="21" t="str">
        <f>IF(OR(E496="",E496="!!!"),"",IF(NOT(ISNA(VLOOKUP(E496,E$1:E495,1,FALSE()))),"OLD",IF(AND(E496&lt;&gt;"",E496&lt;&gt;"!!!"),"NEW","")))</f>
        <v>OLD</v>
      </c>
      <c r="G496" s="22" t="s">
        <v>696</v>
      </c>
      <c r="H496" s="23" t="str">
        <f t="shared" ca="1" si="38"/>
        <v/>
      </c>
      <c r="I496" s="24" t="str">
        <f>IF(OR(E496="",E496="!!!",F496="NEW"),"",INDEX(B$2:B495,-1+SUMPRODUCT(MAX(ROW(E$2:E495)*(E496=E$2:E495)))))</f>
        <v>other_3</v>
      </c>
      <c r="J496" s="24">
        <f ca="1">IF(OR(E496="",E496="!!!",F496="NEW"),"",COUNTBLANK(OFFSET(A$1,,,SUMPRODUCT(MAX(ROW(E$2:E496)*(E496=E$2:E496)))))-COUNTBLANK(OFFSET(A$1,,,SUMPRODUCT(MAX(ROW(E$1:E495)*(E2=E$1:E495))))))</f>
        <v>0</v>
      </c>
      <c r="K496" s="24" t="str">
        <f ca="1">IF(OR(E496="",E496="!!!",F496="NEW"),"",INDEX(J$1:J495,SUMPRODUCT(MAX(ROW(E$1:E495)*(E496=E$1:E495)))))</f>
        <v/>
      </c>
      <c r="L496" s="25"/>
    </row>
    <row r="497" spans="1:12" x14ac:dyDescent="0.3">
      <c r="A497" t="s">
        <v>446</v>
      </c>
      <c r="E497" s="20" t="str">
        <f t="shared" si="39"/>
        <v/>
      </c>
      <c r="F497" s="21" t="str">
        <f>IF(OR(E497="",E497="!!!"),"",IF(NOT(ISNA(VLOOKUP(E497,E$1:E496,1,FALSE()))),"OLD",IF(AND(E497&lt;&gt;"",E497&lt;&gt;"!!!"),"NEW","")))</f>
        <v/>
      </c>
      <c r="G497" s="22" t="str">
        <f>IF(OR(E497="",E497="!!!"),"",IF(OR(J497=0,AND(J497=1,K497=1),AND(J497=1,I497="SBJ"),AND(J497=1,I497=0)),"?IN_FOCUS",IF(J497&lt;=2,"?ACTIVATED",IF(J497&lt;&gt;"","?FAMILIAR",IF(F497="NEW",IF(ISNA(VLOOKUP(E497,#REF!,1,FALSE())),"?TYPE_IDENTIFIABLE","?REFERENTIAL"),"_")))))</f>
        <v/>
      </c>
      <c r="H497" s="23" t="str">
        <f t="shared" ca="1" si="38"/>
        <v/>
      </c>
      <c r="I497" s="24" t="str">
        <f>IF(OR(E497="",E497="!!!",F497="NEW"),"",INDEX(B$2:B496,-1+SUMPRODUCT(MAX(ROW(E$2:E496)*(E497=E$2:E496)))))</f>
        <v/>
      </c>
      <c r="J497" s="24" t="str">
        <f ca="1">IF(OR(E497="",E497="!!!",F497="NEW"),"",COUNTBLANK(OFFSET(A$1,,,SUMPRODUCT(MAX(ROW(E$2:E497)*(E497=E$2:E497)))))-COUNTBLANK(OFFSET(A$1,,,SUMPRODUCT(MAX(ROW(E$1:E496)*(E2=E$1:E496))))))</f>
        <v/>
      </c>
      <c r="K497" s="24" t="str">
        <f>IF(OR(E497="",E497="!!!",F497="NEW"),"",INDEX(J$1:J496,SUMPRODUCT(MAX(ROW(E$1:E496)*(E497=E$1:E496)))))</f>
        <v/>
      </c>
      <c r="L497" s="25"/>
    </row>
    <row r="498" spans="1:12" x14ac:dyDescent="0.3">
      <c r="A498" t="s">
        <v>284</v>
      </c>
      <c r="E498" s="20" t="str">
        <f t="shared" si="39"/>
        <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ca="1" si="38"/>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499" spans="1:12" x14ac:dyDescent="0.3">
      <c r="A499" t="s">
        <v>201</v>
      </c>
      <c r="E499" s="20" t="str">
        <f t="shared" si="39"/>
        <v/>
      </c>
      <c r="F499" s="21" t="str">
        <f>IF(OR(E499="",E499="!!!"),"",IF(NOT(ISNA(VLOOKUP(E499,E$1:E498,1,FALSE()))),"OLD",IF(AND(E499&lt;&gt;"",E499&lt;&gt;"!!!"),"NEW","")))</f>
        <v/>
      </c>
      <c r="G499" s="22" t="str">
        <f>IF(OR(E499="",E499="!!!"),"",IF(OR(J499=0,AND(J499=1,K499=1),AND(J499=1,I499="SBJ"),AND(J499=1,I499=0)),"?IN_FOCUS",IF(J499&lt;=2,"?ACTIVATED",IF(J499&lt;&gt;"","?FAMILIAR",IF(F499="NEW",IF(ISNA(VLOOKUP(E499,#REF!,1,FALSE())),"?TYPE_IDENTIFIABLE","?REFERENTIAL"),"_")))))</f>
        <v/>
      </c>
      <c r="H499" s="23" t="str">
        <f t="shared" ca="1" si="38"/>
        <v/>
      </c>
      <c r="I499" s="24" t="str">
        <f>IF(OR(E499="",E499="!!!",F499="NEW"),"",INDEX(B$2:B498,-1+SUMPRODUCT(MAX(ROW(E$2:E498)*(E499=E$2:E498)))))</f>
        <v/>
      </c>
      <c r="J499" s="24" t="str">
        <f ca="1">IF(OR(E499="",E499="!!!",F499="NEW"),"",COUNTBLANK(OFFSET(A$1,,,SUMPRODUCT(MAX(ROW(E$2:E499)*(E499=E$2:E499)))))-COUNTBLANK(OFFSET(A$1,,,SUMPRODUCT(MAX(ROW(E$1:E498)*(E2=E$1:E498))))))</f>
        <v/>
      </c>
      <c r="K499" s="24" t="str">
        <f>IF(OR(E499="",E499="!!!",F499="NEW"),"",INDEX(J$1:J498,SUMPRODUCT(MAX(ROW(E$1:E498)*(E499=E$1:E498)))))</f>
        <v/>
      </c>
      <c r="L499" s="25"/>
    </row>
    <row r="501" spans="1:12" x14ac:dyDescent="0.3">
      <c r="A501" t="s">
        <v>447</v>
      </c>
    </row>
    <row r="502" spans="1:12" x14ac:dyDescent="0.3">
      <c r="A502" t="s">
        <v>388</v>
      </c>
      <c r="B502" s="26" t="s">
        <v>185</v>
      </c>
      <c r="C502" s="26" t="s">
        <v>180</v>
      </c>
      <c r="D502" s="26" t="s">
        <v>181</v>
      </c>
      <c r="E502" s="20" t="s">
        <v>649</v>
      </c>
      <c r="F502" s="21" t="str">
        <f>IF(OR(E502="",E502="!!!"),"",IF(NOT(ISNA(VLOOKUP(E502,E$1:E501,1,FALSE()))),"OLD",IF(AND(E502&lt;&gt;"",E502&lt;&gt;"!!!"),"NEW","")))</f>
        <v>OLD</v>
      </c>
      <c r="G502" s="22" t="s">
        <v>697</v>
      </c>
      <c r="H502" s="23" t="s">
        <v>158</v>
      </c>
      <c r="I502" s="24" t="str">
        <f>IF(OR(E502="",E502="!!!",F502="NEW"),"",INDEX(B$2:B501,-1+SUMPRODUCT(MAX(ROW(E$2:E501)*(E502=E$2:E501)))))</f>
        <v>SBJ</v>
      </c>
      <c r="J502" s="24">
        <f ca="1">IF(OR(E502="",E502="!!!",F502="NEW"),"",COUNTBLANK(OFFSET(A$1,,,SUMPRODUCT(MAX(ROW(E$2:E502)*(E502=E$2:E502)))))-COUNTBLANK(OFFSET(A$1,,,SUMPRODUCT(MAX(ROW(E$1:E501)*(E2=E$1:E501))))))</f>
        <v>0</v>
      </c>
      <c r="K502" s="24">
        <f ca="1">IF(OR(E502="",E502="!!!",F502="NEW"),"",INDEX(J$1:J501,SUMPRODUCT(MAX(ROW(E$1:E501)*(E502=E$1:E501)))))</f>
        <v>0</v>
      </c>
      <c r="L502" s="25"/>
    </row>
    <row r="503" spans="1:12" x14ac:dyDescent="0.3">
      <c r="A503" t="s">
        <v>278</v>
      </c>
      <c r="E503" s="20" t="str">
        <f t="shared" ref="E503:E522" si="40">IF(D503="?OLD","!!!","")</f>
        <v/>
      </c>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ref="H503:H522" ca="1" si="41">IF(J503&lt;&gt;1,"",IF(I503="SBJ","CB","?"))</f>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167</v>
      </c>
      <c r="E504" s="20" t="str">
        <f t="shared" si="40"/>
        <v/>
      </c>
      <c r="F504" s="21" t="str">
        <f>IF(OR(E504="",E504="!!!"),"",IF(NOT(ISNA(VLOOKUP(E504,E$1:E503,1,FALSE()))),"OLD",IF(AND(E504&lt;&gt;"",E504&lt;&gt;"!!!"),"NEW","")))</f>
        <v/>
      </c>
      <c r="G504" s="22" t="str">
        <f>IF(OR(E504="",E504="!!!"),"",IF(OR(J504=0,AND(J504=1,K504=1),AND(J504=1,I504="SBJ"),AND(J504=1,I504=0)),"?IN_FOCUS",IF(J504&lt;=2,"?ACTIVATED",IF(J504&lt;&gt;"","?FAMILIAR",IF(F504="NEW",IF(ISNA(VLOOKUP(E504,#REF!,1,FALSE())),"?TYPE_IDENTIFIABLE","?REFERENTIAL"),"_")))))</f>
        <v/>
      </c>
      <c r="H504" s="23" t="str">
        <f t="shared" ca="1" si="41"/>
        <v/>
      </c>
      <c r="I504" s="24" t="str">
        <f>IF(OR(E504="",E504="!!!",F504="NEW"),"",INDEX(B$2:B503,-1+SUMPRODUCT(MAX(ROW(E$2:E503)*(E504=E$2:E503)))))</f>
        <v/>
      </c>
      <c r="J504" s="24" t="str">
        <f ca="1">IF(OR(E504="",E504="!!!",F504="NEW"),"",COUNTBLANK(OFFSET(A$1,,,SUMPRODUCT(MAX(ROW(E$2:E504)*(E504=E$2:E504)))))-COUNTBLANK(OFFSET(A$1,,,SUMPRODUCT(MAX(ROW(E$1:E503)*(E2=E$1:E503))))))</f>
        <v/>
      </c>
      <c r="K504" s="24" t="str">
        <f>IF(OR(E504="",E504="!!!",F504="NEW"),"",INDEX(J$1:J503,SUMPRODUCT(MAX(ROW(E$1:E503)*(E504=E$1:E503)))))</f>
        <v/>
      </c>
      <c r="L504" s="25"/>
    </row>
    <row r="505" spans="1:12" x14ac:dyDescent="0.3">
      <c r="A505" t="s">
        <v>240</v>
      </c>
      <c r="E505" s="20" t="str">
        <f t="shared" si="40"/>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41"/>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6" spans="1:12" x14ac:dyDescent="0.3">
      <c r="A506" t="s">
        <v>448</v>
      </c>
      <c r="B506" s="26" t="s">
        <v>169</v>
      </c>
      <c r="C506" s="26" t="s">
        <v>312</v>
      </c>
      <c r="D506" s="26" t="s">
        <v>181</v>
      </c>
      <c r="E506" s="20" t="s">
        <v>649</v>
      </c>
      <c r="F506" s="21" t="str">
        <f>IF(OR(E506="",E506="!!!"),"",IF(NOT(ISNA(VLOOKUP(E506,E$1:E505,1,FALSE()))),"OLD",IF(AND(E506&lt;&gt;"",E506&lt;&gt;"!!!"),"NEW","")))</f>
        <v>OLD</v>
      </c>
      <c r="G506" s="22" t="s">
        <v>697</v>
      </c>
      <c r="H506" s="23" t="str">
        <f t="shared" ca="1" si="41"/>
        <v/>
      </c>
      <c r="I506" s="24" t="str">
        <f>IF(OR(E506="",E506="!!!",F506="NEW"),"",INDEX(B$2:B505,-1+SUMPRODUCT(MAX(ROW(E$2:E505)*(E506=E$2:E505)))))</f>
        <v>SBJ</v>
      </c>
      <c r="J506" s="24">
        <f ca="1">IF(OR(E506="",E506="!!!",F506="NEW"),"",COUNTBLANK(OFFSET(A$1,,,SUMPRODUCT(MAX(ROW(E$2:E506)*(E506=E$2:E506)))))-COUNTBLANK(OFFSET(A$1,,,SUMPRODUCT(MAX(ROW(E$1:E505)*(E2=E$1:E505))))))</f>
        <v>0</v>
      </c>
      <c r="K506" s="24">
        <f ca="1">IF(OR(E506="",E506="!!!",F506="NEW"),"",INDEX(J$1:J505,SUMPRODUCT(MAX(ROW(E$1:E505)*(E506=E$1:E505)))))</f>
        <v>0</v>
      </c>
      <c r="L506" s="25"/>
    </row>
    <row r="507" spans="1:12" x14ac:dyDescent="0.3">
      <c r="A507" t="s">
        <v>186</v>
      </c>
      <c r="E507" s="20" t="str">
        <f t="shared" si="40"/>
        <v/>
      </c>
      <c r="F507" s="21" t="str">
        <f>IF(OR(E507="",E507="!!!"),"",IF(NOT(ISNA(VLOOKUP(E507,E$1:E506,1,FALSE()))),"OLD",IF(AND(E507&lt;&gt;"",E507&lt;&gt;"!!!"),"NEW","")))</f>
        <v/>
      </c>
      <c r="G507" s="22" t="str">
        <f>IF(OR(E507="",E507="!!!"),"",IF(OR(J507=0,AND(J507=1,K507=1),AND(J507=1,I507="SBJ"),AND(J507=1,I507=0)),"?IN_FOCUS",IF(J507&lt;=2,"?ACTIVATED",IF(J507&lt;&gt;"","?FAMILIAR",IF(F507="NEW",IF(ISNA(VLOOKUP(E507,#REF!,1,FALSE())),"?TYPE_IDENTIFIABLE","?REFERENTIAL"),"_")))))</f>
        <v/>
      </c>
      <c r="H507" s="23" t="str">
        <f t="shared" ca="1" si="41"/>
        <v/>
      </c>
      <c r="I507" s="24" t="str">
        <f>IF(OR(E507="",E507="!!!",F507="NEW"),"",INDEX(B$2:B506,-1+SUMPRODUCT(MAX(ROW(E$2:E506)*(E507=E$2:E506)))))</f>
        <v/>
      </c>
      <c r="J507" s="24" t="str">
        <f ca="1">IF(OR(E507="",E507="!!!",F507="NEW"),"",COUNTBLANK(OFFSET(A$1,,,SUMPRODUCT(MAX(ROW(E$2:E507)*(E507=E$2:E507)))))-COUNTBLANK(OFFSET(A$1,,,SUMPRODUCT(MAX(ROW(E$1:E506)*(E2=E$1:E506))))))</f>
        <v/>
      </c>
      <c r="K507" s="24" t="str">
        <f>IF(OR(E507="",E507="!!!",F507="NEW"),"",INDEX(J$1:J506,SUMPRODUCT(MAX(ROW(E$1:E506)*(E507=E$1:E506)))))</f>
        <v/>
      </c>
      <c r="L507" s="25"/>
    </row>
    <row r="508" spans="1:12" x14ac:dyDescent="0.3">
      <c r="A508" t="s">
        <v>389</v>
      </c>
      <c r="E508" s="20" t="s">
        <v>649</v>
      </c>
      <c r="F508" s="21" t="str">
        <f>IF(OR(E508="",E508="!!!"),"",IF(NOT(ISNA(VLOOKUP(E508,E$1:E507,1,FALSE()))),"OLD",IF(AND(E508&lt;&gt;"",E508&lt;&gt;"!!!"),"NEW","")))</f>
        <v>OLD</v>
      </c>
      <c r="G508" s="22" t="s">
        <v>697</v>
      </c>
      <c r="H508" s="23" t="str">
        <f t="shared" ca="1" si="41"/>
        <v/>
      </c>
      <c r="I508" s="24" t="str">
        <f>IF(OR(E508="",E508="!!!",F508="NEW"),"",INDEX(B$2:B507,-1+SUMPRODUCT(MAX(ROW(E$2:E507)*(E508=E$2:E507)))))</f>
        <v>SBJ_2</v>
      </c>
      <c r="J508" s="24">
        <f ca="1">IF(OR(E508="",E508="!!!",F508="NEW"),"",COUNTBLANK(OFFSET(A$1,,,SUMPRODUCT(MAX(ROW(E$2:E508)*(E508=E$2:E508)))))-COUNTBLANK(OFFSET(A$1,,,SUMPRODUCT(MAX(ROW(E$1:E507)*(E2=E$1:E507))))))</f>
        <v>0</v>
      </c>
      <c r="K508" s="24">
        <f ca="1">IF(OR(E508="",E508="!!!",F508="NEW"),"",INDEX(J$1:J507,SUMPRODUCT(MAX(ROW(E$1:E507)*(E508=E$1:E507)))))</f>
        <v>0</v>
      </c>
      <c r="L508" s="25"/>
    </row>
    <row r="509" spans="1:12" x14ac:dyDescent="0.3">
      <c r="A509" t="s">
        <v>449</v>
      </c>
      <c r="B509" s="26" t="s">
        <v>177</v>
      </c>
      <c r="C509" s="26" t="s">
        <v>224</v>
      </c>
      <c r="E509" s="20" t="s">
        <v>687</v>
      </c>
      <c r="F509" s="21" t="s">
        <v>635</v>
      </c>
      <c r="G509" s="22" t="s">
        <v>696</v>
      </c>
      <c r="H509" s="23" t="str">
        <f t="shared" ca="1" si="41"/>
        <v/>
      </c>
      <c r="I509" s="24" t="e">
        <f>IF(OR(E509="",E509="!!!",F509="NEW"),"",INDEX(B$2:B508,-1+SUMPRODUCT(MAX(ROW(E$2:E508)*(E509=E$2:E508)))))</f>
        <v>#VALUE!</v>
      </c>
      <c r="J509" s="24">
        <f ca="1">IF(OR(E509="",E509="!!!",F509="NEW"),"",COUNTBLANK(OFFSET(A$1,,,SUMPRODUCT(MAX(ROW(E$2:E509)*(E509=E$2:E509)))))-COUNTBLANK(OFFSET(A$1,,,SUMPRODUCT(MAX(ROW(E$1:E508)*(E2=E$1:E508))))))</f>
        <v>0</v>
      </c>
      <c r="K509" s="24" t="e">
        <f>IF(OR(E509="",E509="!!!",F509="NEW"),"",INDEX(J$1:J508,SUMPRODUCT(MAX(ROW(E$1:E508)*(E509=E$1:E508)))))</f>
        <v>#VALUE!</v>
      </c>
      <c r="L509" s="25"/>
    </row>
    <row r="510" spans="1:12" x14ac:dyDescent="0.3">
      <c r="A510" t="s">
        <v>450</v>
      </c>
      <c r="B510" s="26" t="s">
        <v>177</v>
      </c>
      <c r="C510" s="26" t="s">
        <v>175</v>
      </c>
      <c r="E510" s="20"/>
      <c r="F510" s="21"/>
      <c r="G510" s="22"/>
      <c r="H510" s="23" t="str">
        <f t="shared" ca="1" si="41"/>
        <v/>
      </c>
      <c r="I510" s="24" t="str">
        <f>IF(OR(E510="",E510="!!!",F510="NEW"),"",INDEX(B$2:B509,-1+SUMPRODUCT(MAX(ROW(E$2:E509)*(E510=E$2:E509)))))</f>
        <v/>
      </c>
      <c r="J510" s="24" t="str">
        <f ca="1">IF(OR(E510="",E510="!!!",F510="NEW"),"",COUNTBLANK(OFFSET(A$1,,,SUMPRODUCT(MAX(ROW(E$2:E510)*(E510=E$2:E510)))))-COUNTBLANK(OFFSET(A$1,,,SUMPRODUCT(MAX(ROW(E$1:E509)*(E2=E$1:E509))))))</f>
        <v/>
      </c>
      <c r="K510" s="24" t="str">
        <f>IF(OR(E510="",E510="!!!",F510="NEW"),"",INDEX(J$1:J509,SUMPRODUCT(MAX(ROW(E$1:E509)*(E510=E$1:E509)))))</f>
        <v/>
      </c>
      <c r="L510" s="25"/>
    </row>
    <row r="511" spans="1:12" x14ac:dyDescent="0.3">
      <c r="A511" t="s">
        <v>451</v>
      </c>
      <c r="B511" s="26" t="s">
        <v>172</v>
      </c>
      <c r="C511" s="26" t="s">
        <v>215</v>
      </c>
      <c r="E511" s="20" t="str">
        <f t="shared" si="40"/>
        <v/>
      </c>
      <c r="F511" s="21" t="str">
        <f>IF(OR(E511="",E511="!!!"),"",IF(NOT(ISNA(VLOOKUP(E511,E$1:E510,1,FALSE()))),"OLD",IF(AND(E511&lt;&gt;"",E511&lt;&gt;"!!!"),"NEW","")))</f>
        <v/>
      </c>
      <c r="G511" s="22" t="str">
        <f>IF(OR(E511="",E511="!!!"),"",IF(OR(J511=0,AND(J511=1,K511=1),AND(J511=1,I511="SBJ"),AND(J511=1,I511=0)),"?IN_FOCUS",IF(J511&lt;=2,"?ACTIVATED",IF(J511&lt;&gt;"","?FAMILIAR",IF(F511="NEW",IF(ISNA(VLOOKUP(E511,#REF!,1,FALSE())),"?TYPE_IDENTIFIABLE","?REFERENTIAL"),"_")))))</f>
        <v/>
      </c>
      <c r="H511" s="23" t="str">
        <f t="shared" ca="1" si="41"/>
        <v/>
      </c>
      <c r="I511" s="24" t="str">
        <f>IF(OR(E511="",E511="!!!",F511="NEW"),"",INDEX(B$2:B510,-1+SUMPRODUCT(MAX(ROW(E$2:E510)*(E511=E$2:E510)))))</f>
        <v/>
      </c>
      <c r="J511" s="24" t="str">
        <f ca="1">IF(OR(E511="",E511="!!!",F511="NEW"),"",COUNTBLANK(OFFSET(A$1,,,SUMPRODUCT(MAX(ROW(E$2:E511)*(E511=E$2:E511)))))-COUNTBLANK(OFFSET(A$1,,,SUMPRODUCT(MAX(ROW(E$1:E510)*(E2=E$1:E510))))))</f>
        <v/>
      </c>
      <c r="K511" s="24" t="str">
        <f>IF(OR(E511="",E511="!!!",F511="NEW"),"",INDEX(J$1:J510,SUMPRODUCT(MAX(ROW(E$1:E510)*(E511=E$1:E510)))))</f>
        <v/>
      </c>
      <c r="L511" s="25"/>
    </row>
    <row r="512" spans="1:12" x14ac:dyDescent="0.3">
      <c r="A512" t="s">
        <v>452</v>
      </c>
      <c r="E512" s="20" t="str">
        <f t="shared" si="40"/>
        <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ca="1" si="41"/>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186</v>
      </c>
      <c r="E513" s="20" t="str">
        <f t="shared" si="40"/>
        <v/>
      </c>
      <c r="F513" s="21" t="str">
        <f>IF(OR(E513="",E513="!!!"),"",IF(NOT(ISNA(VLOOKUP(E513,E$1:E512,1,FALSE()))),"OLD",IF(AND(E513&lt;&gt;"",E513&lt;&gt;"!!!"),"NEW","")))</f>
        <v/>
      </c>
      <c r="G513" s="22" t="str">
        <f>IF(OR(E513="",E513="!!!"),"",IF(OR(J513=0,AND(J513=1,K513=1),AND(J513=1,I513="SBJ"),AND(J513=1,I513=0)),"?IN_FOCUS",IF(J513&lt;=2,"?ACTIVATED",IF(J513&lt;&gt;"","?FAMILIAR",IF(F513="NEW",IF(ISNA(VLOOKUP(E513,#REF!,1,FALSE())),"?TYPE_IDENTIFIABLE","?REFERENTIAL"),"_")))))</f>
        <v/>
      </c>
      <c r="H513" s="23" t="str">
        <f t="shared" ca="1" si="41"/>
        <v/>
      </c>
      <c r="I513" s="24" t="str">
        <f>IF(OR(E513="",E513="!!!",F513="NEW"),"",INDEX(B$2:B512,-1+SUMPRODUCT(MAX(ROW(E$2:E512)*(E513=E$2:E512)))))</f>
        <v/>
      </c>
      <c r="J513" s="24" t="str">
        <f ca="1">IF(OR(E513="",E513="!!!",F513="NEW"),"",COUNTBLANK(OFFSET(A$1,,,SUMPRODUCT(MAX(ROW(E$2:E513)*(E513=E$2:E513)))))-COUNTBLANK(OFFSET(A$1,,,SUMPRODUCT(MAX(ROW(E$1:E512)*(E2=E$1:E512))))))</f>
        <v/>
      </c>
      <c r="K513" s="24" t="str">
        <f>IF(OR(E513="",E513="!!!",F513="NEW"),"",INDEX(J$1:J512,SUMPRODUCT(MAX(ROW(E$1:E512)*(E513=E$1:E512)))))</f>
        <v/>
      </c>
      <c r="L513" s="25"/>
    </row>
    <row r="514" spans="1:12" x14ac:dyDescent="0.3">
      <c r="A514" t="s">
        <v>448</v>
      </c>
      <c r="B514" s="26" t="s">
        <v>372</v>
      </c>
      <c r="C514" s="26" t="s">
        <v>312</v>
      </c>
      <c r="D514" s="26" t="s">
        <v>181</v>
      </c>
      <c r="E514" s="20" t="s">
        <v>649</v>
      </c>
      <c r="F514" s="21" t="str">
        <f>IF(OR(E514="",E514="!!!"),"",IF(NOT(ISNA(VLOOKUP(E514,E$1:E513,1,FALSE()))),"OLD",IF(AND(E514&lt;&gt;"",E514&lt;&gt;"!!!"),"NEW","")))</f>
        <v>OLD</v>
      </c>
      <c r="G514" s="22" t="s">
        <v>697</v>
      </c>
      <c r="H514" s="23" t="str">
        <f t="shared" ca="1" si="41"/>
        <v/>
      </c>
      <c r="I514" s="24">
        <f>IF(OR(E514="",E514="!!!",F514="NEW"),"",INDEX(B$2:B513,-1+SUMPRODUCT(MAX(ROW(E$2:E513)*(E514=E$2:E513)))))</f>
        <v>0</v>
      </c>
      <c r="J514" s="24">
        <f ca="1">IF(OR(E514="",E514="!!!",F514="NEW"),"",COUNTBLANK(OFFSET(A$1,,,SUMPRODUCT(MAX(ROW(E$2:E514)*(E514=E$2:E514)))))-COUNTBLANK(OFFSET(A$1,,,SUMPRODUCT(MAX(ROW(E$1:E513)*(E2=E$1:E513))))))</f>
        <v>0</v>
      </c>
      <c r="K514" s="24">
        <f ca="1">IF(OR(E514="",E514="!!!",F514="NEW"),"",INDEX(J$1:J513,SUMPRODUCT(MAX(ROW(E$1:E513)*(E514=E$1:E513)))))</f>
        <v>0</v>
      </c>
      <c r="L514" s="25"/>
    </row>
    <row r="515" spans="1:12" x14ac:dyDescent="0.3">
      <c r="A515" t="s">
        <v>230</v>
      </c>
      <c r="E515" s="20" t="str">
        <f t="shared" si="40"/>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41"/>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453</v>
      </c>
      <c r="B516" s="26" t="s">
        <v>189</v>
      </c>
      <c r="C516" s="26" t="s">
        <v>194</v>
      </c>
      <c r="D516" s="26" t="s">
        <v>181</v>
      </c>
      <c r="E516" s="20"/>
      <c r="F516" s="21" t="s">
        <v>615</v>
      </c>
      <c r="G516" s="22" t="str">
        <f>IF(OR(E516="",E516="!!!"),"",IF(OR(J516=0,AND(J516=1,K516=1),AND(J516=1,I516="SBJ"),AND(J516=1,I516=0)),"?IN_FOCUS",IF(J516&lt;=2,"?ACTIVATED",IF(J516&lt;&gt;"","?FAMILIAR",IF(F516="NEW",IF(ISNA(VLOOKUP(E516,#REF!,1,FALSE())),"?TYPE_IDENTIFIABLE","?REFERENTIAL"),"_")))))</f>
        <v/>
      </c>
      <c r="H516" s="23" t="str">
        <f t="shared" ca="1" si="41"/>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454</v>
      </c>
      <c r="E517" s="20" t="str">
        <f t="shared" si="40"/>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41"/>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8" spans="1:12" x14ac:dyDescent="0.3">
      <c r="A518" t="s">
        <v>167</v>
      </c>
      <c r="E518" s="20" t="str">
        <f t="shared" si="40"/>
        <v/>
      </c>
      <c r="F518" s="21" t="str">
        <f>IF(OR(E518="",E518="!!!"),"",IF(NOT(ISNA(VLOOKUP(E518,E$1:E517,1,FALSE()))),"OLD",IF(AND(E518&lt;&gt;"",E518&lt;&gt;"!!!"),"NEW","")))</f>
        <v/>
      </c>
      <c r="G518" s="22" t="str">
        <f>IF(OR(E518="",E518="!!!"),"",IF(OR(J518=0,AND(J518=1,K518=1),AND(J518=1,I518="SBJ"),AND(J518=1,I518=0)),"?IN_FOCUS",IF(J518&lt;=2,"?ACTIVATED",IF(J518&lt;&gt;"","?FAMILIAR",IF(F518="NEW",IF(ISNA(VLOOKUP(E518,#REF!,1,FALSE())),"?TYPE_IDENTIFIABLE","?REFERENTIAL"),"_")))))</f>
        <v/>
      </c>
      <c r="H518" s="23" t="str">
        <f t="shared" ca="1" si="41"/>
        <v/>
      </c>
      <c r="I518" s="24" t="str">
        <f>IF(OR(E518="",E518="!!!",F518="NEW"),"",INDEX(B$2:B517,-1+SUMPRODUCT(MAX(ROW(E$2:E517)*(E518=E$2:E517)))))</f>
        <v/>
      </c>
      <c r="J518" s="24" t="str">
        <f ca="1">IF(OR(E518="",E518="!!!",F518="NEW"),"",COUNTBLANK(OFFSET(A$1,,,SUMPRODUCT(MAX(ROW(E$2:E518)*(E518=E$2:E518)))))-COUNTBLANK(OFFSET(A$1,,,SUMPRODUCT(MAX(ROW(E$1:E517)*(E2=E$1:E517))))))</f>
        <v/>
      </c>
      <c r="K518" s="24" t="str">
        <f>IF(OR(E518="",E518="!!!",F518="NEW"),"",INDEX(J$1:J517,SUMPRODUCT(MAX(ROW(E$1:E517)*(E518=E$1:E517)))))</f>
        <v/>
      </c>
      <c r="L518" s="25"/>
    </row>
    <row r="519" spans="1:12" x14ac:dyDescent="0.3">
      <c r="A519" t="s">
        <v>230</v>
      </c>
      <c r="B519" s="26" t="s">
        <v>404</v>
      </c>
      <c r="E519" s="20" t="str">
        <f t="shared" si="40"/>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t="shared" ca="1" si="41"/>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0" spans="1:12" x14ac:dyDescent="0.3">
      <c r="A520" t="s">
        <v>455</v>
      </c>
      <c r="E520" s="20" t="str">
        <f t="shared" si="40"/>
        <v/>
      </c>
      <c r="F520" s="21" t="str">
        <f>IF(OR(E520="",E520="!!!"),"",IF(NOT(ISNA(VLOOKUP(E520,E$1:E519,1,FALSE()))),"OLD",IF(AND(E520&lt;&gt;"",E520&lt;&gt;"!!!"),"NEW","")))</f>
        <v/>
      </c>
      <c r="G520" s="22" t="str">
        <f>IF(OR(E520="",E520="!!!"),"",IF(OR(J520=0,AND(J520=1,K520=1),AND(J520=1,I520="SBJ"),AND(J520=1,I520=0)),"?IN_FOCUS",IF(J520&lt;=2,"?ACTIVATED",IF(J520&lt;&gt;"","?FAMILIAR",IF(F520="NEW",IF(ISNA(VLOOKUP(E520,#REF!,1,FALSE())),"?TYPE_IDENTIFIABLE","?REFERENTIAL"),"_")))))</f>
        <v/>
      </c>
      <c r="H520" s="23" t="str">
        <f t="shared" ca="1" si="41"/>
        <v/>
      </c>
      <c r="I520" s="24" t="str">
        <f>IF(OR(E520="",E520="!!!",F520="NEW"),"",INDEX(B$2:B519,-1+SUMPRODUCT(MAX(ROW(E$2:E519)*(E520=E$2:E519)))))</f>
        <v/>
      </c>
      <c r="J520" s="24" t="str">
        <f ca="1">IF(OR(E520="",E520="!!!",F520="NEW"),"",COUNTBLANK(OFFSET(A$1,,,SUMPRODUCT(MAX(ROW(E$2:E520)*(E520=E$2:E520)))))-COUNTBLANK(OFFSET(A$1,,,SUMPRODUCT(MAX(ROW(E$1:E519)*(E2=E$1:E519))))))</f>
        <v/>
      </c>
      <c r="K520" s="24" t="str">
        <f>IF(OR(E520="",E520="!!!",F520="NEW"),"",INDEX(J$1:J519,SUMPRODUCT(MAX(ROW(E$1:E519)*(E520=E$1:E519)))))</f>
        <v/>
      </c>
      <c r="L520" s="25"/>
    </row>
    <row r="521" spans="1:12" x14ac:dyDescent="0.3">
      <c r="A521" t="s">
        <v>456</v>
      </c>
      <c r="E521" s="20" t="str">
        <f t="shared" si="40"/>
        <v/>
      </c>
      <c r="F521" s="21" t="str">
        <f>IF(OR(E521="",E521="!!!"),"",IF(NOT(ISNA(VLOOKUP(E521,E$1:E520,1,FALSE()))),"OLD",IF(AND(E521&lt;&gt;"",E521&lt;&gt;"!!!"),"NEW","")))</f>
        <v/>
      </c>
      <c r="G521" s="22" t="str">
        <f>IF(OR(E521="",E521="!!!"),"",IF(OR(J521=0,AND(J521=1,K521=1),AND(J521=1,I521="SBJ"),AND(J521=1,I521=0)),"?IN_FOCUS",IF(J521&lt;=2,"?ACTIVATED",IF(J521&lt;&gt;"","?FAMILIAR",IF(F521="NEW",IF(ISNA(VLOOKUP(E521,#REF!,1,FALSE())),"?TYPE_IDENTIFIABLE","?REFERENTIAL"),"_")))))</f>
        <v/>
      </c>
      <c r="H521" s="23" t="str">
        <f t="shared" ca="1" si="41"/>
        <v/>
      </c>
      <c r="I521" s="24" t="str">
        <f>IF(OR(E521="",E521="!!!",F521="NEW"),"",INDEX(B$2:B520,-1+SUMPRODUCT(MAX(ROW(E$2:E520)*(E521=E$2:E520)))))</f>
        <v/>
      </c>
      <c r="J521" s="24" t="str">
        <f ca="1">IF(OR(E521="",E521="!!!",F521="NEW"),"",COUNTBLANK(OFFSET(A$1,,,SUMPRODUCT(MAX(ROW(E$2:E521)*(E521=E$2:E521)))))-COUNTBLANK(OFFSET(A$1,,,SUMPRODUCT(MAX(ROW(E$1:E520)*(E2=E$1:E520))))))</f>
        <v/>
      </c>
      <c r="K521" s="24" t="str">
        <f>IF(OR(E521="",E521="!!!",F521="NEW"),"",INDEX(J$1:J520,SUMPRODUCT(MAX(ROW(E$1:E520)*(E521=E$1:E520)))))</f>
        <v/>
      </c>
      <c r="L521" s="25"/>
    </row>
    <row r="522" spans="1:12" x14ac:dyDescent="0.3">
      <c r="A522" t="s">
        <v>201</v>
      </c>
      <c r="E522" s="20" t="str">
        <f t="shared" si="40"/>
        <v/>
      </c>
      <c r="F522" s="21" t="str">
        <f>IF(OR(E522="",E522="!!!"),"",IF(NOT(ISNA(VLOOKUP(E522,E$1:E521,1,FALSE()))),"OLD",IF(AND(E522&lt;&gt;"",E522&lt;&gt;"!!!"),"NEW","")))</f>
        <v/>
      </c>
      <c r="G522" s="22" t="str">
        <f>IF(OR(E522="",E522="!!!"),"",IF(OR(J522=0,AND(J522=1,K522=1),AND(J522=1,I522="SBJ"),AND(J522=1,I522=0)),"?IN_FOCUS",IF(J522&lt;=2,"?ACTIVATED",IF(J522&lt;&gt;"","?FAMILIAR",IF(F522="NEW",IF(ISNA(VLOOKUP(E522,#REF!,1,FALSE())),"?TYPE_IDENTIFIABLE","?REFERENTIAL"),"_")))))</f>
        <v/>
      </c>
      <c r="H522" s="23" t="str">
        <f t="shared" ca="1" si="41"/>
        <v/>
      </c>
      <c r="I522" s="24" t="str">
        <f>IF(OR(E522="",E522="!!!",F522="NEW"),"",INDEX(B$2:B521,-1+SUMPRODUCT(MAX(ROW(E$2:E521)*(E522=E$2:E521)))))</f>
        <v/>
      </c>
      <c r="J522" s="24" t="str">
        <f ca="1">IF(OR(E522="",E522="!!!",F522="NEW"),"",COUNTBLANK(OFFSET(A$1,,,SUMPRODUCT(MAX(ROW(E$2:E522)*(E522=E$2:E522)))))-COUNTBLANK(OFFSET(A$1,,,SUMPRODUCT(MAX(ROW(E$1:E521)*(E2=E$1:E521))))))</f>
        <v/>
      </c>
      <c r="K522" s="24" t="str">
        <f>IF(OR(E522="",E522="!!!",F522="NEW"),"",INDEX(J$1:J521,SUMPRODUCT(MAX(ROW(E$1:E521)*(E522=E$1:E521)))))</f>
        <v/>
      </c>
      <c r="L522" s="25"/>
    </row>
    <row r="524" spans="1:12" x14ac:dyDescent="0.3">
      <c r="A524" t="s">
        <v>457</v>
      </c>
    </row>
    <row r="525" spans="1:12" x14ac:dyDescent="0.3">
      <c r="A525" t="s">
        <v>388</v>
      </c>
      <c r="B525" s="26" t="s">
        <v>185</v>
      </c>
      <c r="C525" s="26" t="s">
        <v>180</v>
      </c>
      <c r="D525" s="26" t="s">
        <v>181</v>
      </c>
      <c r="E525" s="20" t="s">
        <v>649</v>
      </c>
      <c r="F525" s="21" t="str">
        <f>IF(OR(E525="",E525="!!!"),"",IF(NOT(ISNA(VLOOKUP(E525,E$1:E524,1,FALSE()))),"OLD",IF(AND(E525&lt;&gt;"",E525&lt;&gt;"!!!"),"NEW","")))</f>
        <v>OLD</v>
      </c>
      <c r="G525" s="22" t="s">
        <v>697</v>
      </c>
      <c r="H525" s="23" t="s">
        <v>158</v>
      </c>
      <c r="I525" s="24" t="str">
        <f>IF(OR(E525="",E525="!!!",F525="NEW"),"",INDEX(B$2:B524,-1+SUMPRODUCT(MAX(ROW(E$2:E524)*(E525=E$2:E524)))))</f>
        <v>SBJ_3</v>
      </c>
      <c r="J525" s="24">
        <f ca="1">IF(OR(E525="",E525="!!!",F525="NEW"),"",COUNTBLANK(OFFSET(A$1,,,SUMPRODUCT(MAX(ROW(E$2:E525)*(E525=E$2:E525)))))-COUNTBLANK(OFFSET(A$1,,,SUMPRODUCT(MAX(ROW(E$1:E524)*(E2=E$1:E524))))))</f>
        <v>0</v>
      </c>
      <c r="K525" s="24">
        <f ca="1">IF(OR(E525="",E525="!!!",F525="NEW"),"",INDEX(J$1:J524,SUMPRODUCT(MAX(ROW(E$1:E524)*(E525=E$1:E524)))))</f>
        <v>0</v>
      </c>
      <c r="L525" s="25"/>
    </row>
    <row r="526" spans="1:12" x14ac:dyDescent="0.3">
      <c r="A526" t="s">
        <v>278</v>
      </c>
      <c r="E526" s="20" t="str">
        <f t="shared" ref="E526:E557" si="42">IF(D526="?OLD","!!!","")</f>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ref="H526:H557" ca="1" si="43">IF(J526&lt;&gt;1,"",IF(I526="SBJ","CB","?"))</f>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7" spans="1:12" x14ac:dyDescent="0.3">
      <c r="A527" t="s">
        <v>167</v>
      </c>
      <c r="E527" s="20" t="str">
        <f t="shared" si="42"/>
        <v/>
      </c>
      <c r="F527" s="21" t="str">
        <f>IF(OR(E527="",E527="!!!"),"",IF(NOT(ISNA(VLOOKUP(E527,E$1:E526,1,FALSE()))),"OLD",IF(AND(E527&lt;&gt;"",E527&lt;&gt;"!!!"),"NEW","")))</f>
        <v/>
      </c>
      <c r="G527" s="22" t="str">
        <f>IF(OR(E527="",E527="!!!"),"",IF(OR(J527=0,AND(J527=1,K527=1),AND(J527=1,I527="SBJ"),AND(J527=1,I527=0)),"?IN_FOCUS",IF(J527&lt;=2,"?ACTIVATED",IF(J527&lt;&gt;"","?FAMILIAR",IF(F527="NEW",IF(ISNA(VLOOKUP(E527,#REF!,1,FALSE())),"?TYPE_IDENTIFIABLE","?REFERENTIAL"),"_")))))</f>
        <v/>
      </c>
      <c r="H527" s="23" t="str">
        <f t="shared" ca="1" si="43"/>
        <v/>
      </c>
      <c r="I527" s="24" t="str">
        <f>IF(OR(E527="",E527="!!!",F527="NEW"),"",INDEX(B$2:B526,-1+SUMPRODUCT(MAX(ROW(E$2:E526)*(E527=E$2:E526)))))</f>
        <v/>
      </c>
      <c r="J527" s="24" t="str">
        <f ca="1">IF(OR(E527="",E527="!!!",F527="NEW"),"",COUNTBLANK(OFFSET(A$1,,,SUMPRODUCT(MAX(ROW(E$2:E527)*(E527=E$2:E527)))))-COUNTBLANK(OFFSET(A$1,,,SUMPRODUCT(MAX(ROW(E$1:E526)*(E2=E$1:E526))))))</f>
        <v/>
      </c>
      <c r="K527" s="24" t="str">
        <f>IF(OR(E527="",E527="!!!",F527="NEW"),"",INDEX(J$1:J526,SUMPRODUCT(MAX(ROW(E$1:E526)*(E527=E$1:E526)))))</f>
        <v/>
      </c>
      <c r="L527" s="25"/>
    </row>
    <row r="528" spans="1:12" x14ac:dyDescent="0.3">
      <c r="A528" t="s">
        <v>240</v>
      </c>
      <c r="E528" s="20" t="str">
        <f t="shared" si="42"/>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t="shared" ca="1" si="43"/>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458</v>
      </c>
      <c r="B529" s="26" t="s">
        <v>169</v>
      </c>
      <c r="C529" s="26" t="s">
        <v>180</v>
      </c>
      <c r="D529" s="26" t="s">
        <v>181</v>
      </c>
      <c r="E529" s="20"/>
      <c r="F529" s="21" t="s">
        <v>616</v>
      </c>
      <c r="G529" s="22" t="str">
        <f>IF(OR(E529="",E529="!!!"),"",IF(OR(J529=0,AND(J529=1,K529=1),AND(J529=1,I529="SBJ"),AND(J529=1,I529=0)),"?IN_FOCUS",IF(J529&lt;=2,"?ACTIVATED",IF(J529&lt;&gt;"","?FAMILIAR",IF(F529="NEW",IF(ISNA(VLOOKUP(E529,#REF!,1,FALSE())),"?TYPE_IDENTIFIABLE","?REFERENTIAL"),"_")))))</f>
        <v/>
      </c>
      <c r="H529" s="23" t="str">
        <f t="shared" ca="1" si="43"/>
        <v/>
      </c>
      <c r="I529" s="24" t="str">
        <f>IF(OR(E529="",E529="!!!",F529="NEW"),"",INDEX(B$2:B528,-1+SUMPRODUCT(MAX(ROW(E$2:E528)*(E529=E$2:E528)))))</f>
        <v/>
      </c>
      <c r="J529" s="24" t="str">
        <f ca="1">IF(OR(E529="",E529="!!!",F529="NEW"),"",COUNTBLANK(OFFSET(A$1,,,SUMPRODUCT(MAX(ROW(E$2:E529)*(E529=E$2:E529)))))-COUNTBLANK(OFFSET(A$1,,,SUMPRODUCT(MAX(ROW(E$1:E528)*(E2=E$1:E528))))))</f>
        <v/>
      </c>
      <c r="K529" s="24" t="str">
        <f>IF(OR(E529="",E529="!!!",F529="NEW"),"",INDEX(J$1:J528,SUMPRODUCT(MAX(ROW(E$1:E528)*(E529=E$1:E528)))))</f>
        <v/>
      </c>
      <c r="L529" s="25"/>
    </row>
    <row r="530" spans="1:12" x14ac:dyDescent="0.3">
      <c r="A530" t="s">
        <v>450</v>
      </c>
      <c r="B530" s="26" t="s">
        <v>172</v>
      </c>
      <c r="C530" s="26" t="s">
        <v>175</v>
      </c>
      <c r="E530" s="20" t="str">
        <f t="shared" si="42"/>
        <v/>
      </c>
      <c r="F530" s="21" t="str">
        <f>IF(OR(E530="",E530="!!!"),"",IF(NOT(ISNA(VLOOKUP(E530,E$1:E529,1,FALSE()))),"OLD",IF(AND(E530&lt;&gt;"",E530&lt;&gt;"!!!"),"NEW","")))</f>
        <v/>
      </c>
      <c r="G530" s="22" t="str">
        <f>IF(OR(E530="",E530="!!!"),"",IF(OR(J530=0,AND(J530=1,K530=1),AND(J530=1,I530="SBJ"),AND(J530=1,I530=0)),"?IN_FOCUS",IF(J530&lt;=2,"?ACTIVATED",IF(J530&lt;&gt;"","?FAMILIAR",IF(F530="NEW",IF(ISNA(VLOOKUP(E530,#REF!,1,FALSE())),"?TYPE_IDENTIFIABLE","?REFERENTIAL"),"_")))))</f>
        <v/>
      </c>
      <c r="H530" s="23" t="str">
        <f t="shared" ca="1" si="43"/>
        <v/>
      </c>
      <c r="I530" s="24" t="str">
        <f>IF(OR(E530="",E530="!!!",F530="NEW"),"",INDEX(B$2:B529,-1+SUMPRODUCT(MAX(ROW(E$2:E529)*(E530=E$2:E529)))))</f>
        <v/>
      </c>
      <c r="J530" s="24" t="str">
        <f ca="1">IF(OR(E530="",E530="!!!",F530="NEW"),"",COUNTBLANK(OFFSET(A$1,,,SUMPRODUCT(MAX(ROW(E$2:E530)*(E530=E$2:E530)))))-COUNTBLANK(OFFSET(A$1,,,SUMPRODUCT(MAX(ROW(E$1:E529)*(E2=E$1:E529))))))</f>
        <v/>
      </c>
      <c r="K530" s="24" t="str">
        <f>IF(OR(E530="",E530="!!!",F530="NEW"),"",INDEX(J$1:J529,SUMPRODUCT(MAX(ROW(E$1:E529)*(E530=E$1:E529)))))</f>
        <v/>
      </c>
      <c r="L530" s="25"/>
    </row>
    <row r="531" spans="1:12" x14ac:dyDescent="0.3">
      <c r="A531" t="s">
        <v>459</v>
      </c>
      <c r="E531" s="20" t="s">
        <v>661</v>
      </c>
      <c r="F531" s="21" t="s">
        <v>638</v>
      </c>
      <c r="G531" s="22" t="s">
        <v>698</v>
      </c>
      <c r="H531" s="23" t="str">
        <f t="shared" ca="1" si="43"/>
        <v/>
      </c>
      <c r="I531" s="24" t="e">
        <f>IF(OR(E531="",E531="!!!",F531="NEW"),"",INDEX(B$2:B530,-1+SUMPRODUCT(MAX(ROW(E$2:E530)*(E531=E$2:E530)))))</f>
        <v>#VALUE!</v>
      </c>
      <c r="J531" s="24">
        <f ca="1">IF(OR(E531="",E531="!!!",F531="NEW"),"",COUNTBLANK(OFFSET(A$1,,,SUMPRODUCT(MAX(ROW(E$2:E531)*(E531=E$2:E531)))))-COUNTBLANK(OFFSET(A$1,,,SUMPRODUCT(MAX(ROW(E$1:E530)*(E2=E$1:E530))))))</f>
        <v>0</v>
      </c>
      <c r="K531" s="24" t="e">
        <f>IF(OR(E531="",E531="!!!",F531="NEW"),"",INDEX(J$1:J530,SUMPRODUCT(MAX(ROW(E$1:E530)*(E531=E$1:E530)))))</f>
        <v>#VALUE!</v>
      </c>
      <c r="L531" s="25"/>
    </row>
    <row r="532" spans="1:12" x14ac:dyDescent="0.3">
      <c r="A532" t="s">
        <v>178</v>
      </c>
      <c r="E532" s="20" t="str">
        <f t="shared" si="42"/>
        <v/>
      </c>
      <c r="F532" s="21" t="str">
        <f>IF(OR(E532="",E532="!!!"),"",IF(NOT(ISNA(VLOOKUP(E532,E$1:E531,1,FALSE()))),"OLD",IF(AND(E532&lt;&gt;"",E532&lt;&gt;"!!!"),"NEW","")))</f>
        <v/>
      </c>
      <c r="G532" s="22" t="str">
        <f>IF(OR(E532="",E532="!!!"),"",IF(OR(J532=0,AND(J532=1,K532=1),AND(J532=1,I532="SBJ"),AND(J532=1,I532=0)),"?IN_FOCUS",IF(J532&lt;=2,"?ACTIVATED",IF(J532&lt;&gt;"","?FAMILIAR",IF(F532="NEW",IF(ISNA(VLOOKUP(E532,#REF!,1,FALSE())),"?TYPE_IDENTIFIABLE","?REFERENTIAL"),"_")))))</f>
        <v/>
      </c>
      <c r="H532" s="23" t="str">
        <f t="shared" ca="1" si="43"/>
        <v/>
      </c>
      <c r="I532" s="24" t="str">
        <f>IF(OR(E532="",E532="!!!",F532="NEW"),"",INDEX(B$2:B531,-1+SUMPRODUCT(MAX(ROW(E$2:E531)*(E532=E$2:E531)))))</f>
        <v/>
      </c>
      <c r="J532" s="24" t="str">
        <f ca="1">IF(OR(E532="",E532="!!!",F532="NEW"),"",COUNTBLANK(OFFSET(A$1,,,SUMPRODUCT(MAX(ROW(E$2:E532)*(E532=E$2:E532)))))-COUNTBLANK(OFFSET(A$1,,,SUMPRODUCT(MAX(ROW(E$1:E531)*(E2=E$1:E531))))))</f>
        <v/>
      </c>
      <c r="K532" s="24" t="str">
        <f>IF(OR(E532="",E532="!!!",F532="NEW"),"",INDEX(J$1:J531,SUMPRODUCT(MAX(ROW(E$1:E531)*(E532=E$1:E531)))))</f>
        <v/>
      </c>
      <c r="L532" s="25"/>
    </row>
    <row r="533" spans="1:12" x14ac:dyDescent="0.3">
      <c r="A533" t="s">
        <v>460</v>
      </c>
      <c r="E533" s="20" t="str">
        <f t="shared" si="42"/>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t="shared" ca="1" si="43"/>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461</v>
      </c>
      <c r="E534" s="20" t="str">
        <f t="shared" si="42"/>
        <v/>
      </c>
      <c r="F534" s="21" t="str">
        <f>IF(OR(E534="",E534="!!!"),"",IF(NOT(ISNA(VLOOKUP(E534,E$1:E533,1,FALSE()))),"OLD",IF(AND(E534&lt;&gt;"",E534&lt;&gt;"!!!"),"NEW","")))</f>
        <v/>
      </c>
      <c r="G534" s="22" t="str">
        <f>IF(OR(E534="",E534="!!!"),"",IF(OR(J534=0,AND(J534=1,K534=1),AND(J534=1,I534="SBJ"),AND(J534=1,I534=0)),"?IN_FOCUS",IF(J534&lt;=2,"?ACTIVATED",IF(J534&lt;&gt;"","?FAMILIAR",IF(F534="NEW",IF(ISNA(VLOOKUP(E534,#REF!,1,FALSE())),"?TYPE_IDENTIFIABLE","?REFERENTIAL"),"_")))))</f>
        <v/>
      </c>
      <c r="H534" s="23" t="str">
        <f t="shared" ca="1" si="43"/>
        <v/>
      </c>
      <c r="I534" s="24" t="str">
        <f>IF(OR(E534="",E534="!!!",F534="NEW"),"",INDEX(B$2:B533,-1+SUMPRODUCT(MAX(ROW(E$2:E533)*(E534=E$2:E533)))))</f>
        <v/>
      </c>
      <c r="J534" s="24" t="str">
        <f ca="1">IF(OR(E534="",E534="!!!",F534="NEW"),"",COUNTBLANK(OFFSET(A$1,,,SUMPRODUCT(MAX(ROW(E$2:E534)*(E534=E$2:E534)))))-COUNTBLANK(OFFSET(A$1,,,SUMPRODUCT(MAX(ROW(E$1:E533)*(E2=E$1:E533))))))</f>
        <v/>
      </c>
      <c r="K534" s="24" t="str">
        <f>IF(OR(E534="",E534="!!!",F534="NEW"),"",INDEX(J$1:J533,SUMPRODUCT(MAX(ROW(E$1:E533)*(E534=E$1:E533)))))</f>
        <v/>
      </c>
      <c r="L534" s="25"/>
    </row>
    <row r="535" spans="1:12" x14ac:dyDescent="0.3">
      <c r="A535" t="s">
        <v>462</v>
      </c>
      <c r="B535" s="26" t="s">
        <v>189</v>
      </c>
      <c r="C535" s="26" t="s">
        <v>258</v>
      </c>
      <c r="E535" s="20" t="str">
        <f t="shared" si="42"/>
        <v/>
      </c>
      <c r="F535" s="21" t="str">
        <f>IF(OR(E535="",E535="!!!"),"",IF(NOT(ISNA(VLOOKUP(E535,E$1:E534,1,FALSE()))),"OLD",IF(AND(E535&lt;&gt;"",E535&lt;&gt;"!!!"),"NEW","")))</f>
        <v/>
      </c>
      <c r="G535" s="22" t="str">
        <f>IF(OR(E535="",E535="!!!"),"",IF(OR(J535=0,AND(J535=1,K535=1),AND(J535=1,I535="SBJ"),AND(J535=1,I535=0)),"?IN_FOCUS",IF(J535&lt;=2,"?ACTIVATED",IF(J535&lt;&gt;"","?FAMILIAR",IF(F535="NEW",IF(ISNA(VLOOKUP(E535,#REF!,1,FALSE())),"?TYPE_IDENTIFIABLE","?REFERENTIAL"),"_")))))</f>
        <v/>
      </c>
      <c r="H535" s="23" t="str">
        <f t="shared" ca="1" si="43"/>
        <v/>
      </c>
      <c r="I535" s="24" t="str">
        <f>IF(OR(E535="",E535="!!!",F535="NEW"),"",INDEX(B$2:B534,-1+SUMPRODUCT(MAX(ROW(E$2:E534)*(E535=E$2:E534)))))</f>
        <v/>
      </c>
      <c r="J535" s="24" t="str">
        <f ca="1">IF(OR(E535="",E535="!!!",F535="NEW"),"",COUNTBLANK(OFFSET(A$1,,,SUMPRODUCT(MAX(ROW(E$2:E535)*(E535=E$2:E535)))))-COUNTBLANK(OFFSET(A$1,,,SUMPRODUCT(MAX(ROW(E$1:E534)*(E2=E$1:E534))))))</f>
        <v/>
      </c>
      <c r="K535" s="24" t="str">
        <f>IF(OR(E535="",E535="!!!",F535="NEW"),"",INDEX(J$1:J534,SUMPRODUCT(MAX(ROW(E$1:E534)*(E535=E$1:E534)))))</f>
        <v/>
      </c>
      <c r="L535" s="25"/>
    </row>
    <row r="536" spans="1:12" x14ac:dyDescent="0.3">
      <c r="A536" t="s">
        <v>397</v>
      </c>
      <c r="E536" s="20" t="str">
        <f t="shared" si="42"/>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t="shared" ca="1" si="43"/>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7" spans="1:12" x14ac:dyDescent="0.3">
      <c r="A537" t="s">
        <v>452</v>
      </c>
      <c r="E537" s="20" t="str">
        <f t="shared" si="42"/>
        <v/>
      </c>
      <c r="F537" s="21" t="str">
        <f>IF(OR(E537="",E537="!!!"),"",IF(NOT(ISNA(VLOOKUP(E537,E$1:E536,1,FALSE()))),"OLD",IF(AND(E537&lt;&gt;"",E537&lt;&gt;"!!!"),"NEW","")))</f>
        <v/>
      </c>
      <c r="G537" s="22" t="str">
        <f>IF(OR(E537="",E537="!!!"),"",IF(OR(J537=0,AND(J537=1,K537=1),AND(J537=1,I537="SBJ"),AND(J537=1,I537=0)),"?IN_FOCUS",IF(J537&lt;=2,"?ACTIVATED",IF(J537&lt;&gt;"","?FAMILIAR",IF(F537="NEW",IF(ISNA(VLOOKUP(E537,#REF!,1,FALSE())),"?TYPE_IDENTIFIABLE","?REFERENTIAL"),"_")))))</f>
        <v/>
      </c>
      <c r="H537" s="23" t="str">
        <f t="shared" ca="1" si="43"/>
        <v/>
      </c>
      <c r="I537" s="24" t="str">
        <f>IF(OR(E537="",E537="!!!",F537="NEW"),"",INDEX(B$2:B536,-1+SUMPRODUCT(MAX(ROW(E$2:E536)*(E537=E$2:E536)))))</f>
        <v/>
      </c>
      <c r="J537" s="24" t="str">
        <f ca="1">IF(OR(E537="",E537="!!!",F537="NEW"),"",COUNTBLANK(OFFSET(A$1,,,SUMPRODUCT(MAX(ROW(E$2:E537)*(E537=E$2:E537)))))-COUNTBLANK(OFFSET(A$1,,,SUMPRODUCT(MAX(ROW(E$1:E536)*(E2=E$1:E536))))))</f>
        <v/>
      </c>
      <c r="K537" s="24" t="str">
        <f>IF(OR(E537="",E537="!!!",F537="NEW"),"",INDEX(J$1:J536,SUMPRODUCT(MAX(ROW(E$1:E536)*(E537=E$1:E536)))))</f>
        <v/>
      </c>
      <c r="L537" s="25"/>
    </row>
    <row r="538" spans="1:12" x14ac:dyDescent="0.3">
      <c r="A538" t="s">
        <v>186</v>
      </c>
      <c r="E538" s="20" t="str">
        <f t="shared" si="42"/>
        <v/>
      </c>
      <c r="F538" s="21" t="str">
        <f>IF(OR(E538="",E538="!!!"),"",IF(NOT(ISNA(VLOOKUP(E538,E$1:E537,1,FALSE()))),"OLD",IF(AND(E538&lt;&gt;"",E538&lt;&gt;"!!!"),"NEW","")))</f>
        <v/>
      </c>
      <c r="G538" s="22" t="str">
        <f>IF(OR(E538="",E538="!!!"),"",IF(OR(J538=0,AND(J538=1,K538=1),AND(J538=1,I538="SBJ"),AND(J538=1,I538=0)),"?IN_FOCUS",IF(J538&lt;=2,"?ACTIVATED",IF(J538&lt;&gt;"","?FAMILIAR",IF(F538="NEW",IF(ISNA(VLOOKUP(E538,#REF!,1,FALSE())),"?TYPE_IDENTIFIABLE","?REFERENTIAL"),"_")))))</f>
        <v/>
      </c>
      <c r="H538" s="23" t="str">
        <f t="shared" ca="1" si="43"/>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row>
    <row r="539" spans="1:12" x14ac:dyDescent="0.3">
      <c r="A539" t="s">
        <v>435</v>
      </c>
      <c r="B539" s="26" t="s">
        <v>372</v>
      </c>
      <c r="C539" s="26" t="s">
        <v>277</v>
      </c>
      <c r="D539" s="26" t="s">
        <v>181</v>
      </c>
      <c r="E539" s="20" t="s">
        <v>661</v>
      </c>
      <c r="F539" s="21" t="str">
        <f>IF(OR(E539="",E539="!!!"),"",IF(NOT(ISNA(VLOOKUP(E539,E$1:E538,1,FALSE()))),"OLD",IF(AND(E539&lt;&gt;"",E539&lt;&gt;"!!!"),"NEW","")))</f>
        <v>OLD</v>
      </c>
      <c r="G539" s="22" t="s">
        <v>697</v>
      </c>
      <c r="H539" s="23" t="str">
        <f t="shared" ca="1" si="43"/>
        <v/>
      </c>
      <c r="I539" s="24">
        <f>IF(OR(E539="",E539="!!!",F539="NEW"),"",INDEX(B$2:B538,-1+SUMPRODUCT(MAX(ROW(E$2:E538)*(E539=E$2:E538)))))</f>
        <v>0</v>
      </c>
      <c r="J539" s="24">
        <f ca="1">IF(OR(E539="",E539="!!!",F539="NEW"),"",COUNTBLANK(OFFSET(A$1,,,SUMPRODUCT(MAX(ROW(E$2:E539)*(E539=E$2:E539)))))-COUNTBLANK(OFFSET(A$1,,,SUMPRODUCT(MAX(ROW(E$1:E538)*(E2=E$1:E538))))))</f>
        <v>0</v>
      </c>
      <c r="K539" s="24">
        <f ca="1">IF(OR(E539="",E539="!!!",F539="NEW"),"",INDEX(J$1:J538,SUMPRODUCT(MAX(ROW(E$1:E538)*(E539=E$1:E538)))))</f>
        <v>0</v>
      </c>
      <c r="L539" s="25"/>
    </row>
    <row r="540" spans="1:12" x14ac:dyDescent="0.3">
      <c r="A540" t="s">
        <v>173</v>
      </c>
      <c r="B540" s="26" t="s">
        <v>174</v>
      </c>
      <c r="C540" s="26" t="s">
        <v>175</v>
      </c>
      <c r="E540" s="20" t="str">
        <f t="shared" si="42"/>
        <v/>
      </c>
      <c r="F540" s="21" t="str">
        <f>IF(OR(E540="",E540="!!!"),"",IF(NOT(ISNA(VLOOKUP(E540,E$1:E539,1,FALSE()))),"OLD",IF(AND(E540&lt;&gt;"",E540&lt;&gt;"!!!"),"NEW","")))</f>
        <v/>
      </c>
      <c r="G540" s="22" t="str">
        <f>IF(OR(E540="",E540="!!!"),"",IF(OR(J540=0,AND(J540=1,K540=1),AND(J540=1,I540="SBJ"),AND(J540=1,I540=0)),"?IN_FOCUS",IF(J540&lt;=2,"?ACTIVATED",IF(J540&lt;&gt;"","?FAMILIAR",IF(F540="NEW",IF(ISNA(VLOOKUP(E540,#REF!,1,FALSE())),"?TYPE_IDENTIFIABLE","?REFERENTIAL"),"_")))))</f>
        <v/>
      </c>
      <c r="H540" s="23" t="str">
        <f t="shared" ca="1" si="43"/>
        <v/>
      </c>
      <c r="I540" s="24" t="str">
        <f>IF(OR(E540="",E540="!!!",F540="NEW"),"",INDEX(B$2:B539,-1+SUMPRODUCT(MAX(ROW(E$2:E539)*(E540=E$2:E539)))))</f>
        <v/>
      </c>
      <c r="J540" s="24" t="str">
        <f ca="1">IF(OR(E540="",E540="!!!",F540="NEW"),"",COUNTBLANK(OFFSET(A$1,,,SUMPRODUCT(MAX(ROW(E$2:E540)*(E540=E$2:E540)))))-COUNTBLANK(OFFSET(A$1,,,SUMPRODUCT(MAX(ROW(E$1:E539)*(E2=E$1:E539))))))</f>
        <v/>
      </c>
      <c r="K540" s="24" t="str">
        <f>IF(OR(E540="",E540="!!!",F540="NEW"),"",INDEX(J$1:J539,SUMPRODUCT(MAX(ROW(E$1:E539)*(E540=E$1:E539)))))</f>
        <v/>
      </c>
      <c r="L540" s="25"/>
    </row>
    <row r="541" spans="1:12" x14ac:dyDescent="0.3">
      <c r="A541" t="s">
        <v>230</v>
      </c>
      <c r="E541" s="20" t="str">
        <f t="shared" si="42"/>
        <v/>
      </c>
      <c r="F541" s="21" t="str">
        <f>IF(OR(E541="",E541="!!!"),"",IF(NOT(ISNA(VLOOKUP(E541,E$1:E540,1,FALSE()))),"OLD",IF(AND(E541&lt;&gt;"",E541&lt;&gt;"!!!"),"NEW","")))</f>
        <v/>
      </c>
      <c r="G541" s="22" t="str">
        <f>IF(OR(E541="",E541="!!!"),"",IF(OR(J541=0,AND(J541=1,K541=1),AND(J541=1,I541="SBJ"),AND(J541=1,I541=0)),"?IN_FOCUS",IF(J541&lt;=2,"?ACTIVATED",IF(J541&lt;&gt;"","?FAMILIAR",IF(F541="NEW",IF(ISNA(VLOOKUP(E541,#REF!,1,FALSE())),"?TYPE_IDENTIFIABLE","?REFERENTIAL"),"_")))))</f>
        <v/>
      </c>
      <c r="H541" s="23" t="str">
        <f t="shared" ca="1" si="43"/>
        <v/>
      </c>
      <c r="I541" s="24" t="str">
        <f>IF(OR(E541="",E541="!!!",F541="NEW"),"",INDEX(B$2:B540,-1+SUMPRODUCT(MAX(ROW(E$2:E540)*(E541=E$2:E540)))))</f>
        <v/>
      </c>
      <c r="J541" s="24" t="str">
        <f ca="1">IF(OR(E541="",E541="!!!",F541="NEW"),"",COUNTBLANK(OFFSET(A$1,,,SUMPRODUCT(MAX(ROW(E$2:E541)*(E541=E$2:E541)))))-COUNTBLANK(OFFSET(A$1,,,SUMPRODUCT(MAX(ROW(E$1:E540)*(E2=E$1:E540))))))</f>
        <v/>
      </c>
      <c r="K541" s="24" t="str">
        <f>IF(OR(E541="",E541="!!!",F541="NEW"),"",INDEX(J$1:J540,SUMPRODUCT(MAX(ROW(E$1:E540)*(E541=E$1:E540)))))</f>
        <v/>
      </c>
      <c r="L541" s="25"/>
    </row>
    <row r="542" spans="1:12" x14ac:dyDescent="0.3">
      <c r="A542" t="s">
        <v>463</v>
      </c>
      <c r="E542" s="20" t="str">
        <f t="shared" si="42"/>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43"/>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3">
      <c r="A543" t="s">
        <v>464</v>
      </c>
      <c r="B543" s="26" t="s">
        <v>177</v>
      </c>
      <c r="C543" s="26" t="s">
        <v>194</v>
      </c>
      <c r="D543" s="26" t="s">
        <v>181</v>
      </c>
      <c r="E543" s="20" t="s">
        <v>688</v>
      </c>
      <c r="F543" s="21" t="str">
        <f>IF(OR(E543="",E543="!!!"),"",IF(NOT(ISNA(VLOOKUP(E543,E$1:E542,1,FALSE()))),"OLD",IF(AND(E543&lt;&gt;"",E543&lt;&gt;"!!!"),"NEW","")))</f>
        <v>NEW</v>
      </c>
      <c r="G543" s="22" t="s">
        <v>699</v>
      </c>
      <c r="H543" s="23" t="str">
        <f t="shared" ca="1" si="43"/>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3">
      <c r="A544" t="s">
        <v>178</v>
      </c>
      <c r="E544" s="20" t="str">
        <f t="shared" si="42"/>
        <v/>
      </c>
      <c r="F544" s="21" t="str">
        <f>IF(OR(E544="",E544="!!!"),"",IF(NOT(ISNA(VLOOKUP(E544,E$1:E543,1,FALSE()))),"OLD",IF(AND(E544&lt;&gt;"",E544&lt;&gt;"!!!"),"NEW","")))</f>
        <v/>
      </c>
      <c r="G544" s="22" t="str">
        <f>IF(OR(E544="",E544="!!!"),"",IF(OR(J544=0,AND(J544=1,K544=1),AND(J544=1,I544="SBJ"),AND(J544=1,I544=0)),"?IN_FOCUS",IF(J544&lt;=2,"?ACTIVATED",IF(J544&lt;&gt;"","?FAMILIAR",IF(F544="NEW",IF(ISNA(VLOOKUP(E544,#REF!,1,FALSE())),"?TYPE_IDENTIFIABLE","?REFERENTIAL"),"_")))))</f>
        <v/>
      </c>
      <c r="H544" s="23" t="str">
        <f t="shared" ca="1" si="43"/>
        <v/>
      </c>
      <c r="I544" s="24" t="str">
        <f>IF(OR(E544="",E544="!!!",F544="NEW"),"",INDEX(B$2:B543,-1+SUMPRODUCT(MAX(ROW(E$2:E543)*(E544=E$2:E543)))))</f>
        <v/>
      </c>
      <c r="J544" s="24" t="str">
        <f ca="1">IF(OR(E544="",E544="!!!",F544="NEW"),"",COUNTBLANK(OFFSET(A$1,,,SUMPRODUCT(MAX(ROW(E$2:E544)*(E544=E$2:E544)))))-COUNTBLANK(OFFSET(A$1,,,SUMPRODUCT(MAX(ROW(E$1:E543)*(E2=E$1:E543))))))</f>
        <v/>
      </c>
      <c r="K544" s="24" t="str">
        <f>IF(OR(E544="",E544="!!!",F544="NEW"),"",INDEX(J$1:J543,SUMPRODUCT(MAX(ROW(E$1:E543)*(E544=E$1:E543)))))</f>
        <v/>
      </c>
      <c r="L544" s="25"/>
    </row>
    <row r="545" spans="1:12" x14ac:dyDescent="0.3">
      <c r="A545" t="s">
        <v>396</v>
      </c>
      <c r="B545" s="26" t="s">
        <v>177</v>
      </c>
      <c r="C545" s="26" t="s">
        <v>166</v>
      </c>
      <c r="E545" s="20" t="s">
        <v>651</v>
      </c>
      <c r="F545" s="21" t="str">
        <f>IF(OR(E545="",E545="!!!"),"",IF(NOT(ISNA(VLOOKUP(E545,E$1:E544,1,FALSE()))),"OLD",IF(AND(E545&lt;&gt;"",E545&lt;&gt;"!!!"),"NEW","")))</f>
        <v>OLD</v>
      </c>
      <c r="G545" s="22" t="s">
        <v>696</v>
      </c>
      <c r="H545" s="23" t="str">
        <f t="shared" ca="1" si="43"/>
        <v/>
      </c>
      <c r="I545" s="24" t="str">
        <f>IF(OR(E545="",E545="!!!",F545="NEW"),"",INDEX(B$2:B544,-1+SUMPRODUCT(MAX(ROW(E$2:E544)*(E545=E$2:E544)))))</f>
        <v>other_4</v>
      </c>
      <c r="J545" s="24">
        <f ca="1">IF(OR(E545="",E545="!!!",F545="NEW"),"",COUNTBLANK(OFFSET(A$1,,,SUMPRODUCT(MAX(ROW(E$2:E545)*(E545=E$2:E545)))))-COUNTBLANK(OFFSET(A$1,,,SUMPRODUCT(MAX(ROW(E$1:E544)*(E2=E$1:E544))))))</f>
        <v>0</v>
      </c>
      <c r="K545" s="24" t="str">
        <f ca="1">IF(OR(E545="",E545="!!!",F545="NEW"),"",INDEX(J$1:J544,SUMPRODUCT(MAX(ROW(E$1:E544)*(E545=E$1:E544)))))</f>
        <v/>
      </c>
      <c r="L545" s="25"/>
    </row>
    <row r="546" spans="1:12" x14ac:dyDescent="0.3">
      <c r="A546" t="s">
        <v>465</v>
      </c>
      <c r="E546" s="20" t="str">
        <f t="shared" si="42"/>
        <v/>
      </c>
      <c r="F546" s="21" t="str">
        <f>IF(OR(E546="",E546="!!!"),"",IF(NOT(ISNA(VLOOKUP(E546,E$1:E545,1,FALSE()))),"OLD",IF(AND(E546&lt;&gt;"",E546&lt;&gt;"!!!"),"NEW","")))</f>
        <v/>
      </c>
      <c r="G546" s="22" t="str">
        <f>IF(OR(E546="",E546="!!!"),"",IF(OR(J546=0,AND(J546=1,K546=1),AND(J546=1,I546="SBJ"),AND(J546=1,I546=0)),"?IN_FOCUS",IF(J546&lt;=2,"?ACTIVATED",IF(J546&lt;&gt;"","?FAMILIAR",IF(F546="NEW",IF(ISNA(VLOOKUP(E546,#REF!,1,FALSE())),"?TYPE_IDENTIFIABLE","?REFERENTIAL"),"_")))))</f>
        <v/>
      </c>
      <c r="H546" s="23" t="str">
        <f t="shared" ca="1" si="43"/>
        <v/>
      </c>
      <c r="I546" s="24" t="str">
        <f>IF(OR(E546="",E546="!!!",F546="NEW"),"",INDEX(B$2:B545,-1+SUMPRODUCT(MAX(ROW(E$2:E545)*(E546=E$2:E545)))))</f>
        <v/>
      </c>
      <c r="J546" s="24" t="str">
        <f ca="1">IF(OR(E546="",E546="!!!",F546="NEW"),"",COUNTBLANK(OFFSET(A$1,,,SUMPRODUCT(MAX(ROW(E$2:E546)*(E546=E$2:E546)))))-COUNTBLANK(OFFSET(A$1,,,SUMPRODUCT(MAX(ROW(E$1:E545)*(E2=E$1:E545))))))</f>
        <v/>
      </c>
      <c r="K546" s="24" t="str">
        <f>IF(OR(E546="",E546="!!!",F546="NEW"),"",INDEX(J$1:J545,SUMPRODUCT(MAX(ROW(E$1:E545)*(E546=E$1:E545)))))</f>
        <v/>
      </c>
      <c r="L546" s="25"/>
    </row>
    <row r="547" spans="1:12" x14ac:dyDescent="0.3">
      <c r="A547" t="s">
        <v>452</v>
      </c>
      <c r="E547" s="20" t="str">
        <f t="shared" si="42"/>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t="shared" ca="1" si="43"/>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8" spans="1:12" x14ac:dyDescent="0.3">
      <c r="A548" t="s">
        <v>167</v>
      </c>
      <c r="E548" s="20" t="str">
        <f t="shared" si="42"/>
        <v/>
      </c>
      <c r="F548" s="21" t="str">
        <f>IF(OR(E548="",E548="!!!"),"",IF(NOT(ISNA(VLOOKUP(E548,E$1:E547,1,FALSE()))),"OLD",IF(AND(E548&lt;&gt;"",E548&lt;&gt;"!!!"),"NEW","")))</f>
        <v/>
      </c>
      <c r="G548" s="22" t="str">
        <f>IF(OR(E548="",E548="!!!"),"",IF(OR(J548=0,AND(J548=1,K548=1),AND(J548=1,I548="SBJ"),AND(J548=1,I548=0)),"?IN_FOCUS",IF(J548&lt;=2,"?ACTIVATED",IF(J548&lt;&gt;"","?FAMILIAR",IF(F548="NEW",IF(ISNA(VLOOKUP(E548,#REF!,1,FALSE())),"?TYPE_IDENTIFIABLE","?REFERENTIAL"),"_")))))</f>
        <v/>
      </c>
      <c r="H548" s="23" t="str">
        <f t="shared" ca="1" si="43"/>
        <v/>
      </c>
      <c r="I548" s="24" t="str">
        <f>IF(OR(E548="",E548="!!!",F548="NEW"),"",INDEX(B$2:B547,-1+SUMPRODUCT(MAX(ROW(E$2:E547)*(E548=E$2:E547)))))</f>
        <v/>
      </c>
      <c r="J548" s="24" t="str">
        <f ca="1">IF(OR(E548="",E548="!!!",F548="NEW"),"",COUNTBLANK(OFFSET(A$1,,,SUMPRODUCT(MAX(ROW(E$2:E548)*(E548=E$2:E548)))))-COUNTBLANK(OFFSET(A$1,,,SUMPRODUCT(MAX(ROW(E$1:E547)*(E2=E$1:E547))))))</f>
        <v/>
      </c>
      <c r="K548" s="24" t="str">
        <f>IF(OR(E548="",E548="!!!",F548="NEW"),"",INDEX(J$1:J547,SUMPRODUCT(MAX(ROW(E$1:E547)*(E548=E$1:E547)))))</f>
        <v/>
      </c>
      <c r="L548" s="25"/>
    </row>
    <row r="549" spans="1:12" x14ac:dyDescent="0.3">
      <c r="A549" t="s">
        <v>466</v>
      </c>
      <c r="E549" s="20" t="str">
        <f t="shared" si="42"/>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t="shared" ca="1" si="43"/>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3">
      <c r="A550" t="s">
        <v>435</v>
      </c>
      <c r="B550" s="26" t="s">
        <v>169</v>
      </c>
      <c r="C550" s="26" t="s">
        <v>277</v>
      </c>
      <c r="D550" s="26" t="s">
        <v>181</v>
      </c>
      <c r="E550" s="20" t="s">
        <v>661</v>
      </c>
      <c r="F550" s="21" t="str">
        <f>IF(OR(E550="",E550="!!!"),"",IF(NOT(ISNA(VLOOKUP(E550,E$1:E549,1,FALSE()))),"OLD",IF(AND(E550&lt;&gt;"",E550&lt;&gt;"!!!"),"NEW","")))</f>
        <v>OLD</v>
      </c>
      <c r="G550" s="22" t="s">
        <v>697</v>
      </c>
      <c r="H550" s="23" t="str">
        <f t="shared" ca="1" si="43"/>
        <v/>
      </c>
      <c r="I550" s="24" t="str">
        <f>IF(OR(E550="",E550="!!!",F550="NEW"),"",INDEX(B$2:B549,-1+SUMPRODUCT(MAX(ROW(E$2:E549)*(E550=E$2:E549)))))</f>
        <v>SBJ_3</v>
      </c>
      <c r="J550" s="24">
        <f ca="1">IF(OR(E550="",E550="!!!",F550="NEW"),"",COUNTBLANK(OFFSET(A$1,,,SUMPRODUCT(MAX(ROW(E$2:E550)*(E550=E$2:E550)))))-COUNTBLANK(OFFSET(A$1,,,SUMPRODUCT(MAX(ROW(E$1:E549)*(E2=E$1:E549))))))</f>
        <v>0</v>
      </c>
      <c r="K550" s="24">
        <f ca="1">IF(OR(E550="",E550="!!!",F550="NEW"),"",INDEX(J$1:J549,SUMPRODUCT(MAX(ROW(E$1:E549)*(E550=E$1:E549)))))</f>
        <v>0</v>
      </c>
      <c r="L550" s="25"/>
    </row>
    <row r="551" spans="1:12" x14ac:dyDescent="0.3">
      <c r="A551" t="s">
        <v>291</v>
      </c>
      <c r="E551" s="20" t="str">
        <f t="shared" si="42"/>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43"/>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173</v>
      </c>
      <c r="B552" s="26" t="s">
        <v>177</v>
      </c>
      <c r="C552" s="26" t="s">
        <v>175</v>
      </c>
      <c r="E552" s="20" t="str">
        <f t="shared" si="42"/>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43"/>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197</v>
      </c>
      <c r="E553" s="20" t="str">
        <f t="shared" si="42"/>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43"/>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198</v>
      </c>
      <c r="B554" s="26" t="s">
        <v>189</v>
      </c>
      <c r="C554" s="26" t="s">
        <v>180</v>
      </c>
      <c r="D554" s="26" t="s">
        <v>181</v>
      </c>
      <c r="E554" s="20" t="s">
        <v>609</v>
      </c>
      <c r="F554" s="21" t="str">
        <f>IF(OR(E554="",E554="!!!"),"",IF(NOT(ISNA(VLOOKUP(E554,E$1:E553,1,FALSE()))),"OLD",IF(AND(E554&lt;&gt;"",E554&lt;&gt;"!!!"),"NEW","")))</f>
        <v>OLD</v>
      </c>
      <c r="G554" s="22" t="s">
        <v>696</v>
      </c>
      <c r="H554" s="23" t="str">
        <f t="shared" ca="1" si="43"/>
        <v/>
      </c>
      <c r="I554" s="24" t="str">
        <f>IF(OR(E554="",E554="!!!",F554="NEW"),"",INDEX(B$2:B553,-1+SUMPRODUCT(MAX(ROW(E$2:E553)*(E554=E$2:E553)))))</f>
        <v>other_3</v>
      </c>
      <c r="J554" s="24">
        <f ca="1">IF(OR(E554="",E554="!!!",F554="NEW"),"",COUNTBLANK(OFFSET(A$1,,,SUMPRODUCT(MAX(ROW(E$2:E554)*(E554=E$2:E554)))))-COUNTBLANK(OFFSET(A$1,,,SUMPRODUCT(MAX(ROW(E$1:E553)*(E2=E$1:E553))))))</f>
        <v>0</v>
      </c>
      <c r="K554" s="24">
        <f ca="1">IF(OR(E554="",E554="!!!",F554="NEW"),"",INDEX(J$1:J553,SUMPRODUCT(MAX(ROW(E$1:E553)*(E554=E$1:E553)))))</f>
        <v>0</v>
      </c>
      <c r="L554" s="25"/>
    </row>
    <row r="555" spans="1:12" x14ac:dyDescent="0.3">
      <c r="A555" t="s">
        <v>467</v>
      </c>
      <c r="E555" s="20" t="str">
        <f t="shared" si="42"/>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43"/>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6" spans="1:12" x14ac:dyDescent="0.3">
      <c r="A556" t="s">
        <v>468</v>
      </c>
      <c r="E556" s="20" t="str">
        <f t="shared" si="42"/>
        <v/>
      </c>
      <c r="F556" s="21" t="str">
        <f>IF(OR(E556="",E556="!!!"),"",IF(NOT(ISNA(VLOOKUP(E556,E$1:E555,1,FALSE()))),"OLD",IF(AND(E556&lt;&gt;"",E556&lt;&gt;"!!!"),"NEW","")))</f>
        <v/>
      </c>
      <c r="G556" s="22" t="str">
        <f>IF(OR(E556="",E556="!!!"),"",IF(OR(J556=0,AND(J556=1,K556=1),AND(J556=1,I556="SBJ"),AND(J556=1,I556=0)),"?IN_FOCUS",IF(J556&lt;=2,"?ACTIVATED",IF(J556&lt;&gt;"","?FAMILIAR",IF(F556="NEW",IF(ISNA(VLOOKUP(E556,#REF!,1,FALSE())),"?TYPE_IDENTIFIABLE","?REFERENTIAL"),"_")))))</f>
        <v/>
      </c>
      <c r="H556" s="23" t="str">
        <f t="shared" ca="1" si="43"/>
        <v/>
      </c>
      <c r="I556" s="24" t="str">
        <f>IF(OR(E556="",E556="!!!",F556="NEW"),"",INDEX(B$2:B555,-1+SUMPRODUCT(MAX(ROW(E$2:E555)*(E556=E$2:E555)))))</f>
        <v/>
      </c>
      <c r="J556" s="24" t="str">
        <f ca="1">IF(OR(E556="",E556="!!!",F556="NEW"),"",COUNTBLANK(OFFSET(A$1,,,SUMPRODUCT(MAX(ROW(E$2:E556)*(E556=E$2:E556)))))-COUNTBLANK(OFFSET(A$1,,,SUMPRODUCT(MAX(ROW(E$1:E555)*(E2=E$1:E555))))))</f>
        <v/>
      </c>
      <c r="K556" s="24" t="str">
        <f>IF(OR(E556="",E556="!!!",F556="NEW"),"",INDEX(J$1:J555,SUMPRODUCT(MAX(ROW(E$1:E555)*(E556=E$1:E555)))))</f>
        <v/>
      </c>
      <c r="L556" s="25"/>
    </row>
    <row r="557" spans="1:12" x14ac:dyDescent="0.3">
      <c r="A557" t="s">
        <v>201</v>
      </c>
      <c r="E557" s="20" t="str">
        <f t="shared" si="42"/>
        <v/>
      </c>
      <c r="F557" s="21" t="str">
        <f>IF(OR(E557="",E557="!!!"),"",IF(NOT(ISNA(VLOOKUP(E557,E$1:E556,1,FALSE()))),"OLD",IF(AND(E557&lt;&gt;"",E557&lt;&gt;"!!!"),"NEW","")))</f>
        <v/>
      </c>
      <c r="G557" s="22" t="str">
        <f>IF(OR(E557="",E557="!!!"),"",IF(OR(J557=0,AND(J557=1,K557=1),AND(J557=1,I557="SBJ"),AND(J557=1,I557=0)),"?IN_FOCUS",IF(J557&lt;=2,"?ACTIVATED",IF(J557&lt;&gt;"","?FAMILIAR",IF(F557="NEW",IF(ISNA(VLOOKUP(E557,#REF!,1,FALSE())),"?TYPE_IDENTIFIABLE","?REFERENTIAL"),"_")))))</f>
        <v/>
      </c>
      <c r="H557" s="23" t="str">
        <f t="shared" ca="1" si="43"/>
        <v/>
      </c>
      <c r="I557" s="24" t="str">
        <f>IF(OR(E557="",E557="!!!",F557="NEW"),"",INDEX(B$2:B556,-1+SUMPRODUCT(MAX(ROW(E$2:E556)*(E557=E$2:E556)))))</f>
        <v/>
      </c>
      <c r="J557" s="24" t="str">
        <f ca="1">IF(OR(E557="",E557="!!!",F557="NEW"),"",COUNTBLANK(OFFSET(A$1,,,SUMPRODUCT(MAX(ROW(E$2:E557)*(E557=E$2:E557)))))-COUNTBLANK(OFFSET(A$1,,,SUMPRODUCT(MAX(ROW(E$1:E556)*(E2=E$1:E556))))))</f>
        <v/>
      </c>
      <c r="K557" s="24" t="str">
        <f>IF(OR(E557="",E557="!!!",F557="NEW"),"",INDEX(J$1:J556,SUMPRODUCT(MAX(ROW(E$1:E556)*(E557=E$1:E556)))))</f>
        <v/>
      </c>
      <c r="L557" s="25"/>
    </row>
    <row r="559" spans="1:12" x14ac:dyDescent="0.3">
      <c r="A559" t="s">
        <v>421</v>
      </c>
      <c r="E559" s="20" t="str">
        <f>IF(D559="?OLD","!!!","")</f>
        <v/>
      </c>
      <c r="F559" s="21" t="str">
        <f>IF(OR(E559="",E559="!!!"),"",IF(NOT(ISNA(VLOOKUP(E559,E$1:E558,1,FALSE()))),"OLD",IF(AND(E559&lt;&gt;"",E559&lt;&gt;"!!!"),"NEW","")))</f>
        <v/>
      </c>
      <c r="G559" s="22" t="str">
        <f>IF(OR(E559="",E559="!!!"),"",IF(OR(J559=0,AND(J559=1,K559=1),AND(J559=1,I559="SBJ"),AND(J559=1,I559=0)),"?IN_FOCUS",IF(J559&lt;=2,"?ACTIVATED",IF(J559&lt;&gt;"","?FAMILIAR",IF(F559="NEW",IF(ISNA(VLOOKUP(E559,#REF!,1,FALSE())),"?TYPE_IDENTIFIABLE","?REFERENTIAL"),"_")))))</f>
        <v/>
      </c>
      <c r="H559" s="23" t="str">
        <f ca="1">IF(J559&lt;&gt;1,"",IF(I559="SBJ","CB","?"))</f>
        <v/>
      </c>
      <c r="I559" s="24" t="str">
        <f>IF(OR(E559="",E559="!!!",F559="NEW"),"",INDEX(B$2:B558,-1+SUMPRODUCT(MAX(ROW(E$2:E558)*(E559=E$2:E558)))))</f>
        <v/>
      </c>
      <c r="J559" s="24" t="str">
        <f ca="1">IF(OR(E559="",E559="!!!",F559="NEW"),"",COUNTBLANK(OFFSET(A$1,,,SUMPRODUCT(MAX(ROW(E$2:E559)*(E559=E$2:E559)))))-COUNTBLANK(OFFSET(A$1,,,SUMPRODUCT(MAX(ROW(E$1:E558)*(E2=E$1:E558))))))</f>
        <v/>
      </c>
      <c r="K559" s="24" t="str">
        <f>IF(OR(E559="",E559="!!!",F559="NEW"),"",INDEX(J$1:J558,SUMPRODUCT(MAX(ROW(E$1:E558)*(E559=E$1:E558)))))</f>
        <v/>
      </c>
      <c r="L559" s="25"/>
    </row>
    <row r="560" spans="1:12" x14ac:dyDescent="0.3">
      <c r="A560" t="s">
        <v>469</v>
      </c>
    </row>
    <row r="561" spans="1:12" x14ac:dyDescent="0.3">
      <c r="A561" t="s">
        <v>335</v>
      </c>
      <c r="B561" s="26" t="s">
        <v>185</v>
      </c>
      <c r="C561" s="26" t="s">
        <v>180</v>
      </c>
      <c r="D561" s="26" t="s">
        <v>181</v>
      </c>
      <c r="E561" s="20" t="s">
        <v>637</v>
      </c>
      <c r="F561" s="21" t="str">
        <f>IF(OR(E561="",E561="!!!"),"",IF(NOT(ISNA(VLOOKUP(E561,E$1:E560,1,FALSE()))),"OLD",IF(AND(E561&lt;&gt;"",E561&lt;&gt;"!!!"),"NEW","")))</f>
        <v>OLD</v>
      </c>
      <c r="G561" s="22" t="s">
        <v>696</v>
      </c>
      <c r="H561" s="23" t="str">
        <f t="shared" ref="H561:H589" ca="1" si="44">IF(J561&lt;&gt;1,"",IF(I561="SBJ","CB","?"))</f>
        <v/>
      </c>
      <c r="I561" s="24" t="str">
        <f>IF(OR(E561="",E561="!!!",F561="NEW"),"",INDEX(B$2:B560,-1+SUMPRODUCT(MAX(ROW(E$2:E560)*(E561=E$2:E560)))))</f>
        <v>SBJ</v>
      </c>
      <c r="J561" s="24">
        <f ca="1">IF(OR(E561="",E561="!!!",F561="NEW"),"",COUNTBLANK(OFFSET(A$1,,,SUMPRODUCT(MAX(ROW(E$2:E561)*(E561=E$2:E561)))))-COUNTBLANK(OFFSET(A$1,,,SUMPRODUCT(MAX(ROW(E$1:E560)*(E2=E$1:E560))))))</f>
        <v>0</v>
      </c>
      <c r="K561" s="24">
        <f ca="1">IF(OR(E561="",E561="!!!",F561="NEW"),"",INDEX(J$1:J560,SUMPRODUCT(MAX(ROW(E$1:E560)*(E561=E$1:E560)))))</f>
        <v>0</v>
      </c>
      <c r="L561" s="25"/>
    </row>
    <row r="562" spans="1:12" x14ac:dyDescent="0.3">
      <c r="A562" t="s">
        <v>278</v>
      </c>
      <c r="E562" s="20" t="str">
        <f t="shared" ref="E562:E589" si="45">IF(D562="?OLD","!!!","")</f>
        <v/>
      </c>
      <c r="F562" s="21" t="str">
        <f>IF(OR(E562="",E562="!!!"),"",IF(NOT(ISNA(VLOOKUP(E562,E$1:E561,1,FALSE()))),"OLD",IF(AND(E562&lt;&gt;"",E562&lt;&gt;"!!!"),"NEW","")))</f>
        <v/>
      </c>
      <c r="G562" s="22" t="str">
        <f>IF(OR(E562="",E562="!!!"),"",IF(OR(J562=0,AND(J562=1,K562=1),AND(J562=1,I562="SBJ"),AND(J562=1,I562=0)),"?IN_FOCUS",IF(J562&lt;=2,"?ACTIVATED",IF(J562&lt;&gt;"","?FAMILIAR",IF(F562="NEW",IF(ISNA(VLOOKUP(E562,#REF!,1,FALSE())),"?TYPE_IDENTIFIABLE","?REFERENTIAL"),"_")))))</f>
        <v/>
      </c>
      <c r="H562" s="23" t="str">
        <f t="shared" ca="1" si="44"/>
        <v/>
      </c>
      <c r="I562" s="24" t="str">
        <f>IF(OR(E562="",E562="!!!",F562="NEW"),"",INDEX(B$2:B561,-1+SUMPRODUCT(MAX(ROW(E$2:E561)*(E562=E$2:E561)))))</f>
        <v/>
      </c>
      <c r="J562" s="24" t="str">
        <f ca="1">IF(OR(E562="",E562="!!!",F562="NEW"),"",COUNTBLANK(OFFSET(A$1,,,SUMPRODUCT(MAX(ROW(E$2:E562)*(E562=E$2:E562)))))-COUNTBLANK(OFFSET(A$1,,,SUMPRODUCT(MAX(ROW(E$1:E561)*(E2=E$1:E561))))))</f>
        <v/>
      </c>
      <c r="K562" s="24" t="str">
        <f>IF(OR(E562="",E562="!!!",F562="NEW"),"",INDEX(J$1:J561,SUMPRODUCT(MAX(ROW(E$1:E561)*(E562=E$1:E561)))))</f>
        <v/>
      </c>
      <c r="L562" s="25"/>
    </row>
    <row r="563" spans="1:12" x14ac:dyDescent="0.3">
      <c r="A563" t="s">
        <v>167</v>
      </c>
      <c r="E563" s="20" t="str">
        <f t="shared" si="45"/>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t="shared" ca="1" si="44"/>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4" spans="1:12" x14ac:dyDescent="0.3">
      <c r="A564" t="s">
        <v>240</v>
      </c>
      <c r="E564" s="20" t="str">
        <f t="shared" si="45"/>
        <v/>
      </c>
      <c r="F564" s="21" t="str">
        <f>IF(OR(E564="",E564="!!!"),"",IF(NOT(ISNA(VLOOKUP(E564,E$1:E563,1,FALSE()))),"OLD",IF(AND(E564&lt;&gt;"",E564&lt;&gt;"!!!"),"NEW","")))</f>
        <v/>
      </c>
      <c r="G564" s="22" t="str">
        <f>IF(OR(E564="",E564="!!!"),"",IF(OR(J564=0,AND(J564=1,K564=1),AND(J564=1,I564="SBJ"),AND(J564=1,I564=0)),"?IN_FOCUS",IF(J564&lt;=2,"?ACTIVATED",IF(J564&lt;&gt;"","?FAMILIAR",IF(F564="NEW",IF(ISNA(VLOOKUP(E564,#REF!,1,FALSE())),"?TYPE_IDENTIFIABLE","?REFERENTIAL"),"_")))))</f>
        <v/>
      </c>
      <c r="H564" s="23" t="str">
        <f t="shared" ca="1" si="44"/>
        <v/>
      </c>
      <c r="I564" s="24" t="str">
        <f>IF(OR(E564="",E564="!!!",F564="NEW"),"",INDEX(B$2:B563,-1+SUMPRODUCT(MAX(ROW(E$2:E563)*(E564=E$2:E563)))))</f>
        <v/>
      </c>
      <c r="J564" s="24" t="str">
        <f ca="1">IF(OR(E564="",E564="!!!",F564="NEW"),"",COUNTBLANK(OFFSET(A$1,,,SUMPRODUCT(MAX(ROW(E$2:E564)*(E564=E$2:E564)))))-COUNTBLANK(OFFSET(A$1,,,SUMPRODUCT(MAX(ROW(E$1:E563)*(E2=E$1:E563))))))</f>
        <v/>
      </c>
      <c r="K564" s="24" t="str">
        <f>IF(OR(E564="",E564="!!!",F564="NEW"),"",INDEX(J$1:J563,SUMPRODUCT(MAX(ROW(E$1:E563)*(E564=E$1:E563)))))</f>
        <v/>
      </c>
      <c r="L564" s="25"/>
    </row>
    <row r="565" spans="1:12" x14ac:dyDescent="0.3">
      <c r="A565" t="s">
        <v>270</v>
      </c>
      <c r="E565" s="20" t="str">
        <f t="shared" si="45"/>
        <v/>
      </c>
      <c r="F565" s="21" t="str">
        <f>IF(OR(E565="",E565="!!!"),"",IF(NOT(ISNA(VLOOKUP(E565,E$1:E564,1,FALSE()))),"OLD",IF(AND(E565&lt;&gt;"",E565&lt;&gt;"!!!"),"NEW","")))</f>
        <v/>
      </c>
      <c r="G565" s="22" t="str">
        <f>IF(OR(E565="",E565="!!!"),"",IF(OR(J565=0,AND(J565=1,K565=1),AND(J565=1,I565="SBJ"),AND(J565=1,I565=0)),"?IN_FOCUS",IF(J565&lt;=2,"?ACTIVATED",IF(J565&lt;&gt;"","?FAMILIAR",IF(F565="NEW",IF(ISNA(VLOOKUP(E565,#REF!,1,FALSE())),"?TYPE_IDENTIFIABLE","?REFERENTIAL"),"_")))))</f>
        <v/>
      </c>
      <c r="H565" s="23" t="str">
        <f t="shared" ca="1" si="44"/>
        <v/>
      </c>
      <c r="I565" s="24" t="str">
        <f>IF(OR(E565="",E565="!!!",F565="NEW"),"",INDEX(B$2:B564,-1+SUMPRODUCT(MAX(ROW(E$2:E564)*(E565=E$2:E564)))))</f>
        <v/>
      </c>
      <c r="J565" s="24" t="str">
        <f ca="1">IF(OR(E565="",E565="!!!",F565="NEW"),"",COUNTBLANK(OFFSET(A$1,,,SUMPRODUCT(MAX(ROW(E$2:E565)*(E565=E$2:E565)))))-COUNTBLANK(OFFSET(A$1,,,SUMPRODUCT(MAX(ROW(E$1:E564)*(E2=E$1:E564))))))</f>
        <v/>
      </c>
      <c r="K565" s="24" t="str">
        <f>IF(OR(E565="",E565="!!!",F565="NEW"),"",INDEX(J$1:J564,SUMPRODUCT(MAX(ROW(E$1:E564)*(E565=E$1:E564)))))</f>
        <v/>
      </c>
      <c r="L565" s="25"/>
    </row>
    <row r="566" spans="1:12" x14ac:dyDescent="0.3">
      <c r="A566" t="s">
        <v>168</v>
      </c>
      <c r="B566" s="26" t="s">
        <v>372</v>
      </c>
      <c r="C566" s="26" t="s">
        <v>194</v>
      </c>
      <c r="D566" s="26" t="s">
        <v>181</v>
      </c>
      <c r="E566" s="20" t="s">
        <v>686</v>
      </c>
      <c r="F566" s="21" t="str">
        <f>IF(OR(E566="",E566="!!!"),"",IF(NOT(ISNA(VLOOKUP(E566,E$1:E565,1,FALSE()))),"OLD",IF(AND(E566&lt;&gt;"",E566&lt;&gt;"!!!"),"NEW","")))</f>
        <v>OLD</v>
      </c>
      <c r="G566" s="22" t="s">
        <v>696</v>
      </c>
      <c r="H566" s="23" t="str">
        <f t="shared" ca="1" si="44"/>
        <v/>
      </c>
      <c r="I566" s="24" t="str">
        <f>IF(OR(E566="",E566="!!!",F566="NEW"),"",INDEX(B$2:B565,-1+SUMPRODUCT(MAX(ROW(E$2:E565)*(E566=E$2:E565)))))</f>
        <v>SBJ</v>
      </c>
      <c r="J566" s="24">
        <f ca="1">IF(OR(E566="",E566="!!!",F566="NEW"),"",COUNTBLANK(OFFSET(A$1,,,SUMPRODUCT(MAX(ROW(E$2:E566)*(E566=E$2:E566)))))-COUNTBLANK(OFFSET(A$1,,,SUMPRODUCT(MAX(ROW(E$1:E565)*(E2=E$1:E565))))))</f>
        <v>0</v>
      </c>
      <c r="K566" s="24">
        <f ca="1">IF(OR(E566="",E566="!!!",F566="NEW"),"",INDEX(J$1:J565,SUMPRODUCT(MAX(ROW(E$1:E565)*(E566=E$1:E565)))))</f>
        <v>0</v>
      </c>
      <c r="L566" s="25"/>
    </row>
    <row r="567" spans="1:12" x14ac:dyDescent="0.3">
      <c r="A567" t="s">
        <v>423</v>
      </c>
      <c r="E567" s="20" t="str">
        <f t="shared" si="45"/>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ca="1" si="44"/>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3">
      <c r="A568" t="s">
        <v>269</v>
      </c>
      <c r="B568" s="26" t="s">
        <v>427</v>
      </c>
      <c r="E568" s="20" t="str">
        <f t="shared" si="45"/>
        <v/>
      </c>
      <c r="F568" s="21" t="str">
        <f>IF(OR(E568="",E568="!!!"),"",IF(NOT(ISNA(VLOOKUP(E568,E$1:E567,1,FALSE()))),"OLD",IF(AND(E568&lt;&gt;"",E568&lt;&gt;"!!!"),"NEW","")))</f>
        <v/>
      </c>
      <c r="G568" s="22" t="str">
        <f>IF(OR(E568="",E568="!!!"),"",IF(OR(J568=0,AND(J568=1,K568=1),AND(J568=1,I568="SBJ"),AND(J568=1,I568=0)),"?IN_FOCUS",IF(J568&lt;=2,"?ACTIVATED",IF(J568&lt;&gt;"","?FAMILIAR",IF(F568="NEW",IF(ISNA(VLOOKUP(E568,#REF!,1,FALSE())),"?TYPE_IDENTIFIABLE","?REFERENTIAL"),"_")))))</f>
        <v/>
      </c>
      <c r="H568" s="23" t="str">
        <f t="shared" ca="1" si="44"/>
        <v/>
      </c>
      <c r="I568" s="24" t="str">
        <f>IF(OR(E568="",E568="!!!",F568="NEW"),"",INDEX(B$2:B567,-1+SUMPRODUCT(MAX(ROW(E$2:E567)*(E568=E$2:E567)))))</f>
        <v/>
      </c>
      <c r="J568" s="24" t="str">
        <f ca="1">IF(OR(E568="",E568="!!!",F568="NEW"),"",COUNTBLANK(OFFSET(A$1,,,SUMPRODUCT(MAX(ROW(E$2:E568)*(E568=E$2:E568)))))-COUNTBLANK(OFFSET(A$1,,,SUMPRODUCT(MAX(ROW(E$1:E567)*(E2=E$1:E567))))))</f>
        <v/>
      </c>
      <c r="K568" s="24" t="str">
        <f>IF(OR(E568="",E568="!!!",F568="NEW"),"",INDEX(J$1:J567,SUMPRODUCT(MAX(ROW(E$1:E567)*(E568=E$1:E567)))))</f>
        <v/>
      </c>
      <c r="L568" s="25"/>
    </row>
    <row r="569" spans="1:12" x14ac:dyDescent="0.3">
      <c r="A569" t="s">
        <v>470</v>
      </c>
      <c r="E569" s="20" t="str">
        <f t="shared" si="45"/>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44"/>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471</v>
      </c>
      <c r="E570" s="20" t="str">
        <f t="shared" si="45"/>
        <v/>
      </c>
      <c r="F570" s="21" t="str">
        <f>IF(OR(E570="",E570="!!!"),"",IF(NOT(ISNA(VLOOKUP(E570,E$1:E569,1,FALSE()))),"OLD",IF(AND(E570&lt;&gt;"",E570&lt;&gt;"!!!"),"NEW","")))</f>
        <v/>
      </c>
      <c r="G570" s="22" t="str">
        <f>IF(OR(E570="",E570="!!!"),"",IF(OR(J570=0,AND(J570=1,K570=1),AND(J570=1,I570="SBJ"),AND(J570=1,I570=0)),"?IN_FOCUS",IF(J570&lt;=2,"?ACTIVATED",IF(J570&lt;&gt;"","?FAMILIAR",IF(F570="NEW",IF(ISNA(VLOOKUP(E570,#REF!,1,FALSE())),"?TYPE_IDENTIFIABLE","?REFERENTIAL"),"_")))))</f>
        <v/>
      </c>
      <c r="H570" s="23" t="str">
        <f t="shared" ca="1" si="44"/>
        <v/>
      </c>
      <c r="I570" s="24" t="str">
        <f>IF(OR(E570="",E570="!!!",F570="NEW"),"",INDEX(B$2:B569,-1+SUMPRODUCT(MAX(ROW(E$2:E569)*(E570=E$2:E569)))))</f>
        <v/>
      </c>
      <c r="J570" s="24" t="str">
        <f ca="1">IF(OR(E570="",E570="!!!",F570="NEW"),"",COUNTBLANK(OFFSET(A$1,,,SUMPRODUCT(MAX(ROW(E$2:E570)*(E570=E$2:E570)))))-COUNTBLANK(OFFSET(A$1,,,SUMPRODUCT(MAX(ROW(E$1:E569)*(E2=E$1:E569))))))</f>
        <v/>
      </c>
      <c r="K570" s="24" t="str">
        <f>IF(OR(E570="",E570="!!!",F570="NEW"),"",INDEX(J$1:J569,SUMPRODUCT(MAX(ROW(E$1:E569)*(E570=E$1:E569)))))</f>
        <v/>
      </c>
      <c r="L570" s="25"/>
    </row>
    <row r="571" spans="1:12" x14ac:dyDescent="0.3">
      <c r="A571" t="s">
        <v>423</v>
      </c>
      <c r="E571" s="20" t="str">
        <f t="shared" si="45"/>
        <v/>
      </c>
      <c r="F571" s="21" t="str">
        <f>IF(OR(E571="",E571="!!!"),"",IF(NOT(ISNA(VLOOKUP(E571,E$1:E570,1,FALSE()))),"OLD",IF(AND(E571&lt;&gt;"",E571&lt;&gt;"!!!"),"NEW","")))</f>
        <v/>
      </c>
      <c r="G571" s="22" t="str">
        <f>IF(OR(E571="",E571="!!!"),"",IF(OR(J571=0,AND(J571=1,K571=1),AND(J571=1,I571="SBJ"),AND(J571=1,I571=0)),"?IN_FOCUS",IF(J571&lt;=2,"?ACTIVATED",IF(J571&lt;&gt;"","?FAMILIAR",IF(F571="NEW",IF(ISNA(VLOOKUP(E571,#REF!,1,FALSE())),"?TYPE_IDENTIFIABLE","?REFERENTIAL"),"_")))))</f>
        <v/>
      </c>
      <c r="H571" s="23" t="str">
        <f t="shared" ca="1" si="44"/>
        <v/>
      </c>
      <c r="I571" s="24" t="str">
        <f>IF(OR(E571="",E571="!!!",F571="NEW"),"",INDEX(B$2:B570,-1+SUMPRODUCT(MAX(ROW(E$2:E570)*(E571=E$2:E570)))))</f>
        <v/>
      </c>
      <c r="J571" s="24" t="str">
        <f ca="1">IF(OR(E571="",E571="!!!",F571="NEW"),"",COUNTBLANK(OFFSET(A$1,,,SUMPRODUCT(MAX(ROW(E$2:E571)*(E571=E$2:E571)))))-COUNTBLANK(OFFSET(A$1,,,SUMPRODUCT(MAX(ROW(E$1:E570)*(E2=E$1:E570))))))</f>
        <v/>
      </c>
      <c r="K571" s="24" t="str">
        <f>IF(OR(E571="",E571="!!!",F571="NEW"),"",INDEX(J$1:J570,SUMPRODUCT(MAX(ROW(E$1:E570)*(E571=E$1:E570)))))</f>
        <v/>
      </c>
      <c r="L571" s="25"/>
    </row>
    <row r="572" spans="1:12" x14ac:dyDescent="0.3">
      <c r="A572" t="s">
        <v>472</v>
      </c>
      <c r="E572" s="20" t="str">
        <f t="shared" si="45"/>
        <v/>
      </c>
      <c r="F572" s="21" t="str">
        <f>IF(OR(E572="",E572="!!!"),"",IF(NOT(ISNA(VLOOKUP(E572,E$1:E571,1,FALSE()))),"OLD",IF(AND(E572&lt;&gt;"",E572&lt;&gt;"!!!"),"NEW","")))</f>
        <v/>
      </c>
      <c r="G572" s="22" t="str">
        <f>IF(OR(E572="",E572="!!!"),"",IF(OR(J572=0,AND(J572=1,K572=1),AND(J572=1,I572="SBJ"),AND(J572=1,I572=0)),"?IN_FOCUS",IF(J572&lt;=2,"?ACTIVATED",IF(J572&lt;&gt;"","?FAMILIAR",IF(F572="NEW",IF(ISNA(VLOOKUP(E572,#REF!,1,FALSE())),"?TYPE_IDENTIFIABLE","?REFERENTIAL"),"_")))))</f>
        <v/>
      </c>
      <c r="H572" s="23" t="str">
        <f t="shared" ca="1" si="44"/>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3">
      <c r="A573" t="s">
        <v>167</v>
      </c>
      <c r="E573" s="20" t="str">
        <f t="shared" si="45"/>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44"/>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4" spans="1:12" x14ac:dyDescent="0.3">
      <c r="A574" t="s">
        <v>354</v>
      </c>
      <c r="E574" s="20" t="str">
        <f t="shared" si="45"/>
        <v/>
      </c>
      <c r="F574" s="21" t="str">
        <f>IF(OR(E574="",E574="!!!"),"",IF(NOT(ISNA(VLOOKUP(E574,E$1:E573,1,FALSE()))),"OLD",IF(AND(E574&lt;&gt;"",E574&lt;&gt;"!!!"),"NEW","")))</f>
        <v/>
      </c>
      <c r="G574" s="22" t="str">
        <f>IF(OR(E574="",E574="!!!"),"",IF(OR(J574=0,AND(J574=1,K574=1),AND(J574=1,I574="SBJ"),AND(J574=1,I574=0)),"?IN_FOCUS",IF(J574&lt;=2,"?ACTIVATED",IF(J574&lt;&gt;"","?FAMILIAR",IF(F574="NEW",IF(ISNA(VLOOKUP(E574,#REF!,1,FALSE())),"?TYPE_IDENTIFIABLE","?REFERENTIAL"),"_")))))</f>
        <v/>
      </c>
      <c r="H574" s="23" t="str">
        <f t="shared" ca="1" si="44"/>
        <v/>
      </c>
      <c r="I574" s="24" t="str">
        <f>IF(OR(E574="",E574="!!!",F574="NEW"),"",INDEX(B$2:B573,-1+SUMPRODUCT(MAX(ROW(E$2:E573)*(E574=E$2:E573)))))</f>
        <v/>
      </c>
      <c r="J574" s="24" t="str">
        <f ca="1">IF(OR(E574="",E574="!!!",F574="NEW"),"",COUNTBLANK(OFFSET(A$1,,,SUMPRODUCT(MAX(ROW(E$2:E574)*(E574=E$2:E574)))))-COUNTBLANK(OFFSET(A$1,,,SUMPRODUCT(MAX(ROW(E$1:E573)*(E2=E$1:E573))))))</f>
        <v/>
      </c>
      <c r="K574" s="24" t="str">
        <f>IF(OR(E574="",E574="!!!",F574="NEW"),"",INDEX(J$1:J573,SUMPRODUCT(MAX(ROW(E$1:E573)*(E574=E$1:E573)))))</f>
        <v/>
      </c>
      <c r="L574" s="25"/>
    </row>
    <row r="575" spans="1:12" x14ac:dyDescent="0.3">
      <c r="A575" t="s">
        <v>311</v>
      </c>
      <c r="E575" s="20" t="str">
        <f t="shared" si="45"/>
        <v/>
      </c>
      <c r="F575" s="21" t="str">
        <f>IF(OR(E575="",E575="!!!"),"",IF(NOT(ISNA(VLOOKUP(E575,E$1:E574,1,FALSE()))),"OLD",IF(AND(E575&lt;&gt;"",E575&lt;&gt;"!!!"),"NEW","")))</f>
        <v/>
      </c>
      <c r="G575" s="22" t="str">
        <f>IF(OR(E575="",E575="!!!"),"",IF(OR(J575=0,AND(J575=1,K575=1),AND(J575=1,I575="SBJ"),AND(J575=1,I575=0)),"?IN_FOCUS",IF(J575&lt;=2,"?ACTIVATED",IF(J575&lt;&gt;"","?FAMILIAR",IF(F575="NEW",IF(ISNA(VLOOKUP(E575,#REF!,1,FALSE())),"?TYPE_IDENTIFIABLE","?REFERENTIAL"),"_")))))</f>
        <v/>
      </c>
      <c r="H575" s="23" t="str">
        <f t="shared" ca="1" si="44"/>
        <v/>
      </c>
      <c r="I575" s="24" t="str">
        <f>IF(OR(E575="",E575="!!!",F575="NEW"),"",INDEX(B$2:B574,-1+SUMPRODUCT(MAX(ROW(E$2:E574)*(E575=E$2:E574)))))</f>
        <v/>
      </c>
      <c r="J575" s="24" t="str">
        <f ca="1">IF(OR(E575="",E575="!!!",F575="NEW"),"",COUNTBLANK(OFFSET(A$1,,,SUMPRODUCT(MAX(ROW(E$2:E575)*(E575=E$2:E575)))))-COUNTBLANK(OFFSET(A$1,,,SUMPRODUCT(MAX(ROW(E$1:E574)*(E2=E$1:E574))))))</f>
        <v/>
      </c>
      <c r="K575" s="24" t="str">
        <f>IF(OR(E575="",E575="!!!",F575="NEW"),"",INDEX(J$1:J574,SUMPRODUCT(MAX(ROW(E$1:E574)*(E575=E$1:E574)))))</f>
        <v/>
      </c>
      <c r="L575" s="25"/>
    </row>
    <row r="576" spans="1:12" x14ac:dyDescent="0.3">
      <c r="A576" t="s">
        <v>314</v>
      </c>
      <c r="E576" s="20" t="str">
        <f t="shared" si="45"/>
        <v/>
      </c>
      <c r="F576" s="21" t="str">
        <f>IF(OR(E576="",E576="!!!"),"",IF(NOT(ISNA(VLOOKUP(E576,E$1:E575,1,FALSE()))),"OLD",IF(AND(E576&lt;&gt;"",E576&lt;&gt;"!!!"),"NEW","")))</f>
        <v/>
      </c>
      <c r="G576" s="22" t="str">
        <f>IF(OR(E576="",E576="!!!"),"",IF(OR(J576=0,AND(J576=1,K576=1),AND(J576=1,I576="SBJ"),AND(J576=1,I576=0)),"?IN_FOCUS",IF(J576&lt;=2,"?ACTIVATED",IF(J576&lt;&gt;"","?FAMILIAR",IF(F576="NEW",IF(ISNA(VLOOKUP(E576,#REF!,1,FALSE())),"?TYPE_IDENTIFIABLE","?REFERENTIAL"),"_")))))</f>
        <v/>
      </c>
      <c r="H576" s="23" t="str">
        <f t="shared" ca="1" si="44"/>
        <v/>
      </c>
      <c r="I576" s="24" t="str">
        <f>IF(OR(E576="",E576="!!!",F576="NEW"),"",INDEX(B$2:B575,-1+SUMPRODUCT(MAX(ROW(E$2:E575)*(E576=E$2:E575)))))</f>
        <v/>
      </c>
      <c r="J576" s="24" t="str">
        <f ca="1">IF(OR(E576="",E576="!!!",F576="NEW"),"",COUNTBLANK(OFFSET(A$1,,,SUMPRODUCT(MAX(ROW(E$2:E576)*(E576=E$2:E576)))))-COUNTBLANK(OFFSET(A$1,,,SUMPRODUCT(MAX(ROW(E$1:E575)*(E2=E$1:E575))))))</f>
        <v/>
      </c>
      <c r="K576" s="24" t="str">
        <f>IF(OR(E576="",E576="!!!",F576="NEW"),"",INDEX(J$1:J575,SUMPRODUCT(MAX(ROW(E$1:E575)*(E576=E$1:E575)))))</f>
        <v/>
      </c>
      <c r="L576" s="25"/>
    </row>
    <row r="577" spans="1:12" x14ac:dyDescent="0.3">
      <c r="A577" t="s">
        <v>473</v>
      </c>
      <c r="E577" s="20" t="str">
        <f t="shared" si="45"/>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44"/>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164</v>
      </c>
      <c r="B578" s="26" t="s">
        <v>372</v>
      </c>
      <c r="C578" s="26" t="s">
        <v>166</v>
      </c>
      <c r="E578" s="20" t="s">
        <v>690</v>
      </c>
      <c r="F578" s="21" t="str">
        <f>IF(OR(E578="",E578="!!!"),"",IF(NOT(ISNA(VLOOKUP(E578,E$1:E577,1,FALSE()))),"OLD",IF(AND(E578&lt;&gt;"",E578&lt;&gt;"!!!"),"NEW","")))</f>
        <v>OLD</v>
      </c>
      <c r="G578" s="22" t="s">
        <v>696</v>
      </c>
      <c r="H578" s="23" t="str">
        <f t="shared" ca="1" si="44"/>
        <v/>
      </c>
      <c r="I578" s="24" t="str">
        <f>IF(OR(E578="",E578="!!!",F578="NEW"),"",INDEX(B$2:B577,-1+SUMPRODUCT(MAX(ROW(E$2:E577)*(E578=E$2:E577)))))</f>
        <v>other_2</v>
      </c>
      <c r="J578" s="24">
        <f ca="1">IF(OR(E578="",E578="!!!",F578="NEW"),"",COUNTBLANK(OFFSET(A$1,,,SUMPRODUCT(MAX(ROW(E$2:E578)*(E578=E$2:E578)))))-COUNTBLANK(OFFSET(A$1,,,SUMPRODUCT(MAX(ROW(E$1:E577)*(E2=E$1:E577))))))</f>
        <v>0</v>
      </c>
      <c r="K578" s="24">
        <f ca="1">IF(OR(E578="",E578="!!!",F578="NEW"),"",INDEX(J$1:J577,SUMPRODUCT(MAX(ROW(E$1:E577)*(E578=E$1:E577)))))</f>
        <v>0</v>
      </c>
      <c r="L578" s="25"/>
    </row>
    <row r="579" spans="1:12" x14ac:dyDescent="0.3">
      <c r="A579" t="s">
        <v>474</v>
      </c>
      <c r="E579" s="20" t="str">
        <f t="shared" si="45"/>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44"/>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3">
      <c r="A580" t="s">
        <v>186</v>
      </c>
      <c r="E580" s="20" t="str">
        <f t="shared" si="45"/>
        <v/>
      </c>
      <c r="F580" s="21" t="str">
        <f>IF(OR(E580="",E580="!!!"),"",IF(NOT(ISNA(VLOOKUP(E580,E$1:E579,1,FALSE()))),"OLD",IF(AND(E580&lt;&gt;"",E580&lt;&gt;"!!!"),"NEW","")))</f>
        <v/>
      </c>
      <c r="G580" s="22" t="str">
        <f>IF(OR(E580="",E580="!!!"),"",IF(OR(J580=0,AND(J580=1,K580=1),AND(J580=1,I580="SBJ"),AND(J580=1,I580=0)),"?IN_FOCUS",IF(J580&lt;=2,"?ACTIVATED",IF(J580&lt;&gt;"","?FAMILIAR",IF(F580="NEW",IF(ISNA(VLOOKUP(E580,#REF!,1,FALSE())),"?TYPE_IDENTIFIABLE","?REFERENTIAL"),"_")))))</f>
        <v/>
      </c>
      <c r="H580" s="23" t="str">
        <f t="shared" ca="1" si="44"/>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3">
      <c r="A581" t="s">
        <v>167</v>
      </c>
      <c r="E581" s="20" t="str">
        <f t="shared" si="45"/>
        <v/>
      </c>
      <c r="F581" s="21" t="str">
        <f>IF(OR(E581="",E581="!!!"),"",IF(NOT(ISNA(VLOOKUP(E581,E$1:E580,1,FALSE()))),"OLD",IF(AND(E581&lt;&gt;"",E581&lt;&gt;"!!!"),"NEW","")))</f>
        <v/>
      </c>
      <c r="G581" s="22" t="str">
        <f>IF(OR(E581="",E581="!!!"),"",IF(OR(J581=0,AND(J581=1,K581=1),AND(J581=1,I581="SBJ"),AND(J581=1,I581=0)),"?IN_FOCUS",IF(J581&lt;=2,"?ACTIVATED",IF(J581&lt;&gt;"","?FAMILIAR",IF(F581="NEW",IF(ISNA(VLOOKUP(E581,#REF!,1,FALSE())),"?TYPE_IDENTIFIABLE","?REFERENTIAL"),"_")))))</f>
        <v/>
      </c>
      <c r="H581" s="23" t="str">
        <f t="shared" ca="1" si="44"/>
        <v/>
      </c>
      <c r="I581" s="24" t="str">
        <f>IF(OR(E581="",E581="!!!",F581="NEW"),"",INDEX(B$2:B580,-1+SUMPRODUCT(MAX(ROW(E$2:E580)*(E581=E$2:E580)))))</f>
        <v/>
      </c>
      <c r="J581" s="24" t="str">
        <f ca="1">IF(OR(E581="",E581="!!!",F581="NEW"),"",COUNTBLANK(OFFSET(A$1,,,SUMPRODUCT(MAX(ROW(E$2:E581)*(E581=E$2:E581)))))-COUNTBLANK(OFFSET(A$1,,,SUMPRODUCT(MAX(ROW(E$1:E580)*(E2=E$1:E580))))))</f>
        <v/>
      </c>
      <c r="K581" s="24" t="str">
        <f>IF(OR(E581="",E581="!!!",F581="NEW"),"",INDEX(J$1:J580,SUMPRODUCT(MAX(ROW(E$1:E580)*(E581=E$1:E580)))))</f>
        <v/>
      </c>
      <c r="L581" s="25"/>
    </row>
    <row r="582" spans="1:12" x14ac:dyDescent="0.3">
      <c r="A582" t="s">
        <v>240</v>
      </c>
      <c r="E582" s="20" t="str">
        <f t="shared" si="45"/>
        <v/>
      </c>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44"/>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270</v>
      </c>
      <c r="E583" s="20" t="str">
        <f t="shared" si="45"/>
        <v/>
      </c>
      <c r="F583" s="21" t="str">
        <f>IF(OR(E583="",E583="!!!"),"",IF(NOT(ISNA(VLOOKUP(E583,E$1:E582,1,FALSE()))),"OLD",IF(AND(E583&lt;&gt;"",E583&lt;&gt;"!!!"),"NEW","")))</f>
        <v/>
      </c>
      <c r="G583" s="22" t="str">
        <f>IF(OR(E583="",E583="!!!"),"",IF(OR(J583=0,AND(J583=1,K583=1),AND(J583=1,I583="SBJ"),AND(J583=1,I583=0)),"?IN_FOCUS",IF(J583&lt;=2,"?ACTIVATED",IF(J583&lt;&gt;"","?FAMILIAR",IF(F583="NEW",IF(ISNA(VLOOKUP(E583,#REF!,1,FALSE())),"?TYPE_IDENTIFIABLE","?REFERENTIAL"),"_")))))</f>
        <v/>
      </c>
      <c r="H583" s="23" t="str">
        <f t="shared" ca="1" si="44"/>
        <v/>
      </c>
      <c r="I583" s="24" t="str">
        <f>IF(OR(E583="",E583="!!!",F583="NEW"),"",INDEX(B$2:B582,-1+SUMPRODUCT(MAX(ROW(E$2:E582)*(E583=E$2:E582)))))</f>
        <v/>
      </c>
      <c r="J583" s="24" t="str">
        <f ca="1">IF(OR(E583="",E583="!!!",F583="NEW"),"",COUNTBLANK(OFFSET(A$1,,,SUMPRODUCT(MAX(ROW(E$2:E583)*(E583=E$2:E583)))))-COUNTBLANK(OFFSET(A$1,,,SUMPRODUCT(MAX(ROW(E$1:E582)*(E2=E$1:E582))))))</f>
        <v/>
      </c>
      <c r="K583" s="24" t="str">
        <f>IF(OR(E583="",E583="!!!",F583="NEW"),"",INDEX(J$1:J582,SUMPRODUCT(MAX(ROW(E$1:E582)*(E583=E$1:E582)))))</f>
        <v/>
      </c>
      <c r="L583" s="25"/>
    </row>
    <row r="584" spans="1:12" x14ac:dyDescent="0.3">
      <c r="A584" t="s">
        <v>245</v>
      </c>
      <c r="B584" s="26" t="s">
        <v>404</v>
      </c>
      <c r="C584" s="26" t="s">
        <v>194</v>
      </c>
      <c r="D584" s="26" t="s">
        <v>181</v>
      </c>
      <c r="E584" s="20" t="s">
        <v>644</v>
      </c>
      <c r="F584" s="21" t="str">
        <f>IF(OR(E584="",E584="!!!"),"",IF(NOT(ISNA(VLOOKUP(E584,E$1:E583,1,FALSE()))),"OLD",IF(AND(E584&lt;&gt;"",E584&lt;&gt;"!!!"),"NEW","")))</f>
        <v>OLD</v>
      </c>
      <c r="G584" s="22" t="s">
        <v>696</v>
      </c>
      <c r="H584" s="23" t="str">
        <f t="shared" ca="1" si="44"/>
        <v/>
      </c>
      <c r="I584" s="24" t="str">
        <f>IF(OR(E584="",E584="!!!",F584="NEW"),"",INDEX(B$2:B583,-1+SUMPRODUCT(MAX(ROW(E$2:E583)*(E584=E$2:E583)))))</f>
        <v>other_3</v>
      </c>
      <c r="J584" s="24">
        <f ca="1">IF(OR(E584="",E584="!!!",F584="NEW"),"",COUNTBLANK(OFFSET(A$1,,,SUMPRODUCT(MAX(ROW(E$2:E584)*(E584=E$2:E584)))))-COUNTBLANK(OFFSET(A$1,,,SUMPRODUCT(MAX(ROW(E$1:E583)*(E2=E$1:E583))))))</f>
        <v>0</v>
      </c>
      <c r="K584" s="24" t="str">
        <f ca="1">IF(OR(E584="",E584="!!!",F584="NEW"),"",INDEX(J$1:J583,SUMPRODUCT(MAX(ROW(E$1:E583)*(E584=E$1:E583)))))</f>
        <v/>
      </c>
      <c r="L584" s="25"/>
    </row>
    <row r="585" spans="1:12" x14ac:dyDescent="0.3">
      <c r="A585" t="s">
        <v>475</v>
      </c>
      <c r="B585" s="26" t="s">
        <v>183</v>
      </c>
      <c r="C585" s="26" t="s">
        <v>180</v>
      </c>
      <c r="D585" s="26" t="s">
        <v>181</v>
      </c>
      <c r="E585" s="20"/>
      <c r="F585" s="21" t="s">
        <v>616</v>
      </c>
      <c r="G585" s="22" t="str">
        <f>IF(OR(E585="",E585="!!!"),"",IF(OR(J585=0,AND(J585=1,K585=1),AND(J585=1,I585="SBJ"),AND(J585=1,I585=0)),"?IN_FOCUS",IF(J585&lt;=2,"?ACTIVATED",IF(J585&lt;&gt;"","?FAMILIAR",IF(F585="NEW",IF(ISNA(VLOOKUP(E585,#REF!,1,FALSE())),"?TYPE_IDENTIFIABLE","?REFERENTIAL"),"_")))))</f>
        <v/>
      </c>
      <c r="H585" s="23" t="str">
        <f t="shared" ca="1" si="44"/>
        <v/>
      </c>
      <c r="I585" s="24" t="str">
        <f>IF(OR(E585="",E585="!!!",F585="NEW"),"",INDEX(B$2:B584,-1+SUMPRODUCT(MAX(ROW(E$2:E584)*(E585=E$2:E584)))))</f>
        <v/>
      </c>
      <c r="J585" s="24" t="str">
        <f ca="1">IF(OR(E585="",E585="!!!",F585="NEW"),"",COUNTBLANK(OFFSET(A$1,,,SUMPRODUCT(MAX(ROW(E$2:E585)*(E585=E$2:E585)))))-COUNTBLANK(OFFSET(A$1,,,SUMPRODUCT(MAX(ROW(E$1:E584)*(E2=E$1:E584))))))</f>
        <v/>
      </c>
      <c r="K585" s="24" t="str">
        <f>IF(OR(E585="",E585="!!!",F585="NEW"),"",INDEX(J$1:J584,SUMPRODUCT(MAX(ROW(E$1:E584)*(E585=E$1:E584)))))</f>
        <v/>
      </c>
      <c r="L585" s="25"/>
    </row>
    <row r="586" spans="1:12" x14ac:dyDescent="0.3">
      <c r="A586" t="s">
        <v>178</v>
      </c>
      <c r="E586" s="20" t="str">
        <f t="shared" si="45"/>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ca="1" si="44"/>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3">
      <c r="A587" t="s">
        <v>476</v>
      </c>
      <c r="B587" s="26" t="s">
        <v>174</v>
      </c>
      <c r="C587" s="26" t="s">
        <v>166</v>
      </c>
      <c r="E587" s="20" t="str">
        <f t="shared" si="45"/>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44"/>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x14ac:dyDescent="0.3">
      <c r="A588" t="s">
        <v>477</v>
      </c>
      <c r="E588" s="20" t="str">
        <f t="shared" si="45"/>
        <v/>
      </c>
      <c r="F588" s="21" t="str">
        <f>IF(OR(E588="",E588="!!!"),"",IF(NOT(ISNA(VLOOKUP(E588,E$1:E587,1,FALSE()))),"OLD",IF(AND(E588&lt;&gt;"",E588&lt;&gt;"!!!"),"NEW","")))</f>
        <v/>
      </c>
      <c r="G588" s="22" t="str">
        <f>IF(OR(E588="",E588="!!!"),"",IF(OR(J588=0,AND(J588=1,K588=1),AND(J588=1,I588="SBJ"),AND(J588=1,I588=0)),"?IN_FOCUS",IF(J588&lt;=2,"?ACTIVATED",IF(J588&lt;&gt;"","?FAMILIAR",IF(F588="NEW",IF(ISNA(VLOOKUP(E588,#REF!,1,FALSE())),"?TYPE_IDENTIFIABLE","?REFERENTIAL"),"_")))))</f>
        <v/>
      </c>
      <c r="H588" s="23" t="str">
        <f t="shared" ca="1" si="44"/>
        <v/>
      </c>
      <c r="I588" s="24" t="str">
        <f>IF(OR(E588="",E588="!!!",F588="NEW"),"",INDEX(B$2:B587,-1+SUMPRODUCT(MAX(ROW(E$2:E587)*(E588=E$2:E587)))))</f>
        <v/>
      </c>
      <c r="J588" s="24" t="str">
        <f ca="1">IF(OR(E588="",E588="!!!",F588="NEW"),"",COUNTBLANK(OFFSET(A$1,,,SUMPRODUCT(MAX(ROW(E$2:E588)*(E588=E$2:E588)))))-COUNTBLANK(OFFSET(A$1,,,SUMPRODUCT(MAX(ROW(E$1:E587)*(E2=E$1:E587))))))</f>
        <v/>
      </c>
      <c r="K588" s="24" t="str">
        <f>IF(OR(E588="",E588="!!!",F588="NEW"),"",INDEX(J$1:J587,SUMPRODUCT(MAX(ROW(E$1:E587)*(E588=E$1:E587)))))</f>
        <v/>
      </c>
      <c r="L588" s="25"/>
    </row>
    <row r="589" spans="1:12" x14ac:dyDescent="0.3">
      <c r="A589" t="s">
        <v>201</v>
      </c>
      <c r="E589" s="20" t="str">
        <f t="shared" si="45"/>
        <v/>
      </c>
      <c r="F589" s="21" t="str">
        <f>IF(OR(E589="",E589="!!!"),"",IF(NOT(ISNA(VLOOKUP(E589,E$1:E588,1,FALSE()))),"OLD",IF(AND(E589&lt;&gt;"",E589&lt;&gt;"!!!"),"NEW","")))</f>
        <v/>
      </c>
      <c r="G589" s="22" t="str">
        <f>IF(OR(E589="",E589="!!!"),"",IF(OR(J589=0,AND(J589=1,K589=1),AND(J589=1,I589="SBJ"),AND(J589=1,I589=0)),"?IN_FOCUS",IF(J589&lt;=2,"?ACTIVATED",IF(J589&lt;&gt;"","?FAMILIAR",IF(F589="NEW",IF(ISNA(VLOOKUP(E589,#REF!,1,FALSE())),"?TYPE_IDENTIFIABLE","?REFERENTIAL"),"_")))))</f>
        <v/>
      </c>
      <c r="H589" s="23" t="str">
        <f t="shared" ca="1" si="44"/>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1" spans="1:12" x14ac:dyDescent="0.3">
      <c r="A591" t="s">
        <v>478</v>
      </c>
    </row>
    <row r="592" spans="1:12" x14ac:dyDescent="0.3">
      <c r="A592" t="s">
        <v>479</v>
      </c>
      <c r="E592" s="20" t="str">
        <f t="shared" ref="E592:E611" si="46">IF(D592="?OLD","!!!","")</f>
        <v/>
      </c>
      <c r="F592" s="21" t="str">
        <f>IF(OR(E592="",E592="!!!"),"",IF(NOT(ISNA(VLOOKUP(E592,E$1:E591,1,FALSE()))),"OLD",IF(AND(E592&lt;&gt;"",E592&lt;&gt;"!!!"),"NEW","")))</f>
        <v/>
      </c>
      <c r="G592" s="22" t="str">
        <f>IF(OR(E592="",E592="!!!"),"",IF(OR(J592=0,AND(J592=1,K592=1),AND(J592=1,I592="SBJ"),AND(J592=1,I592=0)),"?IN_FOCUS",IF(J592&lt;=2,"?ACTIVATED",IF(J592&lt;&gt;"","?FAMILIAR",IF(F592="NEW",IF(ISNA(VLOOKUP(E592,#REF!,1,FALSE())),"?TYPE_IDENTIFIABLE","?REFERENTIAL"),"_")))))</f>
        <v/>
      </c>
      <c r="H592" s="23" t="str">
        <f t="shared" ref="H592:H611" ca="1" si="47">IF(J592&lt;&gt;1,"",IF(I592="SBJ","CB","?"))</f>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3">
      <c r="A593" t="s">
        <v>335</v>
      </c>
      <c r="B593" s="26" t="s">
        <v>165</v>
      </c>
      <c r="C593" s="26" t="s">
        <v>180</v>
      </c>
      <c r="D593" s="26" t="s">
        <v>181</v>
      </c>
      <c r="E593" s="20" t="s">
        <v>637</v>
      </c>
      <c r="F593" s="21" t="str">
        <f>IF(OR(E593="",E593="!!!"),"",IF(NOT(ISNA(VLOOKUP(E593,E$1:E592,1,FALSE()))),"OLD",IF(AND(E593&lt;&gt;"",E593&lt;&gt;"!!!"),"NEW","")))</f>
        <v>OLD</v>
      </c>
      <c r="G593" s="22" t="s">
        <v>697</v>
      </c>
      <c r="H593" s="23" t="s">
        <v>158</v>
      </c>
      <c r="I593" s="24" t="str">
        <f>IF(OR(E593="",E593="!!!",F593="NEW"),"",INDEX(B$2:B592,-1+SUMPRODUCT(MAX(ROW(E$2:E592)*(E593=E$2:E592)))))</f>
        <v>SBJ</v>
      </c>
      <c r="J593" s="24">
        <f ca="1">IF(OR(E593="",E593="!!!",F593="NEW"),"",COUNTBLANK(OFFSET(A$1,,,SUMPRODUCT(MAX(ROW(E$2:E593)*(E593=E$2:E593)))))-COUNTBLANK(OFFSET(A$1,,,SUMPRODUCT(MAX(ROW(E$1:E592)*(E2=E$1:E592))))))</f>
        <v>0</v>
      </c>
      <c r="K593" s="24">
        <f ca="1">IF(OR(E593="",E593="!!!",F593="NEW"),"",INDEX(J$1:J592,SUMPRODUCT(MAX(ROW(E$1:E592)*(E593=E$1:E592)))))</f>
        <v>0</v>
      </c>
      <c r="L593" s="25"/>
    </row>
    <row r="594" spans="1:12" x14ac:dyDescent="0.3">
      <c r="A594" t="s">
        <v>480</v>
      </c>
      <c r="E594" s="20" t="str">
        <f t="shared" si="46"/>
        <v/>
      </c>
      <c r="F594" s="21" t="str">
        <f>IF(OR(E594="",E594="!!!"),"",IF(NOT(ISNA(VLOOKUP(E594,E$1:E593,1,FALSE()))),"OLD",IF(AND(E594&lt;&gt;"",E594&lt;&gt;"!!!"),"NEW","")))</f>
        <v/>
      </c>
      <c r="G594" s="22" t="str">
        <f>IF(OR(E594="",E594="!!!"),"",IF(OR(J594=0,AND(J594=1,K594=1),AND(J594=1,I594="SBJ"),AND(J594=1,I594=0)),"?IN_FOCUS",IF(J594&lt;=2,"?ACTIVATED",IF(J594&lt;&gt;"","?FAMILIAR",IF(F594="NEW",IF(ISNA(VLOOKUP(E594,#REF!,1,FALSE())),"?TYPE_IDENTIFIABLE","?REFERENTIAL"),"_")))))</f>
        <v/>
      </c>
      <c r="H594" s="23" t="str">
        <f t="shared" ca="1" si="47"/>
        <v/>
      </c>
      <c r="I594" s="24" t="str">
        <f>IF(OR(E594="",E594="!!!",F594="NEW"),"",INDEX(B$2:B593,-1+SUMPRODUCT(MAX(ROW(E$2:E593)*(E594=E$2:E593)))))</f>
        <v/>
      </c>
      <c r="J594" s="24" t="str">
        <f ca="1">IF(OR(E594="",E594="!!!",F594="NEW"),"",COUNTBLANK(OFFSET(A$1,,,SUMPRODUCT(MAX(ROW(E$2:E594)*(E594=E$2:E594)))))-COUNTBLANK(OFFSET(A$1,,,SUMPRODUCT(MAX(ROW(E$1:E593)*(E2=E$1:E593))))))</f>
        <v/>
      </c>
      <c r="K594" s="24" t="str">
        <f>IF(OR(E594="",E594="!!!",F594="NEW"),"",INDEX(J$1:J593,SUMPRODUCT(MAX(ROW(E$1:E593)*(E594=E$1:E593)))))</f>
        <v/>
      </c>
      <c r="L594" s="25"/>
    </row>
    <row r="595" spans="1:12" x14ac:dyDescent="0.3">
      <c r="A595" t="s">
        <v>256</v>
      </c>
      <c r="E595" s="20" t="str">
        <f t="shared" si="46"/>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47"/>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481</v>
      </c>
      <c r="B596" s="26" t="s">
        <v>185</v>
      </c>
      <c r="C596" s="26" t="s">
        <v>258</v>
      </c>
      <c r="E596" s="20" t="str">
        <f t="shared" si="46"/>
        <v/>
      </c>
      <c r="F596" s="21" t="str">
        <f>IF(OR(E596="",E596="!!!"),"",IF(NOT(ISNA(VLOOKUP(E596,E$1:E595,1,FALSE()))),"OLD",IF(AND(E596&lt;&gt;"",E596&lt;&gt;"!!!"),"NEW","")))</f>
        <v/>
      </c>
      <c r="G596" s="22" t="str">
        <f>IF(OR(E596="",E596="!!!"),"",IF(OR(J596=0,AND(J596=1,K596=1),AND(J596=1,I596="SBJ"),AND(J596=1,I596=0)),"?IN_FOCUS",IF(J596&lt;=2,"?ACTIVATED",IF(J596&lt;&gt;"","?FAMILIAR",IF(F596="NEW",IF(ISNA(VLOOKUP(E596,#REF!,1,FALSE())),"?TYPE_IDENTIFIABLE","?REFERENTIAL"),"_")))))</f>
        <v/>
      </c>
      <c r="H596" s="23" t="str">
        <f t="shared" ca="1" si="47"/>
        <v/>
      </c>
      <c r="I596" s="24" t="str">
        <f>IF(OR(E596="",E596="!!!",F596="NEW"),"",INDEX(B$2:B595,-1+SUMPRODUCT(MAX(ROW(E$2:E595)*(E596=E$2:E595)))))</f>
        <v/>
      </c>
      <c r="J596" s="24" t="str">
        <f ca="1">IF(OR(E596="",E596="!!!",F596="NEW"),"",COUNTBLANK(OFFSET(A$1,,,SUMPRODUCT(MAX(ROW(E$2:E596)*(E596=E$2:E596)))))-COUNTBLANK(OFFSET(A$1,,,SUMPRODUCT(MAX(ROW(E$1:E595)*(E2=E$1:E595))))))</f>
        <v/>
      </c>
      <c r="K596" s="24" t="str">
        <f>IF(OR(E596="",E596="!!!",F596="NEW"),"",INDEX(J$1:J595,SUMPRODUCT(MAX(ROW(E$1:E595)*(E596=E$1:E595)))))</f>
        <v/>
      </c>
      <c r="L596" s="25"/>
    </row>
    <row r="597" spans="1:12" x14ac:dyDescent="0.3">
      <c r="A597" t="s">
        <v>178</v>
      </c>
      <c r="E597" s="20" t="str">
        <f t="shared" si="46"/>
        <v/>
      </c>
      <c r="F597" s="21" t="str">
        <f>IF(OR(E597="",E597="!!!"),"",IF(NOT(ISNA(VLOOKUP(E597,E$1:E596,1,FALSE()))),"OLD",IF(AND(E597&lt;&gt;"",E597&lt;&gt;"!!!"),"NEW","")))</f>
        <v/>
      </c>
      <c r="G597" s="22" t="str">
        <f>IF(OR(E597="",E597="!!!"),"",IF(OR(J597=0,AND(J597=1,K597=1),AND(J597=1,I597="SBJ"),AND(J597=1,I597=0)),"?IN_FOCUS",IF(J597&lt;=2,"?ACTIVATED",IF(J597&lt;&gt;"","?FAMILIAR",IF(F597="NEW",IF(ISNA(VLOOKUP(E597,#REF!,1,FALSE())),"?TYPE_IDENTIFIABLE","?REFERENTIAL"),"_")))))</f>
        <v/>
      </c>
      <c r="H597" s="23" t="str">
        <f t="shared" ca="1" si="47"/>
        <v/>
      </c>
      <c r="I597" s="24" t="str">
        <f>IF(OR(E597="",E597="!!!",F597="NEW"),"",INDEX(B$2:B596,-1+SUMPRODUCT(MAX(ROW(E$2:E596)*(E597=E$2:E596)))))</f>
        <v/>
      </c>
      <c r="J597" s="24" t="str">
        <f ca="1">IF(OR(E597="",E597="!!!",F597="NEW"),"",COUNTBLANK(OFFSET(A$1,,,SUMPRODUCT(MAX(ROW(E$2:E597)*(E597=E$2:E597)))))-COUNTBLANK(OFFSET(A$1,,,SUMPRODUCT(MAX(ROW(E$1:E596)*(E2=E$1:E596))))))</f>
        <v/>
      </c>
      <c r="K597" s="24" t="str">
        <f>IF(OR(E597="",E597="!!!",F597="NEW"),"",INDEX(J$1:J596,SUMPRODUCT(MAX(ROW(E$1:E596)*(E597=E$1:E596)))))</f>
        <v/>
      </c>
      <c r="L597" s="25"/>
    </row>
    <row r="598" spans="1:12" x14ac:dyDescent="0.3">
      <c r="A598" t="s">
        <v>230</v>
      </c>
      <c r="E598" s="20" t="str">
        <f t="shared" si="46"/>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47"/>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319</v>
      </c>
      <c r="B599" s="26" t="s">
        <v>189</v>
      </c>
      <c r="C599" s="26" t="s">
        <v>194</v>
      </c>
      <c r="D599" s="26" t="s">
        <v>181</v>
      </c>
      <c r="E599" s="20"/>
      <c r="F599" s="21" t="str">
        <f>IF(OR(E599="",E599="!!!"),"",IF(NOT(ISNA(VLOOKUP(E599,E$1:E598,1,FALSE()))),"OLD",IF(AND(E599&lt;&gt;"",E599&lt;&gt;"!!!"),"NEW","")))</f>
        <v/>
      </c>
      <c r="G599" s="22" t="str">
        <f>IF(OR(E599="",E599="!!!"),"",IF(OR(J599=0,AND(J599=1,K599=1),AND(J599=1,I599="SBJ"),AND(J599=1,I599=0)),"?IN_FOCUS",IF(J599&lt;=2,"?ACTIVATED",IF(J599&lt;&gt;"","?FAMILIAR",IF(F599="NEW",IF(ISNA(VLOOKUP(E599,#REF!,1,FALSE())),"?TYPE_IDENTIFIABLE","?REFERENTIAL"),"_")))))</f>
        <v/>
      </c>
      <c r="H599" s="23" t="str">
        <f t="shared" ca="1" si="47"/>
        <v/>
      </c>
      <c r="I599" s="24" t="str">
        <f>IF(OR(E599="",E599="!!!",F599="NEW"),"",INDEX(B$2:B598,-1+SUMPRODUCT(MAX(ROW(E$2:E598)*(E599=E$2:E598)))))</f>
        <v/>
      </c>
      <c r="J599" s="24" t="str">
        <f ca="1">IF(OR(E599="",E599="!!!",F599="NEW"),"",COUNTBLANK(OFFSET(A$1,,,SUMPRODUCT(MAX(ROW(E$2:E599)*(E599=E$2:E599)))))-COUNTBLANK(OFFSET(A$1,,,SUMPRODUCT(MAX(ROW(E$1:E598)*(E2=E$1:E598))))))</f>
        <v/>
      </c>
      <c r="K599" s="24" t="str">
        <f>IF(OR(E599="",E599="!!!",F599="NEW"),"",INDEX(J$1:J598,SUMPRODUCT(MAX(ROW(E$1:E598)*(E599=E$1:E598)))))</f>
        <v/>
      </c>
      <c r="L599" s="25"/>
    </row>
    <row r="600" spans="1:12" x14ac:dyDescent="0.3">
      <c r="A600" t="s">
        <v>235</v>
      </c>
      <c r="E600" s="20" t="str">
        <f t="shared" si="46"/>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47"/>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482</v>
      </c>
      <c r="B601" s="26" t="s">
        <v>177</v>
      </c>
      <c r="C601" s="26" t="s">
        <v>180</v>
      </c>
      <c r="D601" s="26" t="s">
        <v>181</v>
      </c>
      <c r="E601" s="20" t="s">
        <v>662</v>
      </c>
      <c r="F601" s="21" t="str">
        <f>IF(OR(E601="",E601="!!!"),"",IF(NOT(ISNA(VLOOKUP(E601,E$1:E600,1,FALSE()))),"OLD",IF(AND(E601&lt;&gt;"",E601&lt;&gt;"!!!"),"NEW","")))</f>
        <v>NEW</v>
      </c>
      <c r="G601" s="22" t="s">
        <v>696</v>
      </c>
      <c r="H601" s="23" t="str">
        <f t="shared" ca="1" si="47"/>
        <v/>
      </c>
      <c r="I601" s="24" t="str">
        <f>IF(OR(E601="",E601="!!!",F601="NEW"),"",INDEX(B$2:B600,-1+SUMPRODUCT(MAX(ROW(E$2:E600)*(E601=E$2:E600)))))</f>
        <v/>
      </c>
      <c r="J601" s="24" t="str">
        <f ca="1">IF(OR(E601="",E601="!!!",F601="NEW"),"",COUNTBLANK(OFFSET(A$1,,,SUMPRODUCT(MAX(ROW(E$2:E601)*(E601=E$2:E601)))))-COUNTBLANK(OFFSET(A$1,,,SUMPRODUCT(MAX(ROW(E$1:E600)*(E2=E$1:E600))))))</f>
        <v/>
      </c>
      <c r="K601" s="24" t="str">
        <f>IF(OR(E601="",E601="!!!",F601="NEW"),"",INDEX(J$1:J600,SUMPRODUCT(MAX(ROW(E$1:E600)*(E601=E$1:E600)))))</f>
        <v/>
      </c>
      <c r="L601" s="25"/>
    </row>
    <row r="602" spans="1:12" x14ac:dyDescent="0.3">
      <c r="A602" t="s">
        <v>235</v>
      </c>
      <c r="E602" s="20" t="str">
        <f t="shared" si="46"/>
        <v/>
      </c>
      <c r="F602" s="21" t="str">
        <f>IF(OR(E602="",E602="!!!"),"",IF(NOT(ISNA(VLOOKUP(E602,E$1:E601,1,FALSE()))),"OLD",IF(AND(E602&lt;&gt;"",E602&lt;&gt;"!!!"),"NEW","")))</f>
        <v/>
      </c>
      <c r="G602" s="22" t="str">
        <f>IF(OR(E602="",E602="!!!"),"",IF(OR(J602=0,AND(J602=1,K602=1),AND(J602=1,I602="SBJ"),AND(J602=1,I602=0)),"?IN_FOCUS",IF(J602&lt;=2,"?ACTIVATED",IF(J602&lt;&gt;"","?FAMILIAR",IF(F602="NEW",IF(ISNA(VLOOKUP(E602,#REF!,1,FALSE())),"?TYPE_IDENTIFIABLE","?REFERENTIAL"),"_")))))</f>
        <v/>
      </c>
      <c r="H602" s="23" t="str">
        <f t="shared" ca="1" si="47"/>
        <v/>
      </c>
      <c r="I602" s="24" t="str">
        <f>IF(OR(E602="",E602="!!!",F602="NEW"),"",INDEX(B$2:B601,-1+SUMPRODUCT(MAX(ROW(E$2:E601)*(E602=E$2:E601)))))</f>
        <v/>
      </c>
      <c r="J602" s="24" t="str">
        <f ca="1">IF(OR(E602="",E602="!!!",F602="NEW"),"",COUNTBLANK(OFFSET(A$1,,,SUMPRODUCT(MAX(ROW(E$2:E602)*(E602=E$2:E602)))))-COUNTBLANK(OFFSET(A$1,,,SUMPRODUCT(MAX(ROW(E$1:E601)*(E2=E$1:E601))))))</f>
        <v/>
      </c>
      <c r="K602" s="24" t="str">
        <f>IF(OR(E602="",E602="!!!",F602="NEW"),"",INDEX(J$1:J601,SUMPRODUCT(MAX(ROW(E$1:E601)*(E602=E$1:E601)))))</f>
        <v/>
      </c>
      <c r="L602" s="25"/>
    </row>
    <row r="603" spans="1:12" x14ac:dyDescent="0.3">
      <c r="A603" t="s">
        <v>483</v>
      </c>
      <c r="B603" s="26" t="s">
        <v>177</v>
      </c>
      <c r="C603" s="26" t="s">
        <v>166</v>
      </c>
      <c r="E603" s="20" t="str">
        <f t="shared" si="46"/>
        <v/>
      </c>
      <c r="F603" s="21" t="str">
        <f>IF(OR(E603="",E603="!!!"),"",IF(NOT(ISNA(VLOOKUP(E603,E$1:E602,1,FALSE()))),"OLD",IF(AND(E603&lt;&gt;"",E603&lt;&gt;"!!!"),"NEW","")))</f>
        <v/>
      </c>
      <c r="G603" s="22" t="str">
        <f>IF(OR(E603="",E603="!!!"),"",IF(OR(J603=0,AND(J603=1,K603=1),AND(J603=1,I603="SBJ"),AND(J603=1,I603=0)),"?IN_FOCUS",IF(J603&lt;=2,"?ACTIVATED",IF(J603&lt;&gt;"","?FAMILIAR",IF(F603="NEW",IF(ISNA(VLOOKUP(E603,#REF!,1,FALSE())),"?TYPE_IDENTIFIABLE","?REFERENTIAL"),"_")))))</f>
        <v/>
      </c>
      <c r="H603" s="23" t="str">
        <f t="shared" ca="1" si="47"/>
        <v/>
      </c>
      <c r="I603" s="24" t="str">
        <f>IF(OR(E603="",E603="!!!",F603="NEW"),"",INDEX(B$2:B602,-1+SUMPRODUCT(MAX(ROW(E$2:E602)*(E603=E$2:E602)))))</f>
        <v/>
      </c>
      <c r="J603" s="24" t="str">
        <f ca="1">IF(OR(E603="",E603="!!!",F603="NEW"),"",COUNTBLANK(OFFSET(A$1,,,SUMPRODUCT(MAX(ROW(E$2:E603)*(E603=E$2:E603)))))-COUNTBLANK(OFFSET(A$1,,,SUMPRODUCT(MAX(ROW(E$1:E602)*(E2=E$1:E602))))))</f>
        <v/>
      </c>
      <c r="K603" s="24" t="str">
        <f>IF(OR(E603="",E603="!!!",F603="NEW"),"",INDEX(J$1:J602,SUMPRODUCT(MAX(ROW(E$1:E602)*(E603=E$1:E602)))))</f>
        <v/>
      </c>
      <c r="L603" s="25"/>
    </row>
    <row r="604" spans="1:12" x14ac:dyDescent="0.3">
      <c r="A604" t="s">
        <v>291</v>
      </c>
      <c r="E604" s="20" t="str">
        <f t="shared" si="46"/>
        <v/>
      </c>
      <c r="F604" s="21" t="str">
        <f>IF(OR(E604="",E604="!!!"),"",IF(NOT(ISNA(VLOOKUP(E604,E$1:E603,1,FALSE()))),"OLD",IF(AND(E604&lt;&gt;"",E604&lt;&gt;"!!!"),"NEW","")))</f>
        <v/>
      </c>
      <c r="G604" s="22" t="str">
        <f>IF(OR(E604="",E604="!!!"),"",IF(OR(J604=0,AND(J604=1,K604=1),AND(J604=1,I604="SBJ"),AND(J604=1,I604=0)),"?IN_FOCUS",IF(J604&lt;=2,"?ACTIVATED",IF(J604&lt;&gt;"","?FAMILIAR",IF(F604="NEW",IF(ISNA(VLOOKUP(E604,#REF!,1,FALSE())),"?TYPE_IDENTIFIABLE","?REFERENTIAL"),"_")))))</f>
        <v/>
      </c>
      <c r="H604" s="23" t="str">
        <f t="shared" ca="1" si="47"/>
        <v/>
      </c>
      <c r="I604" s="24" t="str">
        <f>IF(OR(E604="",E604="!!!",F604="NEW"),"",INDEX(B$2:B603,-1+SUMPRODUCT(MAX(ROW(E$2:E603)*(E604=E$2:E603)))))</f>
        <v/>
      </c>
      <c r="J604" s="24" t="str">
        <f ca="1">IF(OR(E604="",E604="!!!",F604="NEW"),"",COUNTBLANK(OFFSET(A$1,,,SUMPRODUCT(MAX(ROW(E$2:E604)*(E604=E$2:E604)))))-COUNTBLANK(OFFSET(A$1,,,SUMPRODUCT(MAX(ROW(E$1:E603)*(E2=E$1:E603))))))</f>
        <v/>
      </c>
      <c r="K604" s="24" t="str">
        <f>IF(OR(E604="",E604="!!!",F604="NEW"),"",INDEX(J$1:J603,SUMPRODUCT(MAX(ROW(E$1:E603)*(E604=E$1:E603)))))</f>
        <v/>
      </c>
      <c r="L604" s="25"/>
    </row>
    <row r="605" spans="1:12" x14ac:dyDescent="0.3">
      <c r="A605" t="s">
        <v>198</v>
      </c>
      <c r="B605" s="26" t="s">
        <v>165</v>
      </c>
      <c r="C605" s="26" t="s">
        <v>180</v>
      </c>
      <c r="D605" s="26" t="s">
        <v>181</v>
      </c>
      <c r="E605" s="20" t="s">
        <v>609</v>
      </c>
      <c r="F605" s="21" t="str">
        <f>IF(OR(E605="",E605="!!!"),"",IF(NOT(ISNA(VLOOKUP(E605,E$1:E604,1,FALSE()))),"OLD",IF(AND(E605&lt;&gt;"",E605&lt;&gt;"!!!"),"NEW","")))</f>
        <v>OLD</v>
      </c>
      <c r="G605" s="22" t="s">
        <v>698</v>
      </c>
      <c r="H605" s="23" t="str">
        <f t="shared" ca="1" si="47"/>
        <v/>
      </c>
      <c r="I605" s="24" t="str">
        <f>IF(OR(E605="",E605="!!!",F605="NEW"),"",INDEX(B$2:B604,-1+SUMPRODUCT(MAX(ROW(E$2:E604)*(E605=E$2:E604)))))</f>
        <v>other_2</v>
      </c>
      <c r="J605" s="24">
        <f ca="1">IF(OR(E605="",E605="!!!",F605="NEW"),"",COUNTBLANK(OFFSET(A$1,,,SUMPRODUCT(MAX(ROW(E$2:E605)*(E605=E$2:E605)))))-COUNTBLANK(OFFSET(A$1,,,SUMPRODUCT(MAX(ROW(E$1:E604)*(E2=E$1:E604))))))</f>
        <v>0</v>
      </c>
      <c r="K605" s="24">
        <f ca="1">IF(OR(E605="",E605="!!!",F605="NEW"),"",INDEX(J$1:J604,SUMPRODUCT(MAX(ROW(E$1:E604)*(E605=E$1:E604)))))</f>
        <v>0</v>
      </c>
      <c r="L605" s="25"/>
    </row>
    <row r="606" spans="1:12" x14ac:dyDescent="0.3">
      <c r="A606" t="s">
        <v>484</v>
      </c>
      <c r="E606" s="20" t="str">
        <f t="shared" si="46"/>
        <v/>
      </c>
      <c r="F606" s="21" t="str">
        <f>IF(OR(E606="",E606="!!!"),"",IF(NOT(ISNA(VLOOKUP(E606,E$1:E605,1,FALSE()))),"OLD",IF(AND(E606&lt;&gt;"",E606&lt;&gt;"!!!"),"NEW","")))</f>
        <v/>
      </c>
      <c r="G606" s="22" t="str">
        <f>IF(OR(E606="",E606="!!!"),"",IF(OR(J606=0,AND(J606=1,K606=1),AND(J606=1,I606="SBJ"),AND(J606=1,I606=0)),"?IN_FOCUS",IF(J606&lt;=2,"?ACTIVATED",IF(J606&lt;&gt;"","?FAMILIAR",IF(F606="NEW",IF(ISNA(VLOOKUP(E606,#REF!,1,FALSE())),"?TYPE_IDENTIFIABLE","?REFERENTIAL"),"_")))))</f>
        <v/>
      </c>
      <c r="H606" s="23" t="str">
        <f t="shared" ca="1" si="47"/>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row>
    <row r="607" spans="1:12" x14ac:dyDescent="0.3">
      <c r="A607" t="s">
        <v>235</v>
      </c>
      <c r="E607" s="20" t="str">
        <f t="shared" si="46"/>
        <v/>
      </c>
      <c r="F607" s="21" t="str">
        <f>IF(OR(E607="",E607="!!!"),"",IF(NOT(ISNA(VLOOKUP(E607,E$1:E606,1,FALSE()))),"OLD",IF(AND(E607&lt;&gt;"",E607&lt;&gt;"!!!"),"NEW","")))</f>
        <v/>
      </c>
      <c r="G607" s="22" t="str">
        <f>IF(OR(E607="",E607="!!!"),"",IF(OR(J607=0,AND(J607=1,K607=1),AND(J607=1,I607="SBJ"),AND(J607=1,I607=0)),"?IN_FOCUS",IF(J607&lt;=2,"?ACTIVATED",IF(J607&lt;&gt;"","?FAMILIAR",IF(F607="NEW",IF(ISNA(VLOOKUP(E607,#REF!,1,FALSE())),"?TYPE_IDENTIFIABLE","?REFERENTIAL"),"_")))))</f>
        <v/>
      </c>
      <c r="H607" s="23" t="str">
        <f t="shared" ca="1" si="47"/>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8" spans="1:12" x14ac:dyDescent="0.3">
      <c r="A608" t="s">
        <v>485</v>
      </c>
      <c r="E608" s="20" t="str">
        <f t="shared" si="46"/>
        <v/>
      </c>
      <c r="F608" s="21" t="str">
        <f>IF(OR(E608="",E608="!!!"),"",IF(NOT(ISNA(VLOOKUP(E608,E$1:E607,1,FALSE()))),"OLD",IF(AND(E608&lt;&gt;"",E608&lt;&gt;"!!!"),"NEW","")))</f>
        <v/>
      </c>
      <c r="G608" s="22" t="str">
        <f>IF(OR(E608="",E608="!!!"),"",IF(OR(J608=0,AND(J608=1,K608=1),AND(J608=1,I608="SBJ"),AND(J608=1,I608=0)),"?IN_FOCUS",IF(J608&lt;=2,"?ACTIVATED",IF(J608&lt;&gt;"","?FAMILIAR",IF(F608="NEW",IF(ISNA(VLOOKUP(E608,#REF!,1,FALSE())),"?TYPE_IDENTIFIABLE","?REFERENTIAL"),"_")))))</f>
        <v/>
      </c>
      <c r="H608" s="23" t="str">
        <f t="shared" ca="1" si="47"/>
        <v/>
      </c>
      <c r="I608" s="24" t="str">
        <f>IF(OR(E608="",E608="!!!",F608="NEW"),"",INDEX(B$2:B607,-1+SUMPRODUCT(MAX(ROW(E$2:E607)*(E608=E$2:E607)))))</f>
        <v/>
      </c>
      <c r="J608" s="24" t="str">
        <f ca="1">IF(OR(E608="",E608="!!!",F608="NEW"),"",COUNTBLANK(OFFSET(A$1,,,SUMPRODUCT(MAX(ROW(E$2:E608)*(E608=E$2:E608)))))-COUNTBLANK(OFFSET(A$1,,,SUMPRODUCT(MAX(ROW(E$1:E607)*(E2=E$1:E607))))))</f>
        <v/>
      </c>
      <c r="K608" s="24" t="str">
        <f>IF(OR(E608="",E608="!!!",F608="NEW"),"",INDEX(J$1:J607,SUMPRODUCT(MAX(ROW(E$1:E607)*(E608=E$1:E607)))))</f>
        <v/>
      </c>
      <c r="L608" s="25"/>
    </row>
    <row r="609" spans="1:12" x14ac:dyDescent="0.3">
      <c r="A609" t="s">
        <v>301</v>
      </c>
      <c r="B609" s="26" t="s">
        <v>165</v>
      </c>
      <c r="C609" s="26" t="s">
        <v>215</v>
      </c>
      <c r="E609" s="20" t="str">
        <f t="shared" si="46"/>
        <v/>
      </c>
      <c r="F609" s="21" t="str">
        <f>IF(OR(E609="",E609="!!!"),"",IF(NOT(ISNA(VLOOKUP(E609,E$1:E608,1,FALSE()))),"OLD",IF(AND(E609&lt;&gt;"",E609&lt;&gt;"!!!"),"NEW","")))</f>
        <v/>
      </c>
      <c r="G609" s="22" t="str">
        <f>IF(OR(E609="",E609="!!!"),"",IF(OR(J609=0,AND(J609=1,K609=1),AND(J609=1,I609="SBJ"),AND(J609=1,I609=0)),"?IN_FOCUS",IF(J609&lt;=2,"?ACTIVATED",IF(J609&lt;&gt;"","?FAMILIAR",IF(F609="NEW",IF(ISNA(VLOOKUP(E609,#REF!,1,FALSE())),"?TYPE_IDENTIFIABLE","?REFERENTIAL"),"_")))))</f>
        <v/>
      </c>
      <c r="H609" s="23" t="str">
        <f t="shared" ca="1" si="47"/>
        <v/>
      </c>
      <c r="I609" s="24" t="str">
        <f>IF(OR(E609="",E609="!!!",F609="NEW"),"",INDEX(B$2:B608,-1+SUMPRODUCT(MAX(ROW(E$2:E608)*(E609=E$2:E608)))))</f>
        <v/>
      </c>
      <c r="J609" s="24" t="str">
        <f ca="1">IF(OR(E609="",E609="!!!",F609="NEW"),"",COUNTBLANK(OFFSET(A$1,,,SUMPRODUCT(MAX(ROW(E$2:E609)*(E609=E$2:E609)))))-COUNTBLANK(OFFSET(A$1,,,SUMPRODUCT(MAX(ROW(E$1:E608)*(E2=E$1:E608))))))</f>
        <v/>
      </c>
      <c r="K609" s="24" t="str">
        <f>IF(OR(E609="",E609="!!!",F609="NEW"),"",INDEX(J$1:J608,SUMPRODUCT(MAX(ROW(E$1:E608)*(E609=E$1:E608)))))</f>
        <v/>
      </c>
      <c r="L609" s="25"/>
    </row>
    <row r="610" spans="1:12" x14ac:dyDescent="0.3">
      <c r="A610" t="s">
        <v>302</v>
      </c>
      <c r="B610" s="26" t="s">
        <v>189</v>
      </c>
      <c r="C610" s="26" t="s">
        <v>166</v>
      </c>
      <c r="E610" s="20" t="str">
        <f t="shared" si="46"/>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47"/>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201</v>
      </c>
      <c r="E611" s="20" t="str">
        <f t="shared" si="46"/>
        <v/>
      </c>
      <c r="F611" s="21" t="str">
        <f>IF(OR(E611="",E611="!!!"),"",IF(NOT(ISNA(VLOOKUP(E611,E$1:E610,1,FALSE()))),"OLD",IF(AND(E611&lt;&gt;"",E611&lt;&gt;"!!!"),"NEW","")))</f>
        <v/>
      </c>
      <c r="G611" s="22" t="str">
        <f>IF(OR(E611="",E611="!!!"),"",IF(OR(J611=0,AND(J611=1,K611=1),AND(J611=1,I611="SBJ"),AND(J611=1,I611=0)),"?IN_FOCUS",IF(J611&lt;=2,"?ACTIVATED",IF(J611&lt;&gt;"","?FAMILIAR",IF(F611="NEW",IF(ISNA(VLOOKUP(E611,#REF!,1,FALSE())),"?TYPE_IDENTIFIABLE","?REFERENTIAL"),"_")))))</f>
        <v/>
      </c>
      <c r="H611" s="23" t="str">
        <f t="shared" ca="1" si="47"/>
        <v/>
      </c>
      <c r="I611" s="24" t="str">
        <f>IF(OR(E611="",E611="!!!",F611="NEW"),"",INDEX(B$2:B610,-1+SUMPRODUCT(MAX(ROW(E$2:E610)*(E611=E$2:E610)))))</f>
        <v/>
      </c>
      <c r="J611" s="24" t="str">
        <f ca="1">IF(OR(E611="",E611="!!!",F611="NEW"),"",COUNTBLANK(OFFSET(A$1,,,SUMPRODUCT(MAX(ROW(E$2:E611)*(E611=E$2:E611)))))-COUNTBLANK(OFFSET(A$1,,,SUMPRODUCT(MAX(ROW(E$1:E610)*(E2=E$1:E610))))))</f>
        <v/>
      </c>
      <c r="K611" s="24" t="str">
        <f>IF(OR(E611="",E611="!!!",F611="NEW"),"",INDEX(J$1:J610,SUMPRODUCT(MAX(ROW(E$1:E610)*(E611=E$1:E610)))))</f>
        <v/>
      </c>
      <c r="L611" s="25"/>
    </row>
    <row r="613" spans="1:12" x14ac:dyDescent="0.3">
      <c r="A613" t="s">
        <v>486</v>
      </c>
    </row>
    <row r="614" spans="1:12" x14ac:dyDescent="0.3">
      <c r="A614" t="s">
        <v>335</v>
      </c>
      <c r="B614" s="26" t="s">
        <v>185</v>
      </c>
      <c r="C614" s="26" t="s">
        <v>180</v>
      </c>
      <c r="D614" s="26" t="s">
        <v>181</v>
      </c>
      <c r="E614" s="20" t="s">
        <v>637</v>
      </c>
      <c r="F614" s="21" t="str">
        <f>IF(OR(E614="",E614="!!!"),"",IF(NOT(ISNA(VLOOKUP(E614,E$1:E613,1,FALSE()))),"OLD",IF(AND(E614&lt;&gt;"",E614&lt;&gt;"!!!"),"NEW","")))</f>
        <v>OLD</v>
      </c>
      <c r="G614" s="22" t="s">
        <v>697</v>
      </c>
      <c r="H614" s="23" t="s">
        <v>158</v>
      </c>
      <c r="I614" s="24" t="str">
        <f>IF(OR(E614="",E614="!!!",F614="NEW"),"",INDEX(B$2:B613,-1+SUMPRODUCT(MAX(ROW(E$2:E613)*(E614=E$2:E613)))))</f>
        <v>other</v>
      </c>
      <c r="J614" s="24">
        <f ca="1">IF(OR(E614="",E614="!!!",F614="NEW"),"",COUNTBLANK(OFFSET(A$1,,,SUMPRODUCT(MAX(ROW(E$2:E614)*(E614=E$2:E614)))))-COUNTBLANK(OFFSET(A$1,,,SUMPRODUCT(MAX(ROW(E$1:E613)*(E2=E$1:E613))))))</f>
        <v>0</v>
      </c>
      <c r="K614" s="24">
        <f ca="1">IF(OR(E614="",E614="!!!",F614="NEW"),"",INDEX(J$1:J613,SUMPRODUCT(MAX(ROW(E$1:E613)*(E614=E$1:E613)))))</f>
        <v>0</v>
      </c>
      <c r="L614" s="25"/>
    </row>
    <row r="615" spans="1:12" x14ac:dyDescent="0.3">
      <c r="A615" t="s">
        <v>278</v>
      </c>
      <c r="E615" s="20" t="str">
        <f t="shared" ref="E615:E628" si="48">IF(D615="?OLD","!!!","")</f>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ref="H615:H628" ca="1" si="49">IF(J615&lt;&gt;1,"",IF(I615="SBJ","CB","?"))</f>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167</v>
      </c>
      <c r="E616" s="20" t="str">
        <f t="shared" si="48"/>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49"/>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240</v>
      </c>
      <c r="E617" s="20" t="str">
        <f t="shared" si="48"/>
        <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49"/>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3">
      <c r="A618" t="s">
        <v>230</v>
      </c>
      <c r="E618" s="20" t="str">
        <f t="shared" si="48"/>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49"/>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487</v>
      </c>
      <c r="B619" s="26" t="s">
        <v>169</v>
      </c>
      <c r="C619" s="26" t="s">
        <v>194</v>
      </c>
      <c r="D619" s="26" t="s">
        <v>181</v>
      </c>
      <c r="E619" s="20" t="s">
        <v>689</v>
      </c>
      <c r="F619" s="21" t="str">
        <f>IF(OR(E619="",E619="!!!"),"",IF(NOT(ISNA(VLOOKUP(E619,E$1:E618,1,FALSE()))),"OLD",IF(AND(E619&lt;&gt;"",E619&lt;&gt;"!!!"),"NEW","")))</f>
        <v>NEW</v>
      </c>
      <c r="G619" s="22" t="s">
        <v>696</v>
      </c>
      <c r="H619" s="23" t="str">
        <f t="shared" ca="1" si="49"/>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0" spans="1:12" x14ac:dyDescent="0.3">
      <c r="A620" t="s">
        <v>488</v>
      </c>
      <c r="E620" s="20" t="str">
        <f t="shared" si="48"/>
        <v/>
      </c>
      <c r="F620" s="21" t="str">
        <f>IF(OR(E620="",E620="!!!"),"",IF(NOT(ISNA(VLOOKUP(E620,E$1:E619,1,FALSE()))),"OLD",IF(AND(E620&lt;&gt;"",E620&lt;&gt;"!!!"),"NEW","")))</f>
        <v/>
      </c>
      <c r="G620" s="22" t="str">
        <f>IF(OR(E620="",E620="!!!"),"",IF(OR(J620=0,AND(J620=1,K620=1),AND(J620=1,I620="SBJ"),AND(J620=1,I620=0)),"?IN_FOCUS",IF(J620&lt;=2,"?ACTIVATED",IF(J620&lt;&gt;"","?FAMILIAR",IF(F620="NEW",IF(ISNA(VLOOKUP(E620,#REF!,1,FALSE())),"?TYPE_IDENTIFIABLE","?REFERENTIAL"),"_")))))</f>
        <v/>
      </c>
      <c r="H620" s="23" t="str">
        <f t="shared" ca="1" si="49"/>
        <v/>
      </c>
      <c r="I620" s="24" t="str">
        <f>IF(OR(E620="",E620="!!!",F620="NEW"),"",INDEX(B$2:B619,-1+SUMPRODUCT(MAX(ROW(E$2:E619)*(E620=E$2:E619)))))</f>
        <v/>
      </c>
      <c r="J620" s="24" t="str">
        <f ca="1">IF(OR(E620="",E620="!!!",F620="NEW"),"",COUNTBLANK(OFFSET(A$1,,,SUMPRODUCT(MAX(ROW(E$2:E620)*(E620=E$2:E620)))))-COUNTBLANK(OFFSET(A$1,,,SUMPRODUCT(MAX(ROW(E$1:E619)*(E2=E$1:E619))))))</f>
        <v/>
      </c>
      <c r="K620" s="24" t="str">
        <f>IF(OR(E620="",E620="!!!",F620="NEW"),"",INDEX(J$1:J619,SUMPRODUCT(MAX(ROW(E$1:E619)*(E620=E$1:E619)))))</f>
        <v/>
      </c>
      <c r="L620" s="25"/>
    </row>
    <row r="621" spans="1:12" x14ac:dyDescent="0.3">
      <c r="A621" t="s">
        <v>270</v>
      </c>
      <c r="E621" s="20" t="str">
        <f t="shared" si="48"/>
        <v/>
      </c>
      <c r="F621" s="21" t="str">
        <f>IF(OR(E621="",E621="!!!"),"",IF(NOT(ISNA(VLOOKUP(E621,E$1:E620,1,FALSE()))),"OLD",IF(AND(E621&lt;&gt;"",E621&lt;&gt;"!!!"),"NEW","")))</f>
        <v/>
      </c>
      <c r="G621" s="22" t="str">
        <f>IF(OR(E621="",E621="!!!"),"",IF(OR(J621=0,AND(J621=1,K621=1),AND(J621=1,I621="SBJ"),AND(J621=1,I621=0)),"?IN_FOCUS",IF(J621&lt;=2,"?ACTIVATED",IF(J621&lt;&gt;"","?FAMILIAR",IF(F621="NEW",IF(ISNA(VLOOKUP(E621,#REF!,1,FALSE())),"?TYPE_IDENTIFIABLE","?REFERENTIAL"),"_")))))</f>
        <v/>
      </c>
      <c r="H621" s="23" t="str">
        <f t="shared" ca="1" si="49"/>
        <v/>
      </c>
      <c r="I621" s="24" t="str">
        <f>IF(OR(E621="",E621="!!!",F621="NEW"),"",INDEX(B$2:B620,-1+SUMPRODUCT(MAX(ROW(E$2:E620)*(E621=E$2:E620)))))</f>
        <v/>
      </c>
      <c r="J621" s="24" t="str">
        <f ca="1">IF(OR(E621="",E621="!!!",F621="NEW"),"",COUNTBLANK(OFFSET(A$1,,,SUMPRODUCT(MAX(ROW(E$2:E621)*(E621=E$2:E621)))))-COUNTBLANK(OFFSET(A$1,,,SUMPRODUCT(MAX(ROW(E$1:E620)*(E2=E$1:E620))))))</f>
        <v/>
      </c>
      <c r="K621" s="24" t="str">
        <f>IF(OR(E621="",E621="!!!",F621="NEW"),"",INDEX(J$1:J620,SUMPRODUCT(MAX(ROW(E$1:E620)*(E621=E$1:E620)))))</f>
        <v/>
      </c>
      <c r="L621" s="25"/>
    </row>
    <row r="622" spans="1:12" x14ac:dyDescent="0.3">
      <c r="A622" t="s">
        <v>164</v>
      </c>
      <c r="B622" s="26" t="s">
        <v>177</v>
      </c>
      <c r="C622" s="26" t="s">
        <v>194</v>
      </c>
      <c r="D622" s="26" t="s">
        <v>181</v>
      </c>
      <c r="E622" s="20" t="s">
        <v>690</v>
      </c>
      <c r="F622" s="21" t="str">
        <f>IF(OR(E622="",E622="!!!"),"",IF(NOT(ISNA(VLOOKUP(E622,E$1:E621,1,FALSE()))),"OLD",IF(AND(E622&lt;&gt;"",E622&lt;&gt;"!!!"),"NEW","")))</f>
        <v>OLD</v>
      </c>
      <c r="G622" s="22" t="s">
        <v>698</v>
      </c>
      <c r="H622" s="23" t="str">
        <f t="shared" ca="1" si="49"/>
        <v/>
      </c>
      <c r="I622" s="24" t="str">
        <f>IF(OR(E622="",E622="!!!",F622="NEW"),"",INDEX(B$2:B621,-1+SUMPRODUCT(MAX(ROW(E$2:E621)*(E622=E$2:E621)))))</f>
        <v>SBJ_3</v>
      </c>
      <c r="J622" s="24">
        <f ca="1">IF(OR(E622="",E622="!!!",F622="NEW"),"",COUNTBLANK(OFFSET(A$1,,,SUMPRODUCT(MAX(ROW(E$2:E622)*(E622=E$2:E622)))))-COUNTBLANK(OFFSET(A$1,,,SUMPRODUCT(MAX(ROW(E$1:E621)*(E2=E$1:E621))))))</f>
        <v>0</v>
      </c>
      <c r="K622" s="24">
        <f ca="1">IF(OR(E622="",E622="!!!",F622="NEW"),"",INDEX(J$1:J621,SUMPRODUCT(MAX(ROW(E$1:E621)*(E622=E$1:E621)))))</f>
        <v>0</v>
      </c>
      <c r="L622" s="25"/>
    </row>
    <row r="623" spans="1:12" x14ac:dyDescent="0.3">
      <c r="A623" t="s">
        <v>489</v>
      </c>
      <c r="E623" s="20" t="str">
        <f t="shared" si="48"/>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ca="1" si="49"/>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490</v>
      </c>
      <c r="B624" s="26" t="s">
        <v>189</v>
      </c>
      <c r="C624" s="26" t="s">
        <v>180</v>
      </c>
      <c r="D624" s="26" t="s">
        <v>181</v>
      </c>
      <c r="E624" s="20" t="s">
        <v>663</v>
      </c>
      <c r="F624" s="21" t="s">
        <v>608</v>
      </c>
      <c r="G624" s="22"/>
      <c r="H624" s="23" t="str">
        <f t="shared" ca="1" si="49"/>
        <v/>
      </c>
      <c r="I624" s="24" t="e">
        <f>IF(OR(E624="",E624="!!!",F624="NEW"),"",INDEX(B$2:B623,-1+SUMPRODUCT(MAX(ROW(E$2:E623)*(E624=E$2:E623)))))</f>
        <v>#VALUE!</v>
      </c>
      <c r="J624" s="24">
        <f ca="1">IF(OR(E624="",E624="!!!",F624="NEW"),"",COUNTBLANK(OFFSET(A$1,,,SUMPRODUCT(MAX(ROW(E$2:E624)*(E624=E$2:E624)))))-COUNTBLANK(OFFSET(A$1,,,SUMPRODUCT(MAX(ROW(E$1:E623)*(E2=E$1:E623))))))</f>
        <v>0</v>
      </c>
      <c r="K624" s="24" t="e">
        <f>IF(OR(E624="",E624="!!!",F624="NEW"),"",INDEX(J$1:J623,SUMPRODUCT(MAX(ROW(E$1:E623)*(E624=E$1:E623)))))</f>
        <v>#VALUE!</v>
      </c>
      <c r="L624" s="25"/>
    </row>
    <row r="625" spans="1:12" x14ac:dyDescent="0.3">
      <c r="A625" t="s">
        <v>491</v>
      </c>
      <c r="E625" s="20" t="str">
        <f t="shared" si="48"/>
        <v/>
      </c>
      <c r="F625" s="21" t="str">
        <f>IF(OR(E625="",E625="!!!"),"",IF(NOT(ISNA(VLOOKUP(E625,E$1:E624,1,FALSE()))),"OLD",IF(AND(E625&lt;&gt;"",E625&lt;&gt;"!!!"),"NEW","")))</f>
        <v/>
      </c>
      <c r="G625" s="22" t="str">
        <f>IF(OR(E625="",E625="!!!"),"",IF(OR(J625=0,AND(J625=1,K625=1),AND(J625=1,I625="SBJ"),AND(J625=1,I625=0)),"?IN_FOCUS",IF(J625&lt;=2,"?ACTIVATED",IF(J625&lt;&gt;"","?FAMILIAR",IF(F625="NEW",IF(ISNA(VLOOKUP(E625,#REF!,1,FALSE())),"?TYPE_IDENTIFIABLE","?REFERENTIAL"),"_")))))</f>
        <v/>
      </c>
      <c r="H625" s="23" t="str">
        <f t="shared" ca="1" si="49"/>
        <v/>
      </c>
      <c r="I625" s="24" t="str">
        <f>IF(OR(E625="",E625="!!!",F625="NEW"),"",INDEX(B$2:B624,-1+SUMPRODUCT(MAX(ROW(E$2:E624)*(E625=E$2:E624)))))</f>
        <v/>
      </c>
      <c r="J625" s="24" t="str">
        <f ca="1">IF(OR(E625="",E625="!!!",F625="NEW"),"",COUNTBLANK(OFFSET(A$1,,,SUMPRODUCT(MAX(ROW(E$2:E625)*(E625=E$2:E625)))))-COUNTBLANK(OFFSET(A$1,,,SUMPRODUCT(MAX(ROW(E$1:E624)*(E2=E$1:E624))))))</f>
        <v/>
      </c>
      <c r="K625" s="24" t="str">
        <f>IF(OR(E625="",E625="!!!",F625="NEW"),"",INDEX(J$1:J624,SUMPRODUCT(MAX(ROW(E$1:E624)*(E625=E$1:E624)))))</f>
        <v/>
      </c>
      <c r="L625" s="25"/>
    </row>
    <row r="626" spans="1:12" x14ac:dyDescent="0.3">
      <c r="A626" t="s">
        <v>492</v>
      </c>
      <c r="E626" s="20" t="str">
        <f t="shared" si="48"/>
        <v/>
      </c>
      <c r="F626" s="21" t="str">
        <f>IF(OR(E626="",E626="!!!"),"",IF(NOT(ISNA(VLOOKUP(E626,E$1:E625,1,FALSE()))),"OLD",IF(AND(E626&lt;&gt;"",E626&lt;&gt;"!!!"),"NEW","")))</f>
        <v/>
      </c>
      <c r="G626" s="22" t="str">
        <f>IF(OR(E626="",E626="!!!"),"",IF(OR(J626=0,AND(J626=1,K626=1),AND(J626=1,I626="SBJ"),AND(J626=1,I626=0)),"?IN_FOCUS",IF(J626&lt;=2,"?ACTIVATED",IF(J626&lt;&gt;"","?FAMILIAR",IF(F626="NEW",IF(ISNA(VLOOKUP(E626,#REF!,1,FALSE())),"?TYPE_IDENTIFIABLE","?REFERENTIAL"),"_")))))</f>
        <v/>
      </c>
      <c r="H626" s="23" t="str">
        <f t="shared" ca="1" si="49"/>
        <v/>
      </c>
      <c r="I626" s="24" t="str">
        <f>IF(OR(E626="",E626="!!!",F626="NEW"),"",INDEX(B$2:B625,-1+SUMPRODUCT(MAX(ROW(E$2:E625)*(E626=E$2:E625)))))</f>
        <v/>
      </c>
      <c r="J626" s="24" t="str">
        <f ca="1">IF(OR(E626="",E626="!!!",F626="NEW"),"",COUNTBLANK(OFFSET(A$1,,,SUMPRODUCT(MAX(ROW(E$2:E626)*(E626=E$2:E626)))))-COUNTBLANK(OFFSET(A$1,,,SUMPRODUCT(MAX(ROW(E$1:E625)*(E2=E$1:E625))))))</f>
        <v/>
      </c>
      <c r="K626" s="24" t="str">
        <f>IF(OR(E626="",E626="!!!",F626="NEW"),"",INDEX(J$1:J625,SUMPRODUCT(MAX(ROW(E$1:E625)*(E626=E$1:E625)))))</f>
        <v/>
      </c>
      <c r="L626" s="25"/>
    </row>
    <row r="627" spans="1:12" x14ac:dyDescent="0.3">
      <c r="A627" t="s">
        <v>252</v>
      </c>
      <c r="E627" s="20" t="str">
        <f t="shared" si="48"/>
        <v/>
      </c>
      <c r="F627" s="21" t="str">
        <f>IF(OR(E627="",E627="!!!"),"",IF(NOT(ISNA(VLOOKUP(E627,E$1:E626,1,FALSE()))),"OLD",IF(AND(E627&lt;&gt;"",E627&lt;&gt;"!!!"),"NEW","")))</f>
        <v/>
      </c>
      <c r="G627" s="22" t="str">
        <f>IF(OR(E627="",E627="!!!"),"",IF(OR(J627=0,AND(J627=1,K627=1),AND(J627=1,I627="SBJ"),AND(J627=1,I627=0)),"?IN_FOCUS",IF(J627&lt;=2,"?ACTIVATED",IF(J627&lt;&gt;"","?FAMILIAR",IF(F627="NEW",IF(ISNA(VLOOKUP(E627,#REF!,1,FALSE())),"?TYPE_IDENTIFIABLE","?REFERENTIAL"),"_")))))</f>
        <v/>
      </c>
      <c r="H627" s="23" t="str">
        <f t="shared" ca="1" si="49"/>
        <v/>
      </c>
      <c r="I627" s="24" t="str">
        <f>IF(OR(E627="",E627="!!!",F627="NEW"),"",INDEX(B$2:B626,-1+SUMPRODUCT(MAX(ROW(E$2:E626)*(E627=E$2:E626)))))</f>
        <v/>
      </c>
      <c r="J627" s="24" t="str">
        <f ca="1">IF(OR(E627="",E627="!!!",F627="NEW"),"",COUNTBLANK(OFFSET(A$1,,,SUMPRODUCT(MAX(ROW(E$2:E627)*(E627=E$2:E627)))))-COUNTBLANK(OFFSET(A$1,,,SUMPRODUCT(MAX(ROW(E$1:E626)*(E2=E$1:E626))))))</f>
        <v/>
      </c>
      <c r="K627" s="24" t="str">
        <f>IF(OR(E627="",E627="!!!",F627="NEW"),"",INDEX(J$1:J626,SUMPRODUCT(MAX(ROW(E$1:E626)*(E627=E$1:E626)))))</f>
        <v/>
      </c>
      <c r="L627" s="25"/>
    </row>
    <row r="628" spans="1:12" x14ac:dyDescent="0.3">
      <c r="A628" t="s">
        <v>201</v>
      </c>
      <c r="E628" s="20" t="str">
        <f t="shared" si="48"/>
        <v/>
      </c>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ca="1" si="49"/>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row>
    <row r="630" spans="1:12" x14ac:dyDescent="0.3">
      <c r="A630" t="s">
        <v>493</v>
      </c>
    </row>
    <row r="631" spans="1:12" x14ac:dyDescent="0.3">
      <c r="A631" t="s">
        <v>494</v>
      </c>
      <c r="E631" s="20" t="str">
        <f t="shared" ref="E631:E657" si="50">IF(D631="?OLD","!!!","")</f>
        <v/>
      </c>
      <c r="F631" s="21" t="str">
        <f>IF(OR(E631="",E631="!!!"),"",IF(NOT(ISNA(VLOOKUP(E631,E$1:E630,1,FALSE()))),"OLD",IF(AND(E631&lt;&gt;"",E631&lt;&gt;"!!!"),"NEW","")))</f>
        <v/>
      </c>
      <c r="G631" s="22" t="str">
        <f>IF(OR(E631="",E631="!!!"),"",IF(OR(J631=0,AND(J631=1,K631=1),AND(J631=1,I631="SBJ"),AND(J631=1,I631=0)),"?IN_FOCUS",IF(J631&lt;=2,"?ACTIVATED",IF(J631&lt;&gt;"","?FAMILIAR",IF(F631="NEW",IF(ISNA(VLOOKUP(E631,#REF!,1,FALSE())),"?TYPE_IDENTIFIABLE","?REFERENTIAL"),"_")))))</f>
        <v/>
      </c>
      <c r="H631" s="23" t="str">
        <f t="shared" ref="H631:H657" ca="1" si="51">IF(J631&lt;&gt;1,"",IF(I631="SBJ","CB","?"))</f>
        <v/>
      </c>
      <c r="I631" s="24" t="str">
        <f>IF(OR(E631="",E631="!!!",F631="NEW"),"",INDEX(B$2:B630,-1+SUMPRODUCT(MAX(ROW(E$2:E630)*(E631=E$2:E630)))))</f>
        <v/>
      </c>
      <c r="J631" s="24" t="str">
        <f ca="1">IF(OR(E631="",E631="!!!",F631="NEW"),"",COUNTBLANK(OFFSET(A$1,,,SUMPRODUCT(MAX(ROW(E$2:E631)*(E631=E$2:E631)))))-COUNTBLANK(OFFSET(A$1,,,SUMPRODUCT(MAX(ROW(E$1:E630)*(E2=E$1:E630))))))</f>
        <v/>
      </c>
      <c r="K631" s="24" t="str">
        <f>IF(OR(E631="",E631="!!!",F631="NEW"),"",INDEX(J$1:J630,SUMPRODUCT(MAX(ROW(E$1:E630)*(E631=E$1:E630)))))</f>
        <v/>
      </c>
      <c r="L631" s="25"/>
    </row>
    <row r="632" spans="1:12" x14ac:dyDescent="0.3">
      <c r="A632" t="s">
        <v>245</v>
      </c>
      <c r="B632" s="26" t="s">
        <v>185</v>
      </c>
      <c r="C632" s="26" t="s">
        <v>194</v>
      </c>
      <c r="D632" s="26" t="s">
        <v>181</v>
      </c>
      <c r="E632" s="20" t="s">
        <v>644</v>
      </c>
      <c r="F632" s="21" t="str">
        <f>IF(OR(E632="",E632="!!!"),"",IF(NOT(ISNA(VLOOKUP(E632,E$1:E631,1,FALSE()))),"OLD",IF(AND(E632&lt;&gt;"",E632&lt;&gt;"!!!"),"NEW","")))</f>
        <v>OLD</v>
      </c>
      <c r="G632" s="22" t="s">
        <v>696</v>
      </c>
      <c r="H632" s="23" t="str">
        <f t="shared" ca="1" si="51"/>
        <v/>
      </c>
      <c r="I632" s="24" t="str">
        <f>IF(OR(E632="",E632="!!!",F632="NEW"),"",INDEX(B$2:B631,-1+SUMPRODUCT(MAX(ROW(E$2:E631)*(E632=E$2:E631)))))</f>
        <v>SBJ_4</v>
      </c>
      <c r="J632" s="24">
        <f ca="1">IF(OR(E632="",E632="!!!",F632="NEW"),"",COUNTBLANK(OFFSET(A$1,,,SUMPRODUCT(MAX(ROW(E$2:E632)*(E632=E$2:E632)))))-COUNTBLANK(OFFSET(A$1,,,SUMPRODUCT(MAX(ROW(E$1:E631)*(E2=E$1:E631))))))</f>
        <v>0</v>
      </c>
      <c r="K632" s="24">
        <f ca="1">IF(OR(E632="",E632="!!!",F632="NEW"),"",INDEX(J$1:J631,SUMPRODUCT(MAX(ROW(E$1:E631)*(E632=E$1:E631)))))</f>
        <v>0</v>
      </c>
      <c r="L632" s="25"/>
    </row>
    <row r="633" spans="1:12" x14ac:dyDescent="0.3">
      <c r="A633" t="s">
        <v>495</v>
      </c>
      <c r="E633" s="20" t="str">
        <f t="shared" si="50"/>
        <v/>
      </c>
      <c r="F633" s="21" t="str">
        <f>IF(OR(E633="",E633="!!!"),"",IF(NOT(ISNA(VLOOKUP(E633,E$1:E632,1,FALSE()))),"OLD",IF(AND(E633&lt;&gt;"",E633&lt;&gt;"!!!"),"NEW","")))</f>
        <v/>
      </c>
      <c r="G633" s="22" t="str">
        <f>IF(OR(E633="",E633="!!!"),"",IF(OR(J633=0,AND(J633=1,K633=1),AND(J633=1,I633="SBJ"),AND(J633=1,I633=0)),"?IN_FOCUS",IF(J633&lt;=2,"?ACTIVATED",IF(J633&lt;&gt;"","?FAMILIAR",IF(F633="NEW",IF(ISNA(VLOOKUP(E633,#REF!,1,FALSE())),"?TYPE_IDENTIFIABLE","?REFERENTIAL"),"_")))))</f>
        <v/>
      </c>
      <c r="H633" s="23" t="str">
        <f t="shared" ca="1" si="51"/>
        <v/>
      </c>
      <c r="I633" s="24" t="str">
        <f>IF(OR(E633="",E633="!!!",F633="NEW"),"",INDEX(B$2:B632,-1+SUMPRODUCT(MAX(ROW(E$2:E632)*(E633=E$2:E632)))))</f>
        <v/>
      </c>
      <c r="J633" s="24" t="str">
        <f ca="1">IF(OR(E633="",E633="!!!",F633="NEW"),"",COUNTBLANK(OFFSET(A$1,,,SUMPRODUCT(MAX(ROW(E$2:E633)*(E633=E$2:E633)))))-COUNTBLANK(OFFSET(A$1,,,SUMPRODUCT(MAX(ROW(E$1:E632)*(E2=E$1:E632))))))</f>
        <v/>
      </c>
      <c r="K633" s="24" t="str">
        <f>IF(OR(E633="",E633="!!!",F633="NEW"),"",INDEX(J$1:J632,SUMPRODUCT(MAX(ROW(E$1:E632)*(E633=E$1:E632)))))</f>
        <v/>
      </c>
      <c r="L633" s="25"/>
    </row>
    <row r="634" spans="1:12" x14ac:dyDescent="0.3">
      <c r="A634" t="s">
        <v>196</v>
      </c>
      <c r="E634" s="20" t="str">
        <f t="shared" si="50"/>
        <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t="shared" ca="1" si="51"/>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5" spans="1:12" x14ac:dyDescent="0.3">
      <c r="A635" t="s">
        <v>167</v>
      </c>
      <c r="E635" s="20" t="str">
        <f t="shared" si="50"/>
        <v/>
      </c>
      <c r="F635" s="21" t="str">
        <f>IF(OR(E635="",E635="!!!"),"",IF(NOT(ISNA(VLOOKUP(E635,E$1:E634,1,FALSE()))),"OLD",IF(AND(E635&lt;&gt;"",E635&lt;&gt;"!!!"),"NEW","")))</f>
        <v/>
      </c>
      <c r="G635" s="22" t="str">
        <f>IF(OR(E635="",E635="!!!"),"",IF(OR(J635=0,AND(J635=1,K635=1),AND(J635=1,I635="SBJ"),AND(J635=1,I635=0)),"?IN_FOCUS",IF(J635&lt;=2,"?ACTIVATED",IF(J635&lt;&gt;"","?FAMILIAR",IF(F635="NEW",IF(ISNA(VLOOKUP(E635,#REF!,1,FALSE())),"?TYPE_IDENTIFIABLE","?REFERENTIAL"),"_")))))</f>
        <v/>
      </c>
      <c r="H635" s="23" t="str">
        <f t="shared" ca="1" si="51"/>
        <v/>
      </c>
      <c r="I635" s="24" t="str">
        <f>IF(OR(E635="",E635="!!!",F635="NEW"),"",INDEX(B$2:B634,-1+SUMPRODUCT(MAX(ROW(E$2:E634)*(E635=E$2:E634)))))</f>
        <v/>
      </c>
      <c r="J635" s="24" t="str">
        <f ca="1">IF(OR(E635="",E635="!!!",F635="NEW"),"",COUNTBLANK(OFFSET(A$1,,,SUMPRODUCT(MAX(ROW(E$2:E635)*(E635=E$2:E635)))))-COUNTBLANK(OFFSET(A$1,,,SUMPRODUCT(MAX(ROW(E$1:E634)*(E2=E$1:E634))))))</f>
        <v/>
      </c>
      <c r="K635" s="24" t="str">
        <f>IF(OR(E635="",E635="!!!",F635="NEW"),"",INDEX(J$1:J634,SUMPRODUCT(MAX(ROW(E$1:E634)*(E635=E$1:E634)))))</f>
        <v/>
      </c>
      <c r="L635" s="25"/>
    </row>
    <row r="636" spans="1:12" x14ac:dyDescent="0.3">
      <c r="A636" t="s">
        <v>240</v>
      </c>
      <c r="E636" s="20" t="str">
        <f t="shared" si="50"/>
        <v/>
      </c>
      <c r="F636" s="21" t="str">
        <f>IF(OR(E636="",E636="!!!"),"",IF(NOT(ISNA(VLOOKUP(E636,E$1:E635,1,FALSE()))),"OLD",IF(AND(E636&lt;&gt;"",E636&lt;&gt;"!!!"),"NEW","")))</f>
        <v/>
      </c>
      <c r="G636" s="22" t="str">
        <f>IF(OR(E636="",E636="!!!"),"",IF(OR(J636=0,AND(J636=1,K636=1),AND(J636=1,I636="SBJ"),AND(J636=1,I636=0)),"?IN_FOCUS",IF(J636&lt;=2,"?ACTIVATED",IF(J636&lt;&gt;"","?FAMILIAR",IF(F636="NEW",IF(ISNA(VLOOKUP(E636,#REF!,1,FALSE())),"?TYPE_IDENTIFIABLE","?REFERENTIAL"),"_")))))</f>
        <v/>
      </c>
      <c r="H636" s="23" t="str">
        <f t="shared" ca="1" si="51"/>
        <v/>
      </c>
      <c r="I636" s="24" t="str">
        <f>IF(OR(E636="",E636="!!!",F636="NEW"),"",INDEX(B$2:B635,-1+SUMPRODUCT(MAX(ROW(E$2:E635)*(E636=E$2:E635)))))</f>
        <v/>
      </c>
      <c r="J636" s="24" t="str">
        <f ca="1">IF(OR(E636="",E636="!!!",F636="NEW"),"",COUNTBLANK(OFFSET(A$1,,,SUMPRODUCT(MAX(ROW(E$2:E636)*(E636=E$2:E636)))))-COUNTBLANK(OFFSET(A$1,,,SUMPRODUCT(MAX(ROW(E$1:E635)*(E2=E$1:E635))))))</f>
        <v/>
      </c>
      <c r="K636" s="24" t="str">
        <f>IF(OR(E636="",E636="!!!",F636="NEW"),"",INDEX(J$1:J635,SUMPRODUCT(MAX(ROW(E$1:E635)*(E636=E$1:E635)))))</f>
        <v/>
      </c>
      <c r="L636" s="25"/>
    </row>
    <row r="637" spans="1:12" x14ac:dyDescent="0.3">
      <c r="A637" t="s">
        <v>473</v>
      </c>
      <c r="E637" s="20" t="str">
        <f t="shared" si="50"/>
        <v/>
      </c>
      <c r="F637" s="21" t="str">
        <f>IF(OR(E637="",E637="!!!"),"",IF(NOT(ISNA(VLOOKUP(E637,E$1:E636,1,FALSE()))),"OLD",IF(AND(E637&lt;&gt;"",E637&lt;&gt;"!!!"),"NEW","")))</f>
        <v/>
      </c>
      <c r="G637" s="22" t="str">
        <f>IF(OR(E637="",E637="!!!"),"",IF(OR(J637=0,AND(J637=1,K637=1),AND(J637=1,I637="SBJ"),AND(J637=1,I637=0)),"?IN_FOCUS",IF(J637&lt;=2,"?ACTIVATED",IF(J637&lt;&gt;"","?FAMILIAR",IF(F637="NEW",IF(ISNA(VLOOKUP(E637,#REF!,1,FALSE())),"?TYPE_IDENTIFIABLE","?REFERENTIAL"),"_")))))</f>
        <v/>
      </c>
      <c r="H637" s="23" t="str">
        <f t="shared" ca="1" si="51"/>
        <v/>
      </c>
      <c r="I637" s="24" t="str">
        <f>IF(OR(E637="",E637="!!!",F637="NEW"),"",INDEX(B$2:B636,-1+SUMPRODUCT(MAX(ROW(E$2:E636)*(E637=E$2:E636)))))</f>
        <v/>
      </c>
      <c r="J637" s="24" t="str">
        <f ca="1">IF(OR(E637="",E637="!!!",F637="NEW"),"",COUNTBLANK(OFFSET(A$1,,,SUMPRODUCT(MAX(ROW(E$2:E637)*(E637=E$2:E637)))))-COUNTBLANK(OFFSET(A$1,,,SUMPRODUCT(MAX(ROW(E$1:E636)*(E2=E$1:E636))))))</f>
        <v/>
      </c>
      <c r="K637" s="24" t="str">
        <f>IF(OR(E637="",E637="!!!",F637="NEW"),"",INDEX(J$1:J636,SUMPRODUCT(MAX(ROW(E$1:E636)*(E637=E$1:E636)))))</f>
        <v/>
      </c>
      <c r="L637" s="25"/>
    </row>
    <row r="638" spans="1:12" x14ac:dyDescent="0.3">
      <c r="A638" t="s">
        <v>164</v>
      </c>
      <c r="B638" s="26" t="s">
        <v>169</v>
      </c>
      <c r="C638" s="26" t="s">
        <v>166</v>
      </c>
      <c r="E638" s="20" t="s">
        <v>690</v>
      </c>
      <c r="F638" s="21" t="str">
        <f>IF(OR(E638="",E638="!!!"),"",IF(NOT(ISNA(VLOOKUP(E638,E$1:E637,1,FALSE()))),"OLD",IF(AND(E638&lt;&gt;"",E638&lt;&gt;"!!!"),"NEW","")))</f>
        <v>OLD</v>
      </c>
      <c r="G638" s="22" t="s">
        <v>698</v>
      </c>
      <c r="H638" s="23" t="s">
        <v>158</v>
      </c>
      <c r="I638" s="24" t="str">
        <f>IF(OR(E638="",E638="!!!",F638="NEW"),"",INDEX(B$2:B637,-1+SUMPRODUCT(MAX(ROW(E$2:E637)*(E638=E$2:E637)))))</f>
        <v>other_3</v>
      </c>
      <c r="J638" s="24">
        <f ca="1">IF(OR(E638="",E638="!!!",F638="NEW"),"",COUNTBLANK(OFFSET(A$1,,,SUMPRODUCT(MAX(ROW(E$2:E638)*(E638=E$2:E638)))))-COUNTBLANK(OFFSET(A$1,,,SUMPRODUCT(MAX(ROW(E$1:E637)*(E2=E$1:E637))))))</f>
        <v>0</v>
      </c>
      <c r="K638" s="24">
        <f ca="1">IF(OR(E638="",E638="!!!",F638="NEW"),"",INDEX(J$1:J637,SUMPRODUCT(MAX(ROW(E$1:E637)*(E638=E$1:E637)))))</f>
        <v>0</v>
      </c>
      <c r="L638" s="25"/>
    </row>
    <row r="639" spans="1:12" x14ac:dyDescent="0.3">
      <c r="A639" t="s">
        <v>186</v>
      </c>
      <c r="E639" s="20" t="str">
        <f t="shared" si="50"/>
        <v/>
      </c>
      <c r="F639" s="21" t="str">
        <f>IF(OR(E639="",E639="!!!"),"",IF(NOT(ISNA(VLOOKUP(E639,E$1:E638,1,FALSE()))),"OLD",IF(AND(E639&lt;&gt;"",E639&lt;&gt;"!!!"),"NEW","")))</f>
        <v/>
      </c>
      <c r="G639" s="22" t="str">
        <f>IF(OR(E639="",E639="!!!"),"",IF(OR(J639=0,AND(J639=1,K639=1),AND(J639=1,I639="SBJ"),AND(J639=1,I639=0)),"?IN_FOCUS",IF(J639&lt;=2,"?ACTIVATED",IF(J639&lt;&gt;"","?FAMILIAR",IF(F639="NEW",IF(ISNA(VLOOKUP(E639,#REF!,1,FALSE())),"?TYPE_IDENTIFIABLE","?REFERENTIAL"),"_")))))</f>
        <v/>
      </c>
      <c r="H639" s="23" t="str">
        <f t="shared" ca="1" si="51"/>
        <v/>
      </c>
      <c r="I639" s="24" t="str">
        <f>IF(OR(E639="",E639="!!!",F639="NEW"),"",INDEX(B$2:B638,-1+SUMPRODUCT(MAX(ROW(E$2:E638)*(E639=E$2:E638)))))</f>
        <v/>
      </c>
      <c r="J639" s="24" t="str">
        <f ca="1">IF(OR(E639="",E639="!!!",F639="NEW"),"",COUNTBLANK(OFFSET(A$1,,,SUMPRODUCT(MAX(ROW(E$2:E639)*(E639=E$2:E639)))))-COUNTBLANK(OFFSET(A$1,,,SUMPRODUCT(MAX(ROW(E$1:E638)*(E2=E$1:E638))))))</f>
        <v/>
      </c>
      <c r="K639" s="24" t="str">
        <f>IF(OR(E639="",E639="!!!",F639="NEW"),"",INDEX(J$1:J638,SUMPRODUCT(MAX(ROW(E$1:E638)*(E639=E$1:E638)))))</f>
        <v/>
      </c>
      <c r="L639" s="25"/>
    </row>
    <row r="640" spans="1:12" x14ac:dyDescent="0.3">
      <c r="A640" t="s">
        <v>496</v>
      </c>
      <c r="B640" s="26" t="s">
        <v>177</v>
      </c>
      <c r="C640" s="26" t="s">
        <v>166</v>
      </c>
      <c r="E640" s="20" t="s">
        <v>693</v>
      </c>
      <c r="F640" s="21" t="str">
        <f>IF(OR(E640="",E640="!!!"),"",IF(NOT(ISNA(VLOOKUP(E640,E$1:E639,1,FALSE()))),"OLD",IF(AND(E640&lt;&gt;"",E640&lt;&gt;"!!!"),"NEW","")))</f>
        <v>NEW</v>
      </c>
      <c r="G640" s="22" t="s">
        <v>696</v>
      </c>
      <c r="H640" s="23" t="str">
        <f t="shared" ca="1" si="51"/>
        <v/>
      </c>
      <c r="I640" s="24" t="str">
        <f>IF(OR(E640="",E640="!!!",F640="NEW"),"",INDEX(B$2:B639,-1+SUMPRODUCT(MAX(ROW(E$2:E639)*(E640=E$2:E639)))))</f>
        <v/>
      </c>
      <c r="J640" s="24" t="str">
        <f ca="1">IF(OR(E640="",E640="!!!",F640="NEW"),"",COUNTBLANK(OFFSET(A$1,,,SUMPRODUCT(MAX(ROW(E$2:E640)*(E640=E$2:E640)))))-COUNTBLANK(OFFSET(A$1,,,SUMPRODUCT(MAX(ROW(E$1:E639)*(E2=E$1:E639))))))</f>
        <v/>
      </c>
      <c r="K640" s="24" t="str">
        <f>IF(OR(E640="",E640="!!!",F640="NEW"),"",INDEX(J$1:J639,SUMPRODUCT(MAX(ROW(E$1:E639)*(E640=E$1:E639)))))</f>
        <v/>
      </c>
      <c r="L640" s="25" t="s">
        <v>646</v>
      </c>
    </row>
    <row r="641" spans="1:12" x14ac:dyDescent="0.3">
      <c r="A641" t="s">
        <v>270</v>
      </c>
      <c r="E641" s="20" t="str">
        <f t="shared" si="50"/>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ca="1" si="51"/>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3">
      <c r="A642" t="s">
        <v>497</v>
      </c>
      <c r="B642" s="26" t="s">
        <v>172</v>
      </c>
      <c r="C642" s="26" t="s">
        <v>194</v>
      </c>
      <c r="D642" s="26" t="s">
        <v>181</v>
      </c>
      <c r="E642" s="20" t="s">
        <v>691</v>
      </c>
      <c r="F642" s="21" t="str">
        <f>IF(OR(E642="",E642="!!!"),"",IF(NOT(ISNA(VLOOKUP(E642,E$1:E641,1,FALSE()))),"OLD",IF(AND(E642&lt;&gt;"",E642&lt;&gt;"!!!"),"NEW","")))</f>
        <v>NEW</v>
      </c>
      <c r="G642" s="22" t="str">
        <f ca="1">IF(OR(E642="",E642="!!!"),"",IF(OR(J642=0,AND(J642=1,K642=1),AND(J642=1,I642="SBJ"),AND(J642=1,I642=0)),"?IN_FOCUS",IF(J642&lt;=2,"?ACTIVATED",IF(J642&lt;&gt;"","?FAMILIAR",IF(F642="NEW",IF(ISNA(VLOOKUP(E642,#REF!,1,FALSE())),"?TYPE_IDENTIFIABLE","?REFERENTIAL"),"_")))))</f>
        <v>?REFERENTIAL</v>
      </c>
      <c r="H642" s="23" t="str">
        <f t="shared" ca="1" si="51"/>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235</v>
      </c>
      <c r="E643" s="20" t="str">
        <f t="shared" si="50"/>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51"/>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4" spans="1:12" x14ac:dyDescent="0.3">
      <c r="A644" t="s">
        <v>498</v>
      </c>
      <c r="B644" s="26" t="s">
        <v>177</v>
      </c>
      <c r="C644" s="26" t="s">
        <v>166</v>
      </c>
      <c r="E644" s="20" t="s">
        <v>665</v>
      </c>
      <c r="F644" s="21" t="str">
        <f>IF(OR(E644="",E644="!!!"),"",IF(NOT(ISNA(VLOOKUP(E644,E$1:E643,1,FALSE()))),"OLD",IF(AND(E644&lt;&gt;"",E644&lt;&gt;"!!!"),"NEW","")))</f>
        <v>NEW</v>
      </c>
      <c r="G644" s="22" t="s">
        <v>699</v>
      </c>
      <c r="H644" s="23" t="str">
        <f t="shared" ca="1" si="51"/>
        <v/>
      </c>
      <c r="I644" s="24" t="str">
        <f>IF(OR(E644="",E644="!!!",F644="NEW"),"",INDEX(B$2:B643,-1+SUMPRODUCT(MAX(ROW(E$2:E643)*(E644=E$2:E643)))))</f>
        <v/>
      </c>
      <c r="J644" s="24" t="str">
        <f ca="1">IF(OR(E644="",E644="!!!",F644="NEW"),"",COUNTBLANK(OFFSET(A$1,,,SUMPRODUCT(MAX(ROW(E$2:E644)*(E644=E$2:E644)))))-COUNTBLANK(OFFSET(A$1,,,SUMPRODUCT(MAX(ROW(E$1:E643)*(E2=E$1:E643))))))</f>
        <v/>
      </c>
      <c r="K644" s="24" t="str">
        <f>IF(OR(E644="",E644="!!!",F644="NEW"),"",INDEX(J$1:J643,SUMPRODUCT(MAX(ROW(E$1:E643)*(E644=E$1:E643)))))</f>
        <v/>
      </c>
      <c r="L644" s="25"/>
    </row>
    <row r="645" spans="1:12" x14ac:dyDescent="0.3">
      <c r="A645" t="s">
        <v>381</v>
      </c>
      <c r="E645" s="20" t="str">
        <f t="shared" si="50"/>
        <v/>
      </c>
      <c r="F645" s="21" t="str">
        <f>IF(OR(E645="",E645="!!!"),"",IF(NOT(ISNA(VLOOKUP(E645,E$1:E644,1,FALSE()))),"OLD",IF(AND(E645&lt;&gt;"",E645&lt;&gt;"!!!"),"NEW","")))</f>
        <v/>
      </c>
      <c r="G645" s="22" t="str">
        <f>IF(OR(E645="",E645="!!!"),"",IF(OR(J645=0,AND(J645=1,K645=1),AND(J645=1,I645="SBJ"),AND(J645=1,I645=0)),"?IN_FOCUS",IF(J645&lt;=2,"?ACTIVATED",IF(J645&lt;&gt;"","?FAMILIAR",IF(F645="NEW",IF(ISNA(VLOOKUP(E645,#REF!,1,FALSE())),"?TYPE_IDENTIFIABLE","?REFERENTIAL"),"_")))))</f>
        <v/>
      </c>
      <c r="H645" s="23" t="str">
        <f t="shared" ca="1" si="51"/>
        <v/>
      </c>
      <c r="I645" s="24" t="str">
        <f>IF(OR(E645="",E645="!!!",F645="NEW"),"",INDEX(B$2:B644,-1+SUMPRODUCT(MAX(ROW(E$2:E644)*(E645=E$2:E644)))))</f>
        <v/>
      </c>
      <c r="J645" s="24" t="str">
        <f ca="1">IF(OR(E645="",E645="!!!",F645="NEW"),"",COUNTBLANK(OFFSET(A$1,,,SUMPRODUCT(MAX(ROW(E$2:E645)*(E645=E$2:E645)))))-COUNTBLANK(OFFSET(A$1,,,SUMPRODUCT(MAX(ROW(E$1:E644)*(E2=E$1:E644))))))</f>
        <v/>
      </c>
      <c r="K645" s="24" t="str">
        <f>IF(OR(E645="",E645="!!!",F645="NEW"),"",INDEX(J$1:J644,SUMPRODUCT(MAX(ROW(E$1:E644)*(E645=E$1:E644)))))</f>
        <v/>
      </c>
      <c r="L645" s="25"/>
    </row>
    <row r="646" spans="1:12" x14ac:dyDescent="0.3">
      <c r="A646" t="s">
        <v>499</v>
      </c>
      <c r="E646" s="20" t="s">
        <v>665</v>
      </c>
      <c r="F646" s="21" t="str">
        <f>IF(OR(E646="",E646="!!!"),"",IF(NOT(ISNA(VLOOKUP(E646,E$1:E645,1,FALSE()))),"OLD",IF(AND(E646&lt;&gt;"",E646&lt;&gt;"!!!"),"NEW","")))</f>
        <v>OLD</v>
      </c>
      <c r="G646" s="22" t="s">
        <v>697</v>
      </c>
      <c r="H646" s="23" t="str">
        <f t="shared" ca="1" si="51"/>
        <v/>
      </c>
      <c r="I646" s="24" t="str">
        <f>IF(OR(E646="",E646="!!!",F646="NEW"),"",INDEX(B$2:B645,-1+SUMPRODUCT(MAX(ROW(E$2:E645)*(E646=E$2:E645)))))</f>
        <v>other_3</v>
      </c>
      <c r="J646" s="24">
        <f ca="1">IF(OR(E646="",E646="!!!",F646="NEW"),"",COUNTBLANK(OFFSET(A$1,,,SUMPRODUCT(MAX(ROW(E$2:E646)*(E646=E$2:E646)))))-COUNTBLANK(OFFSET(A$1,,,SUMPRODUCT(MAX(ROW(E$1:E645)*(E2=E$1:E645))))))</f>
        <v>0</v>
      </c>
      <c r="K646" s="24" t="str">
        <f ca="1">IF(OR(E646="",E646="!!!",F646="NEW"),"",INDEX(J$1:J645,SUMPRODUCT(MAX(ROW(E$1:E645)*(E646=E$1:E645)))))</f>
        <v/>
      </c>
      <c r="L646" s="25"/>
    </row>
    <row r="647" spans="1:12" x14ac:dyDescent="0.3">
      <c r="A647" t="s">
        <v>500</v>
      </c>
      <c r="B647" s="26" t="s">
        <v>177</v>
      </c>
      <c r="C647" s="26" t="s">
        <v>224</v>
      </c>
      <c r="E647" s="20" t="s">
        <v>692</v>
      </c>
      <c r="F647" s="21" t="str">
        <f>IF(OR(E647="",E647="!!!"),"",IF(NOT(ISNA(VLOOKUP(E647,E$1:E646,1,FALSE()))),"OLD",IF(AND(E647&lt;&gt;"",E647&lt;&gt;"!!!"),"NEW","")))</f>
        <v>NEW</v>
      </c>
      <c r="G647" s="22" t="s">
        <v>699</v>
      </c>
      <c r="H647" s="23" t="str">
        <f t="shared" ca="1" si="51"/>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178</v>
      </c>
      <c r="E648" s="20" t="str">
        <f t="shared" si="50"/>
        <v/>
      </c>
      <c r="F648" s="21" t="str">
        <f>IF(OR(E648="",E648="!!!"),"",IF(NOT(ISNA(VLOOKUP(E648,E$1:E647,1,FALSE()))),"OLD",IF(AND(E648&lt;&gt;"",E648&lt;&gt;"!!!"),"NEW","")))</f>
        <v/>
      </c>
      <c r="G648" s="22" t="str">
        <f>IF(OR(E648="",E648="!!!"),"",IF(OR(J648=0,AND(J648=1,K648=1),AND(J648=1,I648="SBJ"),AND(J648=1,I648=0)),"?IN_FOCUS",IF(J648&lt;=2,"?ACTIVATED",IF(J648&lt;&gt;"","?FAMILIAR",IF(F648="NEW",IF(ISNA(VLOOKUP(E648,#REF!,1,FALSE())),"?TYPE_IDENTIFIABLE","?REFERENTIAL"),"_")))))</f>
        <v/>
      </c>
      <c r="H648" s="23" t="str">
        <f t="shared" ca="1" si="51"/>
        <v/>
      </c>
      <c r="I648" s="24" t="str">
        <f>IF(OR(E648="",E648="!!!",F648="NEW"),"",INDEX(B$2:B647,-1+SUMPRODUCT(MAX(ROW(E$2:E647)*(E648=E$2:E647)))))</f>
        <v/>
      </c>
      <c r="J648" s="24" t="str">
        <f ca="1">IF(OR(E648="",E648="!!!",F648="NEW"),"",COUNTBLANK(OFFSET(A$1,,,SUMPRODUCT(MAX(ROW(E$2:E648)*(E648=E$2:E648)))))-COUNTBLANK(OFFSET(A$1,,,SUMPRODUCT(MAX(ROW(E$1:E647)*(E2=E$1:E647))))))</f>
        <v/>
      </c>
      <c r="K648" s="24" t="str">
        <f>IF(OR(E648="",E648="!!!",F648="NEW"),"",INDEX(J$1:J647,SUMPRODUCT(MAX(ROW(E$1:E647)*(E648=E$1:E647)))))</f>
        <v/>
      </c>
      <c r="L648" s="25"/>
    </row>
    <row r="649" spans="1:12" x14ac:dyDescent="0.3">
      <c r="A649" t="s">
        <v>281</v>
      </c>
      <c r="B649" s="26" t="s">
        <v>174</v>
      </c>
      <c r="C649" s="26" t="s">
        <v>180</v>
      </c>
      <c r="D649" s="26" t="s">
        <v>181</v>
      </c>
      <c r="E649" s="20" t="s">
        <v>622</v>
      </c>
      <c r="F649" s="21" t="str">
        <f>IF(OR(E649="",E649="!!!"),"",IF(NOT(ISNA(VLOOKUP(E649,E$1:E648,1,FALSE()))),"OLD",IF(AND(E649&lt;&gt;"",E649&lt;&gt;"!!!"),"NEW","")))</f>
        <v>OLD</v>
      </c>
      <c r="G649" s="22" t="s">
        <v>696</v>
      </c>
      <c r="H649" s="23" t="str">
        <f t="shared" ca="1" si="51"/>
        <v/>
      </c>
      <c r="I649" s="24" t="str">
        <f>IF(OR(E649="",E649="!!!",F649="NEW"),"",INDEX(B$2:B648,-1+SUMPRODUCT(MAX(ROW(E$2:E648)*(E649=E$2:E648)))))</f>
        <v>other_3</v>
      </c>
      <c r="J649" s="24">
        <f ca="1">IF(OR(E649="",E649="!!!",F649="NEW"),"",COUNTBLANK(OFFSET(A$1,,,SUMPRODUCT(MAX(ROW(E$2:E649)*(E649=E$2:E649)))))-COUNTBLANK(OFFSET(A$1,,,SUMPRODUCT(MAX(ROW(E$1:E648)*(E2=E$1:E648))))))</f>
        <v>0</v>
      </c>
      <c r="K649" s="24" t="str">
        <f ca="1">IF(OR(E649="",E649="!!!",F649="NEW"),"",INDEX(J$1:J648,SUMPRODUCT(MAX(ROW(E$1:E648)*(E649=E$1:E648)))))</f>
        <v/>
      </c>
      <c r="L649" s="25"/>
    </row>
    <row r="650" spans="1:12" x14ac:dyDescent="0.3">
      <c r="A650" t="s">
        <v>351</v>
      </c>
      <c r="E650" s="20" t="str">
        <f t="shared" si="50"/>
        <v/>
      </c>
      <c r="F650" s="21" t="str">
        <f>IF(OR(E650="",E650="!!!"),"",IF(NOT(ISNA(VLOOKUP(E650,E$1:E649,1,FALSE()))),"OLD",IF(AND(E650&lt;&gt;"",E650&lt;&gt;"!!!"),"NEW","")))</f>
        <v/>
      </c>
      <c r="G650" s="22" t="str">
        <f>IF(OR(E650="",E650="!!!"),"",IF(OR(J650=0,AND(J650=1,K650=1),AND(J650=1,I650="SBJ"),AND(J650=1,I650=0)),"?IN_FOCUS",IF(J650&lt;=2,"?ACTIVATED",IF(J650&lt;&gt;"","?FAMILIAR",IF(F650="NEW",IF(ISNA(VLOOKUP(E650,#REF!,1,FALSE())),"?TYPE_IDENTIFIABLE","?REFERENTIAL"),"_")))))</f>
        <v/>
      </c>
      <c r="H650" s="23" t="str">
        <f t="shared" ca="1" si="51"/>
        <v/>
      </c>
      <c r="I650" s="24" t="str">
        <f>IF(OR(E650="",E650="!!!",F650="NEW"),"",INDEX(B$2:B649,-1+SUMPRODUCT(MAX(ROW(E$2:E649)*(E650=E$2:E649)))))</f>
        <v/>
      </c>
      <c r="J650" s="24" t="str">
        <f ca="1">IF(OR(E650="",E650="!!!",F650="NEW"),"",COUNTBLANK(OFFSET(A$1,,,SUMPRODUCT(MAX(ROW(E$2:E650)*(E650=E$2:E650)))))-COUNTBLANK(OFFSET(A$1,,,SUMPRODUCT(MAX(ROW(E$1:E649)*(E2=E$1:E649))))))</f>
        <v/>
      </c>
      <c r="K650" s="24" t="str">
        <f>IF(OR(E650="",E650="!!!",F650="NEW"),"",INDEX(J$1:J649,SUMPRODUCT(MAX(ROW(E$1:E649)*(E650=E$1:E649)))))</f>
        <v/>
      </c>
      <c r="L650" s="25"/>
    </row>
    <row r="651" spans="1:12" x14ac:dyDescent="0.3">
      <c r="A651" t="s">
        <v>186</v>
      </c>
      <c r="E651" s="20" t="str">
        <f t="shared" si="50"/>
        <v/>
      </c>
      <c r="F651" s="21" t="str">
        <f>IF(OR(E651="",E651="!!!"),"",IF(NOT(ISNA(VLOOKUP(E651,E$1:E650,1,FALSE()))),"OLD",IF(AND(E651&lt;&gt;"",E651&lt;&gt;"!!!"),"NEW","")))</f>
        <v/>
      </c>
      <c r="G651" s="22" t="str">
        <f>IF(OR(E651="",E651="!!!"),"",IF(OR(J651=0,AND(J651=1,K651=1),AND(J651=1,I651="SBJ"),AND(J651=1,I651=0)),"?IN_FOCUS",IF(J651&lt;=2,"?ACTIVATED",IF(J651&lt;&gt;"","?FAMILIAR",IF(F651="NEW",IF(ISNA(VLOOKUP(E651,#REF!,1,FALSE())),"?TYPE_IDENTIFIABLE","?REFERENTIAL"),"_")))))</f>
        <v/>
      </c>
      <c r="H651" s="23" t="str">
        <f t="shared" ca="1" si="51"/>
        <v/>
      </c>
      <c r="I651" s="24" t="str">
        <f>IF(OR(E651="",E651="!!!",F651="NEW"),"",INDEX(B$2:B650,-1+SUMPRODUCT(MAX(ROW(E$2:E650)*(E651=E$2:E650)))))</f>
        <v/>
      </c>
      <c r="J651" s="24" t="str">
        <f ca="1">IF(OR(E651="",E651="!!!",F651="NEW"),"",COUNTBLANK(OFFSET(A$1,,,SUMPRODUCT(MAX(ROW(E$2:E651)*(E651=E$2:E651)))))-COUNTBLANK(OFFSET(A$1,,,SUMPRODUCT(MAX(ROW(E$1:E650)*(E2=E$1:E650))))))</f>
        <v/>
      </c>
      <c r="K651" s="24" t="str">
        <f>IF(OR(E651="",E651="!!!",F651="NEW"),"",INDEX(J$1:J650,SUMPRODUCT(MAX(ROW(E$1:E650)*(E651=E$1:E650)))))</f>
        <v/>
      </c>
      <c r="L651" s="25"/>
    </row>
    <row r="652" spans="1:12" x14ac:dyDescent="0.3">
      <c r="A652" t="s">
        <v>501</v>
      </c>
      <c r="B652" s="26" t="s">
        <v>183</v>
      </c>
      <c r="C652" s="26" t="s">
        <v>166</v>
      </c>
      <c r="E652" s="20" t="str">
        <f t="shared" si="50"/>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ca="1" si="51"/>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178</v>
      </c>
      <c r="E653" s="20" t="str">
        <f t="shared" si="50"/>
        <v/>
      </c>
      <c r="F653" s="21" t="str">
        <f>IF(OR(E653="",E653="!!!"),"",IF(NOT(ISNA(VLOOKUP(E653,E$1:E652,1,FALSE()))),"OLD",IF(AND(E653&lt;&gt;"",E653&lt;&gt;"!!!"),"NEW","")))</f>
        <v/>
      </c>
      <c r="G653" s="22" t="str">
        <f>IF(OR(E653="",E653="!!!"),"",IF(OR(J653=0,AND(J653=1,K653=1),AND(J653=1,I653="SBJ"),AND(J653=1,I653=0)),"?IN_FOCUS",IF(J653&lt;=2,"?ACTIVATED",IF(J653&lt;&gt;"","?FAMILIAR",IF(F653="NEW",IF(ISNA(VLOOKUP(E653,#REF!,1,FALSE())),"?TYPE_IDENTIFIABLE","?REFERENTIAL"),"_")))))</f>
        <v/>
      </c>
      <c r="H653" s="23" t="str">
        <f t="shared" ca="1" si="51"/>
        <v/>
      </c>
      <c r="I653" s="24" t="str">
        <f>IF(OR(E653="",E653="!!!",F653="NEW"),"",INDEX(B$2:B652,-1+SUMPRODUCT(MAX(ROW(E$2:E652)*(E653=E$2:E652)))))</f>
        <v/>
      </c>
      <c r="J653" s="24" t="str">
        <f ca="1">IF(OR(E653="",E653="!!!",F653="NEW"),"",COUNTBLANK(OFFSET(A$1,,,SUMPRODUCT(MAX(ROW(E$2:E653)*(E653=E$2:E653)))))-COUNTBLANK(OFFSET(A$1,,,SUMPRODUCT(MAX(ROW(E$1:E652)*(E2=E$1:E652))))))</f>
        <v/>
      </c>
      <c r="K653" s="24" t="str">
        <f>IF(OR(E653="",E653="!!!",F653="NEW"),"",INDEX(J$1:J652,SUMPRODUCT(MAX(ROW(E$1:E652)*(E653=E$1:E652)))))</f>
        <v/>
      </c>
      <c r="L653" s="25"/>
    </row>
    <row r="654" spans="1:12" x14ac:dyDescent="0.3">
      <c r="A654" t="s">
        <v>502</v>
      </c>
      <c r="E654" s="20" t="str">
        <f t="shared" si="50"/>
        <v/>
      </c>
      <c r="F654" s="21" t="str">
        <f>IF(OR(E654="",E654="!!!"),"",IF(NOT(ISNA(VLOOKUP(E654,E$1:E653,1,FALSE()))),"OLD",IF(AND(E654&lt;&gt;"",E654&lt;&gt;"!!!"),"NEW","")))</f>
        <v/>
      </c>
      <c r="G654" s="22" t="str">
        <f>IF(OR(E654="",E654="!!!"),"",IF(OR(J654=0,AND(J654=1,K654=1),AND(J654=1,I654="SBJ"),AND(J654=1,I654=0)),"?IN_FOCUS",IF(J654&lt;=2,"?ACTIVATED",IF(J654&lt;&gt;"","?FAMILIAR",IF(F654="NEW",IF(ISNA(VLOOKUP(E654,#REF!,1,FALSE())),"?TYPE_IDENTIFIABLE","?REFERENTIAL"),"_")))))</f>
        <v/>
      </c>
      <c r="H654" s="23" t="str">
        <f t="shared" ca="1" si="51"/>
        <v/>
      </c>
      <c r="I654" s="24" t="str">
        <f>IF(OR(E654="",E654="!!!",F654="NEW"),"",INDEX(B$2:B653,-1+SUMPRODUCT(MAX(ROW(E$2:E653)*(E654=E$2:E653)))))</f>
        <v/>
      </c>
      <c r="J654" s="24" t="str">
        <f ca="1">IF(OR(E654="",E654="!!!",F654="NEW"),"",COUNTBLANK(OFFSET(A$1,,,SUMPRODUCT(MAX(ROW(E$2:E654)*(E654=E$2:E654)))))-COUNTBLANK(OFFSET(A$1,,,SUMPRODUCT(MAX(ROW(E$1:E653)*(E2=E$1:E653))))))</f>
        <v/>
      </c>
      <c r="K654" s="24" t="str">
        <f>IF(OR(E654="",E654="!!!",F654="NEW"),"",INDEX(J$1:J653,SUMPRODUCT(MAX(ROW(E$1:E653)*(E654=E$1:E653)))))</f>
        <v/>
      </c>
      <c r="L654" s="25"/>
    </row>
    <row r="655" spans="1:12" x14ac:dyDescent="0.3">
      <c r="A655" t="s">
        <v>503</v>
      </c>
      <c r="B655" s="26" t="s">
        <v>504</v>
      </c>
      <c r="C655" s="26" t="s">
        <v>215</v>
      </c>
      <c r="E655" s="20" t="str">
        <f t="shared" si="50"/>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51"/>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3">
      <c r="A656" t="s">
        <v>505</v>
      </c>
      <c r="E656" s="20" t="str">
        <f t="shared" si="50"/>
        <v/>
      </c>
      <c r="F656" s="21" t="str">
        <f>IF(OR(E656="",E656="!!!"),"",IF(NOT(ISNA(VLOOKUP(E656,E$1:E655,1,FALSE()))),"OLD",IF(AND(E656&lt;&gt;"",E656&lt;&gt;"!!!"),"NEW","")))</f>
        <v/>
      </c>
      <c r="G656" s="22" t="str">
        <f>IF(OR(E656="",E656="!!!"),"",IF(OR(J656=0,AND(J656=1,K656=1),AND(J656=1,I656="SBJ"),AND(J656=1,I656=0)),"?IN_FOCUS",IF(J656&lt;=2,"?ACTIVATED",IF(J656&lt;&gt;"","?FAMILIAR",IF(F656="NEW",IF(ISNA(VLOOKUP(E656,#REF!,1,FALSE())),"?TYPE_IDENTIFIABLE","?REFERENTIAL"),"_")))))</f>
        <v/>
      </c>
      <c r="H656" s="23" t="str">
        <f t="shared" ca="1" si="51"/>
        <v/>
      </c>
      <c r="I656" s="24" t="str">
        <f>IF(OR(E656="",E656="!!!",F656="NEW"),"",INDEX(B$2:B655,-1+SUMPRODUCT(MAX(ROW(E$2:E655)*(E656=E$2:E655)))))</f>
        <v/>
      </c>
      <c r="J656" s="24" t="str">
        <f ca="1">IF(OR(E656="",E656="!!!",F656="NEW"),"",COUNTBLANK(OFFSET(A$1,,,SUMPRODUCT(MAX(ROW(E$2:E656)*(E656=E$2:E656)))))-COUNTBLANK(OFFSET(A$1,,,SUMPRODUCT(MAX(ROW(E$1:E655)*(E2=E$1:E655))))))</f>
        <v/>
      </c>
      <c r="K656" s="24" t="str">
        <f>IF(OR(E656="",E656="!!!",F656="NEW"),"",INDEX(J$1:J655,SUMPRODUCT(MAX(ROW(E$1:E655)*(E656=E$1:E655)))))</f>
        <v/>
      </c>
      <c r="L656" s="25"/>
    </row>
    <row r="657" spans="1:12" x14ac:dyDescent="0.3">
      <c r="A657" t="s">
        <v>201</v>
      </c>
      <c r="E657" s="20" t="str">
        <f t="shared" si="50"/>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51"/>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9" spans="1:12" x14ac:dyDescent="0.3">
      <c r="A659" t="s">
        <v>506</v>
      </c>
    </row>
    <row r="660" spans="1:12" x14ac:dyDescent="0.3">
      <c r="A660" t="s">
        <v>234</v>
      </c>
      <c r="E660" s="20" t="str">
        <f t="shared" ref="E660:E676" si="52">IF(D660="?OLD","!!!","")</f>
        <v/>
      </c>
      <c r="F660" s="21" t="str">
        <f>IF(OR(E660="",E660="!!!"),"",IF(NOT(ISNA(VLOOKUP(E660,E$1:E659,1,FALSE()))),"OLD",IF(AND(E660&lt;&gt;"",E660&lt;&gt;"!!!"),"NEW","")))</f>
        <v/>
      </c>
      <c r="G660" s="22" t="str">
        <f>IF(OR(E660="",E660="!!!"),"",IF(OR(J660=0,AND(J660=1,K660=1),AND(J660=1,I660="SBJ"),AND(J660=1,I660=0)),"?IN_FOCUS",IF(J660&lt;=2,"?ACTIVATED",IF(J660&lt;&gt;"","?FAMILIAR",IF(F660="NEW",IF(ISNA(VLOOKUP(E660,#REF!,1,FALSE())),"?TYPE_IDENTIFIABLE","?REFERENTIAL"),"_")))))</f>
        <v/>
      </c>
      <c r="H660" s="23" t="str">
        <f t="shared" ref="H660:H676" ca="1" si="53">IF(J660&lt;&gt;1,"",IF(I660="SBJ","CB","?"))</f>
        <v/>
      </c>
      <c r="I660" s="24" t="str">
        <f>IF(OR(E660="",E660="!!!",F660="NEW"),"",INDEX(B$2:B659,-1+SUMPRODUCT(MAX(ROW(E$2:E659)*(E660=E$2:E659)))))</f>
        <v/>
      </c>
      <c r="J660" s="24" t="str">
        <f ca="1">IF(OR(E660="",E660="!!!",F660="NEW"),"",COUNTBLANK(OFFSET(A$1,,,SUMPRODUCT(MAX(ROW(E$2:E660)*(E660=E$2:E660)))))-COUNTBLANK(OFFSET(A$1,,,SUMPRODUCT(MAX(ROW(E$1:E659)*(E2=E$1:E659))))))</f>
        <v/>
      </c>
      <c r="K660" s="24" t="str">
        <f>IF(OR(E660="",E660="!!!",F660="NEW"),"",INDEX(J$1:J659,SUMPRODUCT(MAX(ROW(E$1:E659)*(E660=E$1:E659)))))</f>
        <v/>
      </c>
      <c r="L660" s="25"/>
    </row>
    <row r="661" spans="1:12" x14ac:dyDescent="0.3">
      <c r="A661" t="s">
        <v>507</v>
      </c>
      <c r="E661" s="20" t="str">
        <f t="shared" si="52"/>
        <v/>
      </c>
      <c r="F661" s="21" t="str">
        <f>IF(OR(E661="",E661="!!!"),"",IF(NOT(ISNA(VLOOKUP(E661,E$1:E660,1,FALSE()))),"OLD",IF(AND(E661&lt;&gt;"",E661&lt;&gt;"!!!"),"NEW","")))</f>
        <v/>
      </c>
      <c r="G661" s="22" t="str">
        <f>IF(OR(E661="",E661="!!!"),"",IF(OR(J661=0,AND(J661=1,K661=1),AND(J661=1,I661="SBJ"),AND(J661=1,I661=0)),"?IN_FOCUS",IF(J661&lt;=2,"?ACTIVATED",IF(J661&lt;&gt;"","?FAMILIAR",IF(F661="NEW",IF(ISNA(VLOOKUP(E661,#REF!,1,FALSE())),"?TYPE_IDENTIFIABLE","?REFERENTIAL"),"_")))))</f>
        <v/>
      </c>
      <c r="H661" s="23" t="str">
        <f t="shared" ca="1" si="53"/>
        <v/>
      </c>
      <c r="I661" s="24" t="str">
        <f>IF(OR(E661="",E661="!!!",F661="NEW"),"",INDEX(B$2:B660,-1+SUMPRODUCT(MAX(ROW(E$2:E660)*(E661=E$2:E660)))))</f>
        <v/>
      </c>
      <c r="J661" s="24" t="str">
        <f ca="1">IF(OR(E661="",E661="!!!",F661="NEW"),"",COUNTBLANK(OFFSET(A$1,,,SUMPRODUCT(MAX(ROW(E$2:E661)*(E661=E$2:E661)))))-COUNTBLANK(OFFSET(A$1,,,SUMPRODUCT(MAX(ROW(E$1:E660)*(E2=E$1:E660))))))</f>
        <v/>
      </c>
      <c r="K661" s="24" t="str">
        <f>IF(OR(E661="",E661="!!!",F661="NEW"),"",INDEX(J$1:J660,SUMPRODUCT(MAX(ROW(E$1:E660)*(E661=E$1:E660)))))</f>
        <v/>
      </c>
      <c r="L661" s="25"/>
    </row>
    <row r="662" spans="1:12" x14ac:dyDescent="0.3">
      <c r="A662" t="s">
        <v>12</v>
      </c>
      <c r="E662" s="20" t="str">
        <f t="shared" si="52"/>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ca="1" si="53"/>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3">
      <c r="A663" t="s">
        <v>508</v>
      </c>
      <c r="E663" s="20" t="str">
        <f t="shared" si="52"/>
        <v/>
      </c>
      <c r="F663" s="21" t="str">
        <f>IF(OR(E663="",E663="!!!"),"",IF(NOT(ISNA(VLOOKUP(E663,E$1:E662,1,FALSE()))),"OLD",IF(AND(E663&lt;&gt;"",E663&lt;&gt;"!!!"),"NEW","")))</f>
        <v/>
      </c>
      <c r="G663" s="22" t="str">
        <f>IF(OR(E663="",E663="!!!"),"",IF(OR(J663=0,AND(J663=1,K663=1),AND(J663=1,I663="SBJ"),AND(J663=1,I663=0)),"?IN_FOCUS",IF(J663&lt;=2,"?ACTIVATED",IF(J663&lt;&gt;"","?FAMILIAR",IF(F663="NEW",IF(ISNA(VLOOKUP(E663,#REF!,1,FALSE())),"?TYPE_IDENTIFIABLE","?REFERENTIAL"),"_")))))</f>
        <v/>
      </c>
      <c r="H663" s="23" t="str">
        <f t="shared" ca="1" si="53"/>
        <v/>
      </c>
      <c r="I663" s="24" t="str">
        <f>IF(OR(E663="",E663="!!!",F663="NEW"),"",INDEX(B$2:B662,-1+SUMPRODUCT(MAX(ROW(E$2:E662)*(E663=E$2:E662)))))</f>
        <v/>
      </c>
      <c r="J663" s="24" t="str">
        <f ca="1">IF(OR(E663="",E663="!!!",F663="NEW"),"",COUNTBLANK(OFFSET(A$1,,,SUMPRODUCT(MAX(ROW(E$2:E663)*(E663=E$2:E663)))))-COUNTBLANK(OFFSET(A$1,,,SUMPRODUCT(MAX(ROW(E$1:E662)*(E2=E$1:E662))))))</f>
        <v/>
      </c>
      <c r="K663" s="24" t="str">
        <f>IF(OR(E663="",E663="!!!",F663="NEW"),"",INDEX(J$1:J662,SUMPRODUCT(MAX(ROW(E$1:E662)*(E663=E$1:E662)))))</f>
        <v/>
      </c>
      <c r="L663" s="25"/>
    </row>
    <row r="664" spans="1:12" x14ac:dyDescent="0.3">
      <c r="A664" t="s">
        <v>509</v>
      </c>
      <c r="B664" s="26" t="s">
        <v>185</v>
      </c>
      <c r="C664" s="26" t="s">
        <v>180</v>
      </c>
      <c r="D664" s="26" t="s">
        <v>181</v>
      </c>
      <c r="E664" s="20" t="s">
        <v>664</v>
      </c>
      <c r="F664" s="21" t="str">
        <f>IF(OR(E664="",E664="!!!"),"",IF(NOT(ISNA(VLOOKUP(E664,E$1:E663,1,FALSE()))),"OLD",IF(AND(E664&lt;&gt;"",E664&lt;&gt;"!!!"),"NEW","")))</f>
        <v>NEW</v>
      </c>
      <c r="G664" s="22" t="s">
        <v>699</v>
      </c>
      <c r="H664" s="23" t="str">
        <f t="shared" ca="1" si="53"/>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3">
      <c r="A665" t="s">
        <v>229</v>
      </c>
      <c r="E665" s="20" t="str">
        <f t="shared" si="52"/>
        <v/>
      </c>
      <c r="F665" s="21" t="str">
        <f>IF(OR(E665="",E665="!!!"),"",IF(NOT(ISNA(VLOOKUP(E665,E$1:E664,1,FALSE()))),"OLD",IF(AND(E665&lt;&gt;"",E665&lt;&gt;"!!!"),"NEW","")))</f>
        <v/>
      </c>
      <c r="G665" s="22" t="str">
        <f>IF(OR(E665="",E665="!!!"),"",IF(OR(J665=0,AND(J665=1,K665=1),AND(J665=1,I665="SBJ"),AND(J665=1,I665=0)),"?IN_FOCUS",IF(J665&lt;=2,"?ACTIVATED",IF(J665&lt;&gt;"","?FAMILIAR",IF(F665="NEW",IF(ISNA(VLOOKUP(E665,#REF!,1,FALSE())),"?TYPE_IDENTIFIABLE","?REFERENTIAL"),"_")))))</f>
        <v/>
      </c>
      <c r="H665" s="23" t="str">
        <f t="shared" ca="1" si="53"/>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row>
    <row r="666" spans="1:12" x14ac:dyDescent="0.3">
      <c r="A666" t="s">
        <v>167</v>
      </c>
      <c r="E666" s="20" t="str">
        <f t="shared" si="52"/>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53"/>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240</v>
      </c>
      <c r="E667" s="20" t="str">
        <f t="shared" si="52"/>
        <v/>
      </c>
      <c r="F667" s="21" t="str">
        <f>IF(OR(E667="",E667="!!!"),"",IF(NOT(ISNA(VLOOKUP(E667,E$1:E666,1,FALSE()))),"OLD",IF(AND(E667&lt;&gt;"",E667&lt;&gt;"!!!"),"NEW","")))</f>
        <v/>
      </c>
      <c r="G667" s="22" t="str">
        <f>IF(OR(E667="",E667="!!!"),"",IF(OR(J667=0,AND(J667=1,K667=1),AND(J667=1,I667="SBJ"),AND(J667=1,I667=0)),"?IN_FOCUS",IF(J667&lt;=2,"?ACTIVATED",IF(J667&lt;&gt;"","?FAMILIAR",IF(F667="NEW",IF(ISNA(VLOOKUP(E667,#REF!,1,FALSE())),"?TYPE_IDENTIFIABLE","?REFERENTIAL"),"_")))))</f>
        <v/>
      </c>
      <c r="H667" s="23" t="str">
        <f t="shared" ca="1" si="53"/>
        <v/>
      </c>
      <c r="I667" s="24" t="str">
        <f>IF(OR(E667="",E667="!!!",F667="NEW"),"",INDEX(B$2:B666,-1+SUMPRODUCT(MAX(ROW(E$2:E666)*(E667=E$2:E666)))))</f>
        <v/>
      </c>
      <c r="J667" s="24" t="str">
        <f ca="1">IF(OR(E667="",E667="!!!",F667="NEW"),"",COUNTBLANK(OFFSET(A$1,,,SUMPRODUCT(MAX(ROW(E$2:E667)*(E667=E$2:E667)))))-COUNTBLANK(OFFSET(A$1,,,SUMPRODUCT(MAX(ROW(E$1:E666)*(E2=E$1:E666))))))</f>
        <v/>
      </c>
      <c r="K667" s="24" t="str">
        <f>IF(OR(E667="",E667="!!!",F667="NEW"),"",INDEX(J$1:J666,SUMPRODUCT(MAX(ROW(E$1:E666)*(E667=E$1:E666)))))</f>
        <v/>
      </c>
      <c r="L667" s="25"/>
    </row>
    <row r="668" spans="1:12" x14ac:dyDescent="0.3">
      <c r="A668" t="s">
        <v>347</v>
      </c>
      <c r="E668" s="20" t="str">
        <f t="shared" si="52"/>
        <v/>
      </c>
      <c r="F668" s="21" t="str">
        <f>IF(OR(E668="",E668="!!!"),"",IF(NOT(ISNA(VLOOKUP(E668,E$1:E667,1,FALSE()))),"OLD",IF(AND(E668&lt;&gt;"",E668&lt;&gt;"!!!"),"NEW","")))</f>
        <v/>
      </c>
      <c r="G668" s="22" t="str">
        <f>IF(OR(E668="",E668="!!!"),"",IF(OR(J668=0,AND(J668=1,K668=1),AND(J668=1,I668="SBJ"),AND(J668=1,I668=0)),"?IN_FOCUS",IF(J668&lt;=2,"?ACTIVATED",IF(J668&lt;&gt;"","?FAMILIAR",IF(F668="NEW",IF(ISNA(VLOOKUP(E668,#REF!,1,FALSE())),"?TYPE_IDENTIFIABLE","?REFERENTIAL"),"_")))))</f>
        <v/>
      </c>
      <c r="H668" s="23" t="str">
        <f t="shared" ca="1" si="53"/>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510</v>
      </c>
      <c r="B669" s="26" t="s">
        <v>169</v>
      </c>
      <c r="C669" s="26" t="s">
        <v>258</v>
      </c>
      <c r="E669" s="20" t="str">
        <f t="shared" si="52"/>
        <v/>
      </c>
      <c r="F669" s="21" t="str">
        <f>IF(OR(E669="",E669="!!!"),"",IF(NOT(ISNA(VLOOKUP(E669,E$1:E668,1,FALSE()))),"OLD",IF(AND(E669&lt;&gt;"",E669&lt;&gt;"!!!"),"NEW","")))</f>
        <v/>
      </c>
      <c r="G669" s="22" t="str">
        <f>IF(OR(E669="",E669="!!!"),"",IF(OR(J669=0,AND(J669=1,K669=1),AND(J669=1,I669="SBJ"),AND(J669=1,I669=0)),"?IN_FOCUS",IF(J669&lt;=2,"?ACTIVATED",IF(J669&lt;&gt;"","?FAMILIAR",IF(F669="NEW",IF(ISNA(VLOOKUP(E669,#REF!,1,FALSE())),"?TYPE_IDENTIFIABLE","?REFERENTIAL"),"_")))))</f>
        <v/>
      </c>
      <c r="H669" s="23" t="str">
        <f t="shared" ca="1" si="53"/>
        <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3">
      <c r="A670" t="s">
        <v>178</v>
      </c>
      <c r="E670" s="20" t="str">
        <f t="shared" si="52"/>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53"/>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1" spans="1:12" x14ac:dyDescent="0.3">
      <c r="A671" t="s">
        <v>281</v>
      </c>
      <c r="B671" s="26" t="s">
        <v>189</v>
      </c>
      <c r="C671" s="26" t="s">
        <v>180</v>
      </c>
      <c r="D671" s="26" t="s">
        <v>181</v>
      </c>
      <c r="E671" s="20" t="s">
        <v>622</v>
      </c>
      <c r="F671" s="21" t="str">
        <f>IF(OR(E671="",E671="!!!"),"",IF(NOT(ISNA(VLOOKUP(E671,E$1:E670,1,FALSE()))),"OLD",IF(AND(E671&lt;&gt;"",E671&lt;&gt;"!!!"),"NEW","")))</f>
        <v>OLD</v>
      </c>
      <c r="G671" s="22" t="s">
        <v>698</v>
      </c>
      <c r="H671" s="23" t="s">
        <v>158</v>
      </c>
      <c r="I671" s="24" t="str">
        <f>IF(OR(E671="",E671="!!!",F671="NEW"),"",INDEX(B$2:B670,-1+SUMPRODUCT(MAX(ROW(E$2:E670)*(E671=E$2:E670)))))</f>
        <v>other_4</v>
      </c>
      <c r="J671" s="24">
        <f ca="1">IF(OR(E671="",E671="!!!",F671="NEW"),"",COUNTBLANK(OFFSET(A$1,,,SUMPRODUCT(MAX(ROW(E$2:E671)*(E671=E$2:E671)))))-COUNTBLANK(OFFSET(A$1,,,SUMPRODUCT(MAX(ROW(E$1:E670)*(E2=E$1:E670))))))</f>
        <v>0</v>
      </c>
      <c r="K671" s="24">
        <f ca="1">IF(OR(E671="",E671="!!!",F671="NEW"),"",INDEX(J$1:J670,SUMPRODUCT(MAX(ROW(E$1:E670)*(E671=E$1:E670)))))</f>
        <v>0</v>
      </c>
      <c r="L671" s="25"/>
    </row>
    <row r="672" spans="1:12" x14ac:dyDescent="0.3">
      <c r="A672" t="s">
        <v>511</v>
      </c>
      <c r="E672" s="20" t="str">
        <f t="shared" si="52"/>
        <v/>
      </c>
      <c r="F672" s="21" t="str">
        <f>IF(OR(E672="",E672="!!!"),"",IF(NOT(ISNA(VLOOKUP(E672,E$1:E671,1,FALSE()))),"OLD",IF(AND(E672&lt;&gt;"",E672&lt;&gt;"!!!"),"NEW","")))</f>
        <v/>
      </c>
      <c r="G672" s="22" t="str">
        <f>IF(OR(E672="",E672="!!!"),"",IF(OR(J672=0,AND(J672=1,K672=1),AND(J672=1,I672="SBJ"),AND(J672=1,I672=0)),"?IN_FOCUS",IF(J672&lt;=2,"?ACTIVATED",IF(J672&lt;&gt;"","?FAMILIAR",IF(F672="NEW",IF(ISNA(VLOOKUP(E672,#REF!,1,FALSE())),"?TYPE_IDENTIFIABLE","?REFERENTIAL"),"_")))))</f>
        <v/>
      </c>
      <c r="H672" s="23" t="str">
        <f t="shared" ca="1" si="53"/>
        <v/>
      </c>
      <c r="I672" s="24" t="str">
        <f>IF(OR(E672="",E672="!!!",F672="NEW"),"",INDEX(B$2:B671,-1+SUMPRODUCT(MAX(ROW(E$2:E671)*(E672=E$2:E671)))))</f>
        <v/>
      </c>
      <c r="J672" s="24" t="str">
        <f ca="1">IF(OR(E672="",E672="!!!",F672="NEW"),"",COUNTBLANK(OFFSET(A$1,,,SUMPRODUCT(MAX(ROW(E$2:E672)*(E672=E$2:E672)))))-COUNTBLANK(OFFSET(A$1,,,SUMPRODUCT(MAX(ROW(E$1:E671)*(E2=E$1:E671))))))</f>
        <v/>
      </c>
      <c r="K672" s="24" t="str">
        <f>IF(OR(E672="",E672="!!!",F672="NEW"),"",INDEX(J$1:J671,SUMPRODUCT(MAX(ROW(E$1:E671)*(E672=E$1:E671)))))</f>
        <v/>
      </c>
      <c r="L672" s="25"/>
    </row>
    <row r="673" spans="1:12" x14ac:dyDescent="0.3">
      <c r="A673" t="s">
        <v>512</v>
      </c>
      <c r="E673" s="20" t="str">
        <f t="shared" si="52"/>
        <v/>
      </c>
      <c r="F673" s="21" t="str">
        <f>IF(OR(E673="",E673="!!!"),"",IF(NOT(ISNA(VLOOKUP(E673,E$1:E672,1,FALSE()))),"OLD",IF(AND(E673&lt;&gt;"",E673&lt;&gt;"!!!"),"NEW","")))</f>
        <v/>
      </c>
      <c r="G673" s="22" t="str">
        <f>IF(OR(E673="",E673="!!!"),"",IF(OR(J673=0,AND(J673=1,K673=1),AND(J673=1,I673="SBJ"),AND(J673=1,I673=0)),"?IN_FOCUS",IF(J673&lt;=2,"?ACTIVATED",IF(J673&lt;&gt;"","?FAMILIAR",IF(F673="NEW",IF(ISNA(VLOOKUP(E673,#REF!,1,FALSE())),"?TYPE_IDENTIFIABLE","?REFERENTIAL"),"_")))))</f>
        <v/>
      </c>
      <c r="H673" s="23" t="str">
        <f t="shared" ca="1" si="53"/>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3">
      <c r="A674" t="s">
        <v>339</v>
      </c>
      <c r="B674" s="26" t="s">
        <v>169</v>
      </c>
      <c r="C674" s="26" t="s">
        <v>215</v>
      </c>
      <c r="E674" s="20" t="str">
        <f t="shared" si="52"/>
        <v/>
      </c>
      <c r="F674" s="21" t="str">
        <f>IF(OR(E674="",E674="!!!"),"",IF(NOT(ISNA(VLOOKUP(E674,E$1:E673,1,FALSE()))),"OLD",IF(AND(E674&lt;&gt;"",E674&lt;&gt;"!!!"),"NEW","")))</f>
        <v/>
      </c>
      <c r="G674" s="22" t="str">
        <f>IF(OR(E674="",E674="!!!"),"",IF(OR(J674=0,AND(J674=1,K674=1),AND(J674=1,I674="SBJ"),AND(J674=1,I674=0)),"?IN_FOCUS",IF(J674&lt;=2,"?ACTIVATED",IF(J674&lt;&gt;"","?FAMILIAR",IF(F674="NEW",IF(ISNA(VLOOKUP(E674,#REF!,1,FALSE())),"?TYPE_IDENTIFIABLE","?REFERENTIAL"),"_")))))</f>
        <v/>
      </c>
      <c r="H674" s="23" t="str">
        <f t="shared" ca="1" si="53"/>
        <v/>
      </c>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3">
      <c r="A675" t="s">
        <v>513</v>
      </c>
      <c r="E675" s="20" t="str">
        <f t="shared" si="52"/>
        <v/>
      </c>
      <c r="F675" s="21" t="str">
        <f>IF(OR(E675="",E675="!!!"),"",IF(NOT(ISNA(VLOOKUP(E675,E$1:E674,1,FALSE()))),"OLD",IF(AND(E675&lt;&gt;"",E675&lt;&gt;"!!!"),"NEW","")))</f>
        <v/>
      </c>
      <c r="G675" s="22" t="str">
        <f>IF(OR(E675="",E675="!!!"),"",IF(OR(J675=0,AND(J675=1,K675=1),AND(J675=1,I675="SBJ"),AND(J675=1,I675=0)),"?IN_FOCUS",IF(J675&lt;=2,"?ACTIVATED",IF(J675&lt;&gt;"","?FAMILIAR",IF(F675="NEW",IF(ISNA(VLOOKUP(E675,#REF!,1,FALSE())),"?TYPE_IDENTIFIABLE","?REFERENTIAL"),"_")))))</f>
        <v/>
      </c>
      <c r="H675" s="23" t="str">
        <f t="shared" ca="1" si="53"/>
        <v/>
      </c>
      <c r="I675" s="24" t="str">
        <f>IF(OR(E675="",E675="!!!",F675="NEW"),"",INDEX(B$2:B674,-1+SUMPRODUCT(MAX(ROW(E$2:E674)*(E675=E$2:E674)))))</f>
        <v/>
      </c>
      <c r="J675" s="24" t="str">
        <f ca="1">IF(OR(E675="",E675="!!!",F675="NEW"),"",COUNTBLANK(OFFSET(A$1,,,SUMPRODUCT(MAX(ROW(E$2:E675)*(E675=E$2:E675)))))-COUNTBLANK(OFFSET(A$1,,,SUMPRODUCT(MAX(ROW(E$1:E674)*(E2=E$1:E674))))))</f>
        <v/>
      </c>
      <c r="K675" s="24" t="str">
        <f>IF(OR(E675="",E675="!!!",F675="NEW"),"",INDEX(J$1:J674,SUMPRODUCT(MAX(ROW(E$1:E674)*(E675=E$1:E674)))))</f>
        <v/>
      </c>
      <c r="L675" s="25"/>
    </row>
    <row r="676" spans="1:12" x14ac:dyDescent="0.3">
      <c r="A676" t="s">
        <v>201</v>
      </c>
      <c r="E676" s="20" t="str">
        <f t="shared" si="52"/>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53"/>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8" spans="1:12" x14ac:dyDescent="0.3">
      <c r="A678" t="s">
        <v>514</v>
      </c>
    </row>
    <row r="679" spans="1:12" x14ac:dyDescent="0.3">
      <c r="A679" t="s">
        <v>494</v>
      </c>
      <c r="E679" s="20" t="str">
        <f t="shared" ref="E679:E692" si="54">IF(D679="?OLD","!!!","")</f>
        <v/>
      </c>
      <c r="F679" s="21" t="str">
        <f>IF(OR(E679="",E679="!!!"),"",IF(NOT(ISNA(VLOOKUP(E679,E$1:E678,1,FALSE()))),"OLD",IF(AND(E679&lt;&gt;"",E679&lt;&gt;"!!!"),"NEW","")))</f>
        <v/>
      </c>
      <c r="G679" s="22" t="str">
        <f>IF(OR(E679="",E679="!!!"),"",IF(OR(J679=0,AND(J679=1,K679=1),AND(J679=1,I679="SBJ"),AND(J679=1,I679=0)),"?IN_FOCUS",IF(J679&lt;=2,"?ACTIVATED",IF(J679&lt;&gt;"","?FAMILIAR",IF(F679="NEW",IF(ISNA(VLOOKUP(E679,#REF!,1,FALSE())),"?TYPE_IDENTIFIABLE","?REFERENTIAL"),"_")))))</f>
        <v/>
      </c>
      <c r="H679" s="23" t="str">
        <f t="shared" ref="H679:H692" ca="1" si="55">IF(J679&lt;&gt;1,"",IF(I679="SBJ","CB","?"))</f>
        <v/>
      </c>
      <c r="I679" s="24" t="str">
        <f>IF(OR(E679="",E679="!!!",F679="NEW"),"",INDEX(B$2:B678,-1+SUMPRODUCT(MAX(ROW(E$2:E678)*(E679=E$2:E678)))))</f>
        <v/>
      </c>
      <c r="J679" s="24" t="str">
        <f ca="1">IF(OR(E679="",E679="!!!",F679="NEW"),"",COUNTBLANK(OFFSET(A$1,,,SUMPRODUCT(MAX(ROW(E$2:E679)*(E679=E$2:E679)))))-COUNTBLANK(OFFSET(A$1,,,SUMPRODUCT(MAX(ROW(E$1:E678)*(E2=E$1:E678))))))</f>
        <v/>
      </c>
      <c r="K679" s="24" t="str">
        <f>IF(OR(E679="",E679="!!!",F679="NEW"),"",INDEX(J$1:J678,SUMPRODUCT(MAX(ROW(E$1:E678)*(E679=E$1:E678)))))</f>
        <v/>
      </c>
      <c r="L679" s="25"/>
    </row>
    <row r="680" spans="1:12" x14ac:dyDescent="0.3">
      <c r="A680" t="s">
        <v>515</v>
      </c>
      <c r="B680" s="26" t="s">
        <v>185</v>
      </c>
      <c r="C680" s="26" t="s">
        <v>194</v>
      </c>
      <c r="D680" s="26" t="s">
        <v>181</v>
      </c>
      <c r="E680" s="20" t="s">
        <v>665</v>
      </c>
      <c r="F680" s="21" t="str">
        <f>IF(OR(E680="",E680="!!!"),"",IF(NOT(ISNA(VLOOKUP(E680,E$1:E679,1,FALSE()))),"OLD",IF(AND(E680&lt;&gt;"",E680&lt;&gt;"!!!"),"NEW","")))</f>
        <v>OLD</v>
      </c>
      <c r="G680" s="22" t="s">
        <v>698</v>
      </c>
      <c r="H680" s="23" t="str">
        <f t="shared" ca="1" si="55"/>
        <v/>
      </c>
      <c r="I680" s="24">
        <f>IF(OR(E680="",E680="!!!",F680="NEW"),"",INDEX(B$2:B679,-1+SUMPRODUCT(MAX(ROW(E$2:E679)*(E680=E$2:E679)))))</f>
        <v>0</v>
      </c>
      <c r="J680" s="24">
        <f ca="1">IF(OR(E680="",E680="!!!",F680="NEW"),"",COUNTBLANK(OFFSET(A$1,,,SUMPRODUCT(MAX(ROW(E$2:E680)*(E680=E$2:E680)))))-COUNTBLANK(OFFSET(A$1,,,SUMPRODUCT(MAX(ROW(E$1:E679)*(E2=E$1:E679))))))</f>
        <v>0</v>
      </c>
      <c r="K680" s="24">
        <f ca="1">IF(OR(E680="",E680="!!!",F680="NEW"),"",INDEX(J$1:J679,SUMPRODUCT(MAX(ROW(E$1:E679)*(E680=E$1:E679)))))</f>
        <v>0</v>
      </c>
      <c r="L680" s="25"/>
    </row>
    <row r="681" spans="1:12" x14ac:dyDescent="0.3">
      <c r="A681" t="s">
        <v>398</v>
      </c>
      <c r="E681" s="20" t="str">
        <f t="shared" si="54"/>
        <v/>
      </c>
      <c r="F681" s="21" t="str">
        <f>IF(OR(E681="",E681="!!!"),"",IF(NOT(ISNA(VLOOKUP(E681,E$1:E680,1,FALSE()))),"OLD",IF(AND(E681&lt;&gt;"",E681&lt;&gt;"!!!"),"NEW","")))</f>
        <v/>
      </c>
      <c r="G681" s="22" t="str">
        <f>IF(OR(E681="",E681="!!!"),"",IF(OR(J681=0,AND(J681=1,K681=1),AND(J681=1,I681="SBJ"),AND(J681=1,I681=0)),"?IN_FOCUS",IF(J681&lt;=2,"?ACTIVATED",IF(J681&lt;&gt;"","?FAMILIAR",IF(F681="NEW",IF(ISNA(VLOOKUP(E681,#REF!,1,FALSE())),"?TYPE_IDENTIFIABLE","?REFERENTIAL"),"_")))))</f>
        <v/>
      </c>
      <c r="H681" s="23" t="str">
        <f t="shared" ca="1" si="55"/>
        <v/>
      </c>
      <c r="I681" s="24" t="str">
        <f>IF(OR(E681="",E681="!!!",F681="NEW"),"",INDEX(B$2:B680,-1+SUMPRODUCT(MAX(ROW(E$2:E680)*(E681=E$2:E680)))))</f>
        <v/>
      </c>
      <c r="J681" s="24" t="str">
        <f ca="1">IF(OR(E681="",E681="!!!",F681="NEW"),"",COUNTBLANK(OFFSET(A$1,,,SUMPRODUCT(MAX(ROW(E$2:E681)*(E681=E$2:E681)))))-COUNTBLANK(OFFSET(A$1,,,SUMPRODUCT(MAX(ROW(E$1:E680)*(E2=E$1:E680))))))</f>
        <v/>
      </c>
      <c r="K681" s="24" t="str">
        <f>IF(OR(E681="",E681="!!!",F681="NEW"),"",INDEX(J$1:J680,SUMPRODUCT(MAX(ROW(E$1:E680)*(E681=E$1:E680)))))</f>
        <v/>
      </c>
      <c r="L681" s="25"/>
    </row>
    <row r="682" spans="1:12" x14ac:dyDescent="0.3">
      <c r="A682" t="s">
        <v>178</v>
      </c>
      <c r="E682" s="20" t="str">
        <f t="shared" si="54"/>
        <v/>
      </c>
      <c r="F682" s="21" t="str">
        <f>IF(OR(E682="",E682="!!!"),"",IF(NOT(ISNA(VLOOKUP(E682,E$1:E681,1,FALSE()))),"OLD",IF(AND(E682&lt;&gt;"",E682&lt;&gt;"!!!"),"NEW","")))</f>
        <v/>
      </c>
      <c r="G682" s="22" t="str">
        <f>IF(OR(E682="",E682="!!!"),"",IF(OR(J682=0,AND(J682=1,K682=1),AND(J682=1,I682="SBJ"),AND(J682=1,I682=0)),"?IN_FOCUS",IF(J682&lt;=2,"?ACTIVATED",IF(J682&lt;&gt;"","?FAMILIAR",IF(F682="NEW",IF(ISNA(VLOOKUP(E682,#REF!,1,FALSE())),"?TYPE_IDENTIFIABLE","?REFERENTIAL"),"_")))))</f>
        <v/>
      </c>
      <c r="H682" s="23" t="str">
        <f t="shared" ca="1" si="55"/>
        <v/>
      </c>
      <c r="I682" s="24" t="str">
        <f>IF(OR(E682="",E682="!!!",F682="NEW"),"",INDEX(B$2:B681,-1+SUMPRODUCT(MAX(ROW(E$2:E681)*(E682=E$2:E681)))))</f>
        <v/>
      </c>
      <c r="J682" s="24" t="str">
        <f ca="1">IF(OR(E682="",E682="!!!",F682="NEW"),"",COUNTBLANK(OFFSET(A$1,,,SUMPRODUCT(MAX(ROW(E$2:E682)*(E682=E$2:E682)))))-COUNTBLANK(OFFSET(A$1,,,SUMPRODUCT(MAX(ROW(E$1:E681)*(E2=E$1:E681))))))</f>
        <v/>
      </c>
      <c r="K682" s="24" t="str">
        <f>IF(OR(E682="",E682="!!!",F682="NEW"),"",INDEX(J$1:J681,SUMPRODUCT(MAX(ROW(E$1:E681)*(E682=E$1:E681)))))</f>
        <v/>
      </c>
      <c r="L682" s="25"/>
    </row>
    <row r="683" spans="1:12" x14ac:dyDescent="0.3">
      <c r="A683" t="s">
        <v>516</v>
      </c>
      <c r="E683" s="20" t="str">
        <f t="shared" si="54"/>
        <v/>
      </c>
      <c r="F683" s="21" t="str">
        <f>IF(OR(E683="",E683="!!!"),"",IF(NOT(ISNA(VLOOKUP(E683,E$1:E682,1,FALSE()))),"OLD",IF(AND(E683&lt;&gt;"",E683&lt;&gt;"!!!"),"NEW","")))</f>
        <v/>
      </c>
      <c r="G683" s="22" t="str">
        <f>IF(OR(E683="",E683="!!!"),"",IF(OR(J683=0,AND(J683=1,K683=1),AND(J683=1,I683="SBJ"),AND(J683=1,I683=0)),"?IN_FOCUS",IF(J683&lt;=2,"?ACTIVATED",IF(J683&lt;&gt;"","?FAMILIAR",IF(F683="NEW",IF(ISNA(VLOOKUP(E683,#REF!,1,FALSE())),"?TYPE_IDENTIFIABLE","?REFERENTIAL"),"_")))))</f>
        <v/>
      </c>
      <c r="H683" s="23" t="str">
        <f t="shared" ca="1" si="55"/>
        <v/>
      </c>
      <c r="I683" s="24" t="str">
        <f>IF(OR(E683="",E683="!!!",F683="NEW"),"",INDEX(B$2:B682,-1+SUMPRODUCT(MAX(ROW(E$2:E682)*(E683=E$2:E682)))))</f>
        <v/>
      </c>
      <c r="J683" s="24" t="str">
        <f ca="1">IF(OR(E683="",E683="!!!",F683="NEW"),"",COUNTBLANK(OFFSET(A$1,,,SUMPRODUCT(MAX(ROW(E$2:E683)*(E683=E$2:E683)))))-COUNTBLANK(OFFSET(A$1,,,SUMPRODUCT(MAX(ROW(E$1:E682)*(E2=E$1:E682))))))</f>
        <v/>
      </c>
      <c r="K683" s="24" t="str">
        <f>IF(OR(E683="",E683="!!!",F683="NEW"),"",INDEX(J$1:J682,SUMPRODUCT(MAX(ROW(E$1:E682)*(E683=E$1:E682)))))</f>
        <v/>
      </c>
      <c r="L683" s="25" t="s">
        <v>667</v>
      </c>
    </row>
    <row r="684" spans="1:12" x14ac:dyDescent="0.3">
      <c r="A684" t="s">
        <v>517</v>
      </c>
      <c r="B684" s="26" t="s">
        <v>165</v>
      </c>
      <c r="C684" s="26" t="s">
        <v>215</v>
      </c>
      <c r="E684" s="20" t="s">
        <v>666</v>
      </c>
      <c r="F684" s="21" t="str">
        <f>IF(OR(E684="",E684="!!!"),"",IF(NOT(ISNA(VLOOKUP(E684,E$1:E683,1,FALSE()))),"OLD",IF(AND(E684&lt;&gt;"",E684&lt;&gt;"!!!"),"NEW","")))</f>
        <v>NEW</v>
      </c>
      <c r="G684" s="22" t="s">
        <v>699</v>
      </c>
      <c r="H684" s="23" t="str">
        <f t="shared" ca="1" si="55"/>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3">
      <c r="A685" t="s">
        <v>518</v>
      </c>
      <c r="E685" s="20" t="str">
        <f t="shared" si="54"/>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55"/>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6" spans="1:12" x14ac:dyDescent="0.3">
      <c r="A686" t="s">
        <v>167</v>
      </c>
      <c r="E686" s="20" t="str">
        <f t="shared" si="54"/>
        <v/>
      </c>
      <c r="F686" s="21" t="str">
        <f>IF(OR(E686="",E686="!!!"),"",IF(NOT(ISNA(VLOOKUP(E686,E$1:E685,1,FALSE()))),"OLD",IF(AND(E686&lt;&gt;"",E686&lt;&gt;"!!!"),"NEW","")))</f>
        <v/>
      </c>
      <c r="G686" s="22" t="str">
        <f>IF(OR(E686="",E686="!!!"),"",IF(OR(J686=0,AND(J686=1,K686=1),AND(J686=1,I686="SBJ"),AND(J686=1,I686=0)),"?IN_FOCUS",IF(J686&lt;=2,"?ACTIVATED",IF(J686&lt;&gt;"","?FAMILIAR",IF(F686="NEW",IF(ISNA(VLOOKUP(E686,#REF!,1,FALSE())),"?TYPE_IDENTIFIABLE","?REFERENTIAL"),"_")))))</f>
        <v/>
      </c>
      <c r="H686" s="23" t="str">
        <f t="shared" ca="1" si="55"/>
        <v/>
      </c>
      <c r="I686" s="24" t="str">
        <f>IF(OR(E686="",E686="!!!",F686="NEW"),"",INDEX(B$2:B685,-1+SUMPRODUCT(MAX(ROW(E$2:E685)*(E686=E$2:E685)))))</f>
        <v/>
      </c>
      <c r="J686" s="24" t="str">
        <f ca="1">IF(OR(E686="",E686="!!!",F686="NEW"),"",COUNTBLANK(OFFSET(A$1,,,SUMPRODUCT(MAX(ROW(E$2:E686)*(E686=E$2:E686)))))-COUNTBLANK(OFFSET(A$1,,,SUMPRODUCT(MAX(ROW(E$1:E685)*(E2=E$1:E685))))))</f>
        <v/>
      </c>
      <c r="K686" s="24" t="str">
        <f>IF(OR(E686="",E686="!!!",F686="NEW"),"",INDEX(J$1:J685,SUMPRODUCT(MAX(ROW(E$1:E685)*(E686=E$1:E685)))))</f>
        <v/>
      </c>
      <c r="L686" s="25"/>
    </row>
    <row r="687" spans="1:12" x14ac:dyDescent="0.3">
      <c r="A687" t="s">
        <v>270</v>
      </c>
      <c r="B687" s="26" t="s">
        <v>169</v>
      </c>
      <c r="E687" s="20" t="str">
        <f t="shared" si="54"/>
        <v/>
      </c>
      <c r="F687" s="21" t="str">
        <f>IF(OR(E687="",E687="!!!"),"",IF(NOT(ISNA(VLOOKUP(E687,E$1:E686,1,FALSE()))),"OLD",IF(AND(E687&lt;&gt;"",E687&lt;&gt;"!!!"),"NEW","")))</f>
        <v/>
      </c>
      <c r="G687" s="22" t="str">
        <f>IF(OR(E687="",E687="!!!"),"",IF(OR(J687=0,AND(J687=1,K687=1),AND(J687=1,I687="SBJ"),AND(J687=1,I687=0)),"?IN_FOCUS",IF(J687&lt;=2,"?ACTIVATED",IF(J687&lt;&gt;"","?FAMILIAR",IF(F687="NEW",IF(ISNA(VLOOKUP(E687,#REF!,1,FALSE())),"?TYPE_IDENTIFIABLE","?REFERENTIAL"),"_")))))</f>
        <v/>
      </c>
      <c r="H687" s="23" t="str">
        <f t="shared" ca="1" si="55"/>
        <v/>
      </c>
      <c r="I687" s="24" t="str">
        <f>IF(OR(E687="",E687="!!!",F687="NEW"),"",INDEX(B$2:B686,-1+SUMPRODUCT(MAX(ROW(E$2:E686)*(E687=E$2:E686)))))</f>
        <v/>
      </c>
      <c r="J687" s="24" t="str">
        <f ca="1">IF(OR(E687="",E687="!!!",F687="NEW"),"",COUNTBLANK(OFFSET(A$1,,,SUMPRODUCT(MAX(ROW(E$2:E687)*(E687=E$2:E687)))))-COUNTBLANK(OFFSET(A$1,,,SUMPRODUCT(MAX(ROW(E$1:E686)*(E2=E$1:E686))))))</f>
        <v/>
      </c>
      <c r="K687" s="24" t="str">
        <f>IF(OR(E687="",E687="!!!",F687="NEW"),"",INDEX(J$1:J686,SUMPRODUCT(MAX(ROW(E$1:E686)*(E687=E$1:E686)))))</f>
        <v/>
      </c>
      <c r="L687" s="25"/>
    </row>
    <row r="688" spans="1:12" x14ac:dyDescent="0.3">
      <c r="A688" t="s">
        <v>519</v>
      </c>
      <c r="E688" s="20" t="str">
        <f t="shared" si="54"/>
        <v/>
      </c>
      <c r="F688" s="21" t="str">
        <f>IF(OR(E688="",E688="!!!"),"",IF(NOT(ISNA(VLOOKUP(E688,E$1:E687,1,FALSE()))),"OLD",IF(AND(E688&lt;&gt;"",E688&lt;&gt;"!!!"),"NEW","")))</f>
        <v/>
      </c>
      <c r="G688" s="22" t="str">
        <f>IF(OR(E688="",E688="!!!"),"",IF(OR(J688=0,AND(J688=1,K688=1),AND(J688=1,I688="SBJ"),AND(J688=1,I688=0)),"?IN_FOCUS",IF(J688&lt;=2,"?ACTIVATED",IF(J688&lt;&gt;"","?FAMILIAR",IF(F688="NEW",IF(ISNA(VLOOKUP(E688,#REF!,1,FALSE())),"?TYPE_IDENTIFIABLE","?REFERENTIAL"),"_")))))</f>
        <v/>
      </c>
      <c r="H688" s="23" t="str">
        <f t="shared" ca="1" si="55"/>
        <v/>
      </c>
      <c r="I688" s="24" t="str">
        <f>IF(OR(E688="",E688="!!!",F688="NEW"),"",INDEX(B$2:B687,-1+SUMPRODUCT(MAX(ROW(E$2:E687)*(E688=E$2:E687)))))</f>
        <v/>
      </c>
      <c r="J688" s="24" t="str">
        <f ca="1">IF(OR(E688="",E688="!!!",F688="NEW"),"",COUNTBLANK(OFFSET(A$1,,,SUMPRODUCT(MAX(ROW(E$2:E688)*(E688=E$2:E688)))))-COUNTBLANK(OFFSET(A$1,,,SUMPRODUCT(MAX(ROW(E$1:E687)*(E2=E$1:E687))))))</f>
        <v/>
      </c>
      <c r="K688" s="24" t="str">
        <f>IF(OR(E688="",E688="!!!",F688="NEW"),"",INDEX(J$1:J687,SUMPRODUCT(MAX(ROW(E$1:E687)*(E688=E$1:E687)))))</f>
        <v/>
      </c>
      <c r="L688" s="25"/>
    </row>
    <row r="689" spans="1:12" x14ac:dyDescent="0.3">
      <c r="A689" t="s">
        <v>326</v>
      </c>
      <c r="B689" s="26" t="s">
        <v>169</v>
      </c>
      <c r="C689" s="26" t="s">
        <v>175</v>
      </c>
      <c r="E689" s="20" t="s">
        <v>666</v>
      </c>
      <c r="F689" s="21" t="str">
        <f>IF(OR(E689="",E689="!!!"),"",IF(NOT(ISNA(VLOOKUP(E689,E$1:E688,1,FALSE()))),"OLD",IF(AND(E689&lt;&gt;"",E689&lt;&gt;"!!!"),"NEW","")))</f>
        <v>OLD</v>
      </c>
      <c r="G689" s="22" t="s">
        <v>697</v>
      </c>
      <c r="H689" s="23" t="str">
        <f t="shared" ca="1" si="55"/>
        <v/>
      </c>
      <c r="I689" s="24" t="str">
        <f>IF(OR(E689="",E689="!!!",F689="NEW"),"",INDEX(B$2:B688,-1+SUMPRODUCT(MAX(ROW(E$2:E688)*(E689=E$2:E688)))))</f>
        <v>other</v>
      </c>
      <c r="J689" s="24">
        <f ca="1">IF(OR(E689="",E689="!!!",F689="NEW"),"",COUNTBLANK(OFFSET(A$1,,,SUMPRODUCT(MAX(ROW(E$2:E689)*(E689=E$2:E689)))))-COUNTBLANK(OFFSET(A$1,,,SUMPRODUCT(MAX(ROW(E$1:E688)*(E2=E$1:E688))))))</f>
        <v>0</v>
      </c>
      <c r="K689" s="24" t="str">
        <f ca="1">IF(OR(E689="",E689="!!!",F689="NEW"),"",INDEX(J$1:J688,SUMPRODUCT(MAX(ROW(E$1:E688)*(E689=E$1:E688)))))</f>
        <v/>
      </c>
      <c r="L689" s="25"/>
    </row>
    <row r="690" spans="1:12" x14ac:dyDescent="0.3">
      <c r="A690" t="s">
        <v>520</v>
      </c>
      <c r="E690" s="20" t="str">
        <f t="shared" si="54"/>
        <v/>
      </c>
      <c r="F690" s="21" t="str">
        <f>IF(OR(E690="",E690="!!!"),"",IF(NOT(ISNA(VLOOKUP(E690,E$1:E689,1,FALSE()))),"OLD",IF(AND(E690&lt;&gt;"",E690&lt;&gt;"!!!"),"NEW","")))</f>
        <v/>
      </c>
      <c r="G690" s="22" t="str">
        <f>IF(OR(E690="",E690="!!!"),"",IF(OR(J690=0,AND(J690=1,K690=1),AND(J690=1,I690="SBJ"),AND(J690=1,I690=0)),"?IN_FOCUS",IF(J690&lt;=2,"?ACTIVATED",IF(J690&lt;&gt;"","?FAMILIAR",IF(F690="NEW",IF(ISNA(VLOOKUP(E690,#REF!,1,FALSE())),"?TYPE_IDENTIFIABLE","?REFERENTIAL"),"_")))))</f>
        <v/>
      </c>
      <c r="H690" s="23" t="str">
        <f t="shared" ca="1" si="55"/>
        <v/>
      </c>
      <c r="I690" s="24" t="str">
        <f>IF(OR(E690="",E690="!!!",F690="NEW"),"",INDEX(B$2:B689,-1+SUMPRODUCT(MAX(ROW(E$2:E689)*(E690=E$2:E689)))))</f>
        <v/>
      </c>
      <c r="J690" s="24" t="str">
        <f ca="1">IF(OR(E690="",E690="!!!",F690="NEW"),"",COUNTBLANK(OFFSET(A$1,,,SUMPRODUCT(MAX(ROW(E$2:E690)*(E690=E$2:E690)))))-COUNTBLANK(OFFSET(A$1,,,SUMPRODUCT(MAX(ROW(E$1:E689)*(E2=E$1:E689))))))</f>
        <v/>
      </c>
      <c r="K690" s="24" t="str">
        <f>IF(OR(E690="",E690="!!!",F690="NEW"),"",INDEX(J$1:J689,SUMPRODUCT(MAX(ROW(E$1:E689)*(E690=E$1:E689)))))</f>
        <v/>
      </c>
      <c r="L690" s="25"/>
    </row>
    <row r="691" spans="1:12" x14ac:dyDescent="0.3">
      <c r="A691" t="s">
        <v>398</v>
      </c>
      <c r="E691" s="20" t="str">
        <f t="shared" si="54"/>
        <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55"/>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201</v>
      </c>
      <c r="E692" s="20" t="str">
        <f t="shared" si="54"/>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55"/>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4" spans="1:12" x14ac:dyDescent="0.3">
      <c r="A694" t="s">
        <v>521</v>
      </c>
    </row>
    <row r="695" spans="1:12" x14ac:dyDescent="0.3">
      <c r="A695" t="s">
        <v>234</v>
      </c>
      <c r="E695" s="20" t="str">
        <f t="shared" ref="E695:E720" si="56">IF(D695="?OLD","!!!","")</f>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ref="H695:H720" ca="1" si="57">IF(J695&lt;&gt;1,"",IF(I695="SBJ","CB","?"))</f>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3">
      <c r="A696" t="s">
        <v>522</v>
      </c>
      <c r="B696" s="26" t="s">
        <v>185</v>
      </c>
      <c r="C696" s="26" t="s">
        <v>194</v>
      </c>
      <c r="D696" s="26" t="s">
        <v>181</v>
      </c>
      <c r="E696" s="20"/>
      <c r="F696" s="21" t="s">
        <v>615</v>
      </c>
      <c r="G696" s="22" t="str">
        <f>IF(OR(E696="",E696="!!!"),"",IF(OR(J696=0,AND(J696=1,K696=1),AND(J696=1,I696="SBJ"),AND(J696=1,I696=0)),"?IN_FOCUS",IF(J696&lt;=2,"?ACTIVATED",IF(J696&lt;&gt;"","?FAMILIAR",IF(F696="NEW",IF(ISNA(VLOOKUP(E696,#REF!,1,FALSE())),"?TYPE_IDENTIFIABLE","?REFERENTIAL"),"_")))))</f>
        <v/>
      </c>
      <c r="H696" s="23" t="str">
        <f t="shared" ca="1" si="57"/>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7" spans="1:12" x14ac:dyDescent="0.3">
      <c r="A697" t="s">
        <v>230</v>
      </c>
      <c r="E697" s="20" t="str">
        <f t="shared" si="56"/>
        <v/>
      </c>
      <c r="F697" s="21" t="str">
        <f>IF(OR(E697="",E697="!!!"),"",IF(NOT(ISNA(VLOOKUP(E697,E$1:E696,1,FALSE()))),"OLD",IF(AND(E697&lt;&gt;"",E697&lt;&gt;"!!!"),"NEW","")))</f>
        <v/>
      </c>
      <c r="G697" s="22" t="str">
        <f>IF(OR(E697="",E697="!!!"),"",IF(OR(J697=0,AND(J697=1,K697=1),AND(J697=1,I697="SBJ"),AND(J697=1,I697=0)),"?IN_FOCUS",IF(J697&lt;=2,"?ACTIVATED",IF(J697&lt;&gt;"","?FAMILIAR",IF(F697="NEW",IF(ISNA(VLOOKUP(E697,#REF!,1,FALSE())),"?TYPE_IDENTIFIABLE","?REFERENTIAL"),"_")))))</f>
        <v/>
      </c>
      <c r="H697" s="23" t="str">
        <f t="shared" ca="1" si="57"/>
        <v/>
      </c>
      <c r="I697" s="24" t="str">
        <f>IF(OR(E697="",E697="!!!",F697="NEW"),"",INDEX(B$2:B696,-1+SUMPRODUCT(MAX(ROW(E$2:E696)*(E697=E$2:E696)))))</f>
        <v/>
      </c>
      <c r="J697" s="24" t="str">
        <f ca="1">IF(OR(E697="",E697="!!!",F697="NEW"),"",COUNTBLANK(OFFSET(A$1,,,SUMPRODUCT(MAX(ROW(E$2:E697)*(E697=E$2:E697)))))-COUNTBLANK(OFFSET(A$1,,,SUMPRODUCT(MAX(ROW(E$1:E696)*(E2=E$1:E696))))))</f>
        <v/>
      </c>
      <c r="K697" s="24" t="str">
        <f>IF(OR(E697="",E697="!!!",F697="NEW"),"",INDEX(J$1:J696,SUMPRODUCT(MAX(ROW(E$1:E696)*(E697=E$1:E696)))))</f>
        <v/>
      </c>
      <c r="L697" s="25"/>
    </row>
    <row r="698" spans="1:12" x14ac:dyDescent="0.3">
      <c r="A698" t="s">
        <v>280</v>
      </c>
      <c r="B698" s="26" t="s">
        <v>189</v>
      </c>
      <c r="C698" s="26" t="s">
        <v>194</v>
      </c>
      <c r="D698" s="26" t="s">
        <v>181</v>
      </c>
      <c r="E698" s="20" t="s">
        <v>622</v>
      </c>
      <c r="F698" s="21" t="str">
        <f>IF(OR(E698="",E698="!!!"),"",IF(NOT(ISNA(VLOOKUP(E698,E$1:E697,1,FALSE()))),"OLD",IF(AND(E698&lt;&gt;"",E698&lt;&gt;"!!!"),"NEW","")))</f>
        <v>OLD</v>
      </c>
      <c r="G698" s="22" t="s">
        <v>698</v>
      </c>
      <c r="H698" s="23" t="str">
        <f t="shared" ca="1" si="57"/>
        <v/>
      </c>
      <c r="I698" s="24" t="str">
        <f>IF(OR(E698="",E698="!!!",F698="NEW"),"",INDEX(B$2:B697,-1+SUMPRODUCT(MAX(ROW(E$2:E697)*(E698=E$2:E697)))))</f>
        <v>other_2</v>
      </c>
      <c r="J698" s="24">
        <f ca="1">IF(OR(E698="",E698="!!!",F698="NEW"),"",COUNTBLANK(OFFSET(A$1,,,SUMPRODUCT(MAX(ROW(E$2:E698)*(E698=E$2:E698)))))-COUNTBLANK(OFFSET(A$1,,,SUMPRODUCT(MAX(ROW(E$1:E697)*(E2=E$1:E697))))))</f>
        <v>0</v>
      </c>
      <c r="K698" s="24">
        <f ca="1">IF(OR(E698="",E698="!!!",F698="NEW"),"",INDEX(J$1:J697,SUMPRODUCT(MAX(ROW(E$1:E697)*(E698=E$1:E697)))))</f>
        <v>0</v>
      </c>
      <c r="L698" s="25"/>
    </row>
    <row r="699" spans="1:12" x14ac:dyDescent="0.3">
      <c r="A699" t="s">
        <v>523</v>
      </c>
      <c r="B699" s="26" t="s">
        <v>177</v>
      </c>
      <c r="C699" s="26" t="s">
        <v>180</v>
      </c>
      <c r="D699" s="26" t="s">
        <v>181</v>
      </c>
      <c r="E699" s="20" t="s">
        <v>669</v>
      </c>
      <c r="F699" s="21" t="str">
        <f>IF(OR(E699="",E699="!!!"),"",IF(NOT(ISNA(VLOOKUP(E699,E$1:E698,1,FALSE()))),"OLD",IF(AND(E699&lt;&gt;"",E699&lt;&gt;"!!!"),"NEW","")))</f>
        <v>NEW</v>
      </c>
      <c r="G699" s="22" t="s">
        <v>699</v>
      </c>
      <c r="H699" s="23" t="str">
        <f t="shared" ca="1" si="57"/>
        <v/>
      </c>
      <c r="I699" s="24" t="str">
        <f>IF(OR(E699="",E699="!!!",F699="NEW"),"",INDEX(B$2:B698,-1+SUMPRODUCT(MAX(ROW(E$2:E698)*(E699=E$2:E698)))))</f>
        <v/>
      </c>
      <c r="J699" s="24" t="str">
        <f ca="1">IF(OR(E699="",E699="!!!",F699="NEW"),"",COUNTBLANK(OFFSET(A$1,,,SUMPRODUCT(MAX(ROW(E$2:E699)*(E699=E$2:E699)))))-COUNTBLANK(OFFSET(A$1,,,SUMPRODUCT(MAX(ROW(E$1:E698)*(E2=E$1:E698))))))</f>
        <v/>
      </c>
      <c r="K699" s="24" t="str">
        <f>IF(OR(E699="",E699="!!!",F699="NEW"),"",INDEX(J$1:J698,SUMPRODUCT(MAX(ROW(E$1:E698)*(E699=E$1:E698)))))</f>
        <v/>
      </c>
      <c r="L699" s="25"/>
    </row>
    <row r="700" spans="1:12" x14ac:dyDescent="0.3">
      <c r="A700" t="s">
        <v>524</v>
      </c>
      <c r="E700" s="20" t="str">
        <f t="shared" si="56"/>
        <v/>
      </c>
      <c r="F700" s="21" t="str">
        <f>IF(OR(E700="",E700="!!!"),"",IF(NOT(ISNA(VLOOKUP(E700,E$1:E699,1,FALSE()))),"OLD",IF(AND(E700&lt;&gt;"",E700&lt;&gt;"!!!"),"NEW","")))</f>
        <v/>
      </c>
      <c r="G700" s="22" t="str">
        <f>IF(OR(E700="",E700="!!!"),"",IF(OR(J700=0,AND(J700=1,K700=1),AND(J700=1,I700="SBJ"),AND(J700=1,I700=0)),"?IN_FOCUS",IF(J700&lt;=2,"?ACTIVATED",IF(J700&lt;&gt;"","?FAMILIAR",IF(F700="NEW",IF(ISNA(VLOOKUP(E700,#REF!,1,FALSE())),"?TYPE_IDENTIFIABLE","?REFERENTIAL"),"_")))))</f>
        <v/>
      </c>
      <c r="H700" s="23" t="str">
        <f t="shared" ca="1" si="57"/>
        <v/>
      </c>
      <c r="I700" s="24" t="str">
        <f>IF(OR(E700="",E700="!!!",F700="NEW"),"",INDEX(B$2:B699,-1+SUMPRODUCT(MAX(ROW(E$2:E699)*(E700=E$2:E699)))))</f>
        <v/>
      </c>
      <c r="J700" s="24" t="str">
        <f ca="1">IF(OR(E700="",E700="!!!",F700="NEW"),"",COUNTBLANK(OFFSET(A$1,,,SUMPRODUCT(MAX(ROW(E$2:E700)*(E700=E$2:E700)))))-COUNTBLANK(OFFSET(A$1,,,SUMPRODUCT(MAX(ROW(E$1:E699)*(E2=E$1:E699))))))</f>
        <v/>
      </c>
      <c r="K700" s="24" t="str">
        <f>IF(OR(E700="",E700="!!!",F700="NEW"),"",INDEX(J$1:J699,SUMPRODUCT(MAX(ROW(E$1:E699)*(E700=E$1:E699)))))</f>
        <v/>
      </c>
      <c r="L700" s="25"/>
    </row>
    <row r="701" spans="1:12" x14ac:dyDescent="0.3">
      <c r="A701" t="s">
        <v>278</v>
      </c>
      <c r="E701" s="20" t="str">
        <f t="shared" si="56"/>
        <v/>
      </c>
      <c r="F701" s="21" t="str">
        <f>IF(OR(E701="",E701="!!!"),"",IF(NOT(ISNA(VLOOKUP(E701,E$1:E700,1,FALSE()))),"OLD",IF(AND(E701&lt;&gt;"",E701&lt;&gt;"!!!"),"NEW","")))</f>
        <v/>
      </c>
      <c r="G701" s="22" t="str">
        <f>IF(OR(E701="",E701="!!!"),"",IF(OR(J701=0,AND(J701=1,K701=1),AND(J701=1,I701="SBJ"),AND(J701=1,I701=0)),"?IN_FOCUS",IF(J701&lt;=2,"?ACTIVATED",IF(J701&lt;&gt;"","?FAMILIAR",IF(F701="NEW",IF(ISNA(VLOOKUP(E701,#REF!,1,FALSE())),"?TYPE_IDENTIFIABLE","?REFERENTIAL"),"_")))))</f>
        <v/>
      </c>
      <c r="H701" s="23" t="str">
        <f t="shared" ca="1" si="57"/>
        <v/>
      </c>
      <c r="I701" s="24" t="str">
        <f>IF(OR(E701="",E701="!!!",F701="NEW"),"",INDEX(B$2:B700,-1+SUMPRODUCT(MAX(ROW(E$2:E700)*(E701=E$2:E700)))))</f>
        <v/>
      </c>
      <c r="J701" s="24" t="str">
        <f ca="1">IF(OR(E701="",E701="!!!",F701="NEW"),"",COUNTBLANK(OFFSET(A$1,,,SUMPRODUCT(MAX(ROW(E$2:E701)*(E701=E$2:E701)))))-COUNTBLANK(OFFSET(A$1,,,SUMPRODUCT(MAX(ROW(E$1:E700)*(E2=E$1:E700))))))</f>
        <v/>
      </c>
      <c r="K701" s="24" t="str">
        <f>IF(OR(E701="",E701="!!!",F701="NEW"),"",INDEX(J$1:J700,SUMPRODUCT(MAX(ROW(E$1:E700)*(E701=E$1:E700)))))</f>
        <v/>
      </c>
      <c r="L701" s="25"/>
    </row>
    <row r="702" spans="1:12" x14ac:dyDescent="0.3">
      <c r="A702" t="s">
        <v>167</v>
      </c>
      <c r="E702" s="20" t="str">
        <f t="shared" si="56"/>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57"/>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240</v>
      </c>
      <c r="E703" s="20" t="str">
        <f t="shared" si="56"/>
        <v/>
      </c>
      <c r="F703" s="21" t="str">
        <f>IF(OR(E703="",E703="!!!"),"",IF(NOT(ISNA(VLOOKUP(E703,E$1:E702,1,FALSE()))),"OLD",IF(AND(E703&lt;&gt;"",E703&lt;&gt;"!!!"),"NEW","")))</f>
        <v/>
      </c>
      <c r="G703" s="22" t="str">
        <f>IF(OR(E703="",E703="!!!"),"",IF(OR(J703=0,AND(J703=1,K703=1),AND(J703=1,I703="SBJ"),AND(J703=1,I703=0)),"?IN_FOCUS",IF(J703&lt;=2,"?ACTIVATED",IF(J703&lt;&gt;"","?FAMILIAR",IF(F703="NEW",IF(ISNA(VLOOKUP(E703,#REF!,1,FALSE())),"?TYPE_IDENTIFIABLE","?REFERENTIAL"),"_")))))</f>
        <v/>
      </c>
      <c r="H703" s="23" t="str">
        <f t="shared" ca="1" si="57"/>
        <v/>
      </c>
      <c r="I703" s="24" t="str">
        <f>IF(OR(E703="",E703="!!!",F703="NEW"),"",INDEX(B$2:B702,-1+SUMPRODUCT(MAX(ROW(E$2:E702)*(E703=E$2:E702)))))</f>
        <v/>
      </c>
      <c r="J703" s="24" t="str">
        <f ca="1">IF(OR(E703="",E703="!!!",F703="NEW"),"",COUNTBLANK(OFFSET(A$1,,,SUMPRODUCT(MAX(ROW(E$2:E703)*(E703=E$2:E703)))))-COUNTBLANK(OFFSET(A$1,,,SUMPRODUCT(MAX(ROW(E$1:E702)*(E2=E$1:E702))))))</f>
        <v/>
      </c>
      <c r="K703" s="24" t="str">
        <f>IF(OR(E703="",E703="!!!",F703="NEW"),"",INDEX(J$1:J702,SUMPRODUCT(MAX(ROW(E$1:E702)*(E703=E$1:E702)))))</f>
        <v/>
      </c>
      <c r="L703" s="25"/>
    </row>
    <row r="704" spans="1:12" x14ac:dyDescent="0.3">
      <c r="A704" t="s">
        <v>270</v>
      </c>
      <c r="E704" s="20" t="str">
        <f t="shared" si="56"/>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57"/>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245</v>
      </c>
      <c r="B705" s="26" t="s">
        <v>169</v>
      </c>
      <c r="C705" s="26" t="s">
        <v>194</v>
      </c>
      <c r="D705" s="26" t="s">
        <v>181</v>
      </c>
      <c r="E705" s="20" t="s">
        <v>644</v>
      </c>
      <c r="F705" s="21" t="str">
        <f>IF(OR(E705="",E705="!!!"),"",IF(NOT(ISNA(VLOOKUP(E705,E$1:E704,1,FALSE()))),"OLD",IF(AND(E705&lt;&gt;"",E705&lt;&gt;"!!!"),"NEW","")))</f>
        <v>OLD</v>
      </c>
      <c r="G705" s="22" t="s">
        <v>696</v>
      </c>
      <c r="H705" s="23" t="str">
        <f t="shared" ca="1" si="57"/>
        <v/>
      </c>
      <c r="I705" s="24" t="str">
        <f>IF(OR(E705="",E705="!!!",F705="NEW"),"",INDEX(B$2:B704,-1+SUMPRODUCT(MAX(ROW(E$2:E704)*(E705=E$2:E704)))))</f>
        <v>SBJ</v>
      </c>
      <c r="J705" s="24">
        <f ca="1">IF(OR(E705="",E705="!!!",F705="NEW"),"",COUNTBLANK(OFFSET(A$1,,,SUMPRODUCT(MAX(ROW(E$2:E705)*(E705=E$2:E705)))))-COUNTBLANK(OFFSET(A$1,,,SUMPRODUCT(MAX(ROW(E$1:E704)*(E2=E$1:E704))))))</f>
        <v>0</v>
      </c>
      <c r="K705" s="24">
        <f ca="1">IF(OR(E705="",E705="!!!",F705="NEW"),"",INDEX(J$1:J704,SUMPRODUCT(MAX(ROW(E$1:E704)*(E705=E$1:E704)))))</f>
        <v>0</v>
      </c>
      <c r="L705" s="25"/>
    </row>
    <row r="706" spans="1:12" x14ac:dyDescent="0.3">
      <c r="A706" t="s">
        <v>525</v>
      </c>
      <c r="E706" s="20" t="str">
        <f t="shared" si="56"/>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57"/>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7" spans="1:12" x14ac:dyDescent="0.3">
      <c r="A707" t="s">
        <v>380</v>
      </c>
      <c r="B707" s="26" t="s">
        <v>172</v>
      </c>
      <c r="C707" s="26" t="s">
        <v>215</v>
      </c>
      <c r="E707" s="20" t="str">
        <f t="shared" si="56"/>
        <v/>
      </c>
      <c r="F707" s="21" t="str">
        <f>IF(OR(E707="",E707="!!!"),"",IF(NOT(ISNA(VLOOKUP(E707,E$1:E706,1,FALSE()))),"OLD",IF(AND(E707&lt;&gt;"",E707&lt;&gt;"!!!"),"NEW","")))</f>
        <v/>
      </c>
      <c r="G707" s="22" t="str">
        <f>IF(OR(E707="",E707="!!!"),"",IF(OR(J707=0,AND(J707=1,K707=1),AND(J707=1,I707="SBJ"),AND(J707=1,I707=0)),"?IN_FOCUS",IF(J707&lt;=2,"?ACTIVATED",IF(J707&lt;&gt;"","?FAMILIAR",IF(F707="NEW",IF(ISNA(VLOOKUP(E707,#REF!,1,FALSE())),"?TYPE_IDENTIFIABLE","?REFERENTIAL"),"_")))))</f>
        <v/>
      </c>
      <c r="H707" s="23" t="str">
        <f t="shared" ca="1" si="57"/>
        <v/>
      </c>
      <c r="I707" s="24" t="str">
        <f>IF(OR(E707="",E707="!!!",F707="NEW"),"",INDEX(B$2:B706,-1+SUMPRODUCT(MAX(ROW(E$2:E706)*(E707=E$2:E706)))))</f>
        <v/>
      </c>
      <c r="J707" s="24" t="str">
        <f ca="1">IF(OR(E707="",E707="!!!",F707="NEW"),"",COUNTBLANK(OFFSET(A$1,,,SUMPRODUCT(MAX(ROW(E$2:E707)*(E707=E$2:E707)))))-COUNTBLANK(OFFSET(A$1,,,SUMPRODUCT(MAX(ROW(E$1:E706)*(E2=E$1:E706))))))</f>
        <v/>
      </c>
      <c r="K707" s="24" t="str">
        <f>IF(OR(E707="",E707="!!!",F707="NEW"),"",INDEX(J$1:J706,SUMPRODUCT(MAX(ROW(E$1:E706)*(E707=E$1:E706)))))</f>
        <v/>
      </c>
      <c r="L707" s="25"/>
    </row>
    <row r="708" spans="1:12" x14ac:dyDescent="0.3">
      <c r="A708" t="s">
        <v>186</v>
      </c>
      <c r="E708" s="20" t="str">
        <f t="shared" si="56"/>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ca="1" si="57"/>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3">
      <c r="A709" t="s">
        <v>526</v>
      </c>
      <c r="E709" s="20" t="str">
        <f t="shared" si="56"/>
        <v/>
      </c>
      <c r="F709" s="21" t="str">
        <f>IF(OR(E709="",E709="!!!"),"",IF(NOT(ISNA(VLOOKUP(E709,E$1:E708,1,FALSE()))),"OLD",IF(AND(E709&lt;&gt;"",E709&lt;&gt;"!!!"),"NEW","")))</f>
        <v/>
      </c>
      <c r="G709" s="22" t="str">
        <f>IF(OR(E709="",E709="!!!"),"",IF(OR(J709=0,AND(J709=1,K709=1),AND(J709=1,I709="SBJ"),AND(J709=1,I709=0)),"?IN_FOCUS",IF(J709&lt;=2,"?ACTIVATED",IF(J709&lt;&gt;"","?FAMILIAR",IF(F709="NEW",IF(ISNA(VLOOKUP(E709,#REF!,1,FALSE())),"?TYPE_IDENTIFIABLE","?REFERENTIAL"),"_")))))</f>
        <v/>
      </c>
      <c r="H709" s="23" t="str">
        <f t="shared" ca="1" si="57"/>
        <v/>
      </c>
      <c r="I709" s="24" t="str">
        <f>IF(OR(E709="",E709="!!!",F709="NEW"),"",INDEX(B$2:B708,-1+SUMPRODUCT(MAX(ROW(E$2:E708)*(E709=E$2:E708)))))</f>
        <v/>
      </c>
      <c r="J709" s="24" t="str">
        <f ca="1">IF(OR(E709="",E709="!!!",F709="NEW"),"",COUNTBLANK(OFFSET(A$1,,,SUMPRODUCT(MAX(ROW(E$2:E709)*(E709=E$2:E709)))))-COUNTBLANK(OFFSET(A$1,,,SUMPRODUCT(MAX(ROW(E$1:E708)*(E2=E$1:E708))))))</f>
        <v/>
      </c>
      <c r="K709" s="24" t="str">
        <f>IF(OR(E709="",E709="!!!",F709="NEW"),"",INDEX(J$1:J708,SUMPRODUCT(MAX(ROW(E$1:E708)*(E709=E$1:E708)))))</f>
        <v/>
      </c>
      <c r="L709" s="25"/>
    </row>
    <row r="710" spans="1:12" x14ac:dyDescent="0.3">
      <c r="A710" t="s">
        <v>527</v>
      </c>
      <c r="B710" s="26" t="s">
        <v>177</v>
      </c>
      <c r="C710" s="26" t="s">
        <v>215</v>
      </c>
      <c r="E710" s="20" t="str">
        <f t="shared" si="56"/>
        <v/>
      </c>
      <c r="F710" s="21" t="str">
        <f>IF(OR(E710="",E710="!!!"),"",IF(NOT(ISNA(VLOOKUP(E710,E$1:E709,1,FALSE()))),"OLD",IF(AND(E710&lt;&gt;"",E710&lt;&gt;"!!!"),"NEW","")))</f>
        <v/>
      </c>
      <c r="G710" s="22" t="str">
        <f>IF(OR(E710="",E710="!!!"),"",IF(OR(J710=0,AND(J710=1,K710=1),AND(J710=1,I710="SBJ"),AND(J710=1,I710=0)),"?IN_FOCUS",IF(J710&lt;=2,"?ACTIVATED",IF(J710&lt;&gt;"","?FAMILIAR",IF(F710="NEW",IF(ISNA(VLOOKUP(E710,#REF!,1,FALSE())),"?TYPE_IDENTIFIABLE","?REFERENTIAL"),"_")))))</f>
        <v/>
      </c>
      <c r="H710" s="23" t="str">
        <f t="shared" ca="1" si="57"/>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397</v>
      </c>
      <c r="E711" s="20" t="str">
        <f t="shared" si="56"/>
        <v/>
      </c>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57"/>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row>
    <row r="712" spans="1:12" x14ac:dyDescent="0.3">
      <c r="A712" t="s">
        <v>452</v>
      </c>
      <c r="E712" s="20" t="str">
        <f t="shared" si="56"/>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57"/>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167</v>
      </c>
      <c r="E713" s="20" t="str">
        <f t="shared" si="56"/>
        <v/>
      </c>
      <c r="F713" s="21" t="str">
        <f>IF(OR(E713="",E713="!!!"),"",IF(NOT(ISNA(VLOOKUP(E713,E$1:E712,1,FALSE()))),"OLD",IF(AND(E713&lt;&gt;"",E713&lt;&gt;"!!!"),"NEW","")))</f>
        <v/>
      </c>
      <c r="G713" s="22" t="str">
        <f>IF(OR(E713="",E713="!!!"),"",IF(OR(J713=0,AND(J713=1,K713=1),AND(J713=1,I713="SBJ"),AND(J713=1,I713=0)),"?IN_FOCUS",IF(J713&lt;=2,"?ACTIVATED",IF(J713&lt;&gt;"","?FAMILIAR",IF(F713="NEW",IF(ISNA(VLOOKUP(E713,#REF!,1,FALSE())),"?TYPE_IDENTIFIABLE","?REFERENTIAL"),"_")))))</f>
        <v/>
      </c>
      <c r="H713" s="23" t="str">
        <f t="shared" ca="1" si="57"/>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270</v>
      </c>
      <c r="B714" s="26" t="s">
        <v>169</v>
      </c>
      <c r="E714" s="20" t="str">
        <f t="shared" si="56"/>
        <v/>
      </c>
      <c r="F714" s="21" t="str">
        <f>IF(OR(E714="",E714="!!!"),"",IF(NOT(ISNA(VLOOKUP(E714,E$1:E713,1,FALSE()))),"OLD",IF(AND(E714&lt;&gt;"",E714&lt;&gt;"!!!"),"NEW","")))</f>
        <v/>
      </c>
      <c r="G714" s="22" t="str">
        <f>IF(OR(E714="",E714="!!!"),"",IF(OR(J714=0,AND(J714=1,K714=1),AND(J714=1,I714="SBJ"),AND(J714=1,I714=0)),"?IN_FOCUS",IF(J714&lt;=2,"?ACTIVATED",IF(J714&lt;&gt;"","?FAMILIAR",IF(F714="NEW",IF(ISNA(VLOOKUP(E714,#REF!,1,FALSE())),"?TYPE_IDENTIFIABLE","?REFERENTIAL"),"_")))))</f>
        <v/>
      </c>
      <c r="H714" s="23" t="str">
        <f t="shared" ca="1" si="57"/>
        <v/>
      </c>
      <c r="I714" s="24" t="str">
        <f>IF(OR(E714="",E714="!!!",F714="NEW"),"",INDEX(B$2:B713,-1+SUMPRODUCT(MAX(ROW(E$2:E713)*(E714=E$2:E713)))))</f>
        <v/>
      </c>
      <c r="J714" s="24" t="str">
        <f ca="1">IF(OR(E714="",E714="!!!",F714="NEW"),"",COUNTBLANK(OFFSET(A$1,,,SUMPRODUCT(MAX(ROW(E$2:E714)*(E714=E$2:E714)))))-COUNTBLANK(OFFSET(A$1,,,SUMPRODUCT(MAX(ROW(E$1:E713)*(E2=E$1:E713))))))</f>
        <v/>
      </c>
      <c r="K714" s="24" t="str">
        <f>IF(OR(E714="",E714="!!!",F714="NEW"),"",INDEX(J$1:J713,SUMPRODUCT(MAX(ROW(E$1:E713)*(E714=E$1:E713)))))</f>
        <v/>
      </c>
      <c r="L714" s="25"/>
    </row>
    <row r="715" spans="1:12" x14ac:dyDescent="0.3">
      <c r="A715" t="s">
        <v>235</v>
      </c>
      <c r="E715" s="20" t="str">
        <f t="shared" si="56"/>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57"/>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197</v>
      </c>
      <c r="E716" s="20" t="str">
        <f t="shared" si="56"/>
        <v/>
      </c>
      <c r="F716" s="21" t="str">
        <f>IF(OR(E716="",E716="!!!"),"",IF(NOT(ISNA(VLOOKUP(E716,E$1:E715,1,FALSE()))),"OLD",IF(AND(E716&lt;&gt;"",E716&lt;&gt;"!!!"),"NEW","")))</f>
        <v/>
      </c>
      <c r="G716" s="22" t="str">
        <f>IF(OR(E716="",E716="!!!"),"",IF(OR(J716=0,AND(J716=1,K716=1),AND(J716=1,I716="SBJ"),AND(J716=1,I716=0)),"?IN_FOCUS",IF(J716&lt;=2,"?ACTIVATED",IF(J716&lt;&gt;"","?FAMILIAR",IF(F716="NEW",IF(ISNA(VLOOKUP(E716,#REF!,1,FALSE())),"?TYPE_IDENTIFIABLE","?REFERENTIAL"),"_")))))</f>
        <v/>
      </c>
      <c r="H716" s="23" t="str">
        <f t="shared" ca="1" si="57"/>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row>
    <row r="717" spans="1:12" x14ac:dyDescent="0.3">
      <c r="A717" t="s">
        <v>528</v>
      </c>
      <c r="B717" s="26" t="s">
        <v>189</v>
      </c>
      <c r="C717" s="26" t="s">
        <v>194</v>
      </c>
      <c r="D717" s="26" t="s">
        <v>181</v>
      </c>
      <c r="E717" s="20" t="s">
        <v>693</v>
      </c>
      <c r="F717" s="21" t="str">
        <f>IF(OR(E717="",E717="!!!"),"",IF(NOT(ISNA(VLOOKUP(E717,E$1:E716,1,FALSE()))),"OLD",IF(AND(E717&lt;&gt;"",E717&lt;&gt;"!!!"),"NEW","")))</f>
        <v>OLD</v>
      </c>
      <c r="G717" s="22" t="s">
        <v>696</v>
      </c>
      <c r="H717" s="23" t="str">
        <f t="shared" ca="1" si="57"/>
        <v/>
      </c>
      <c r="I717" s="24" t="str">
        <f>IF(OR(E717="",E717="!!!",F717="NEW"),"",INDEX(B$2:B716,-1+SUMPRODUCT(MAX(ROW(E$2:E716)*(E717=E$2:E716)))))</f>
        <v>other_3</v>
      </c>
      <c r="J717" s="24">
        <f ca="1">IF(OR(E717="",E717="!!!",F717="NEW"),"",COUNTBLANK(OFFSET(A$1,,,SUMPRODUCT(MAX(ROW(E$2:E717)*(E717=E$2:E717)))))-COUNTBLANK(OFFSET(A$1,,,SUMPRODUCT(MAX(ROW(E$1:E716)*(E2=E$1:E716))))))</f>
        <v>0</v>
      </c>
      <c r="K717" s="24" t="str">
        <f ca="1">IF(OR(E717="",E717="!!!",F717="NEW"),"",INDEX(J$1:J716,SUMPRODUCT(MAX(ROW(E$1:E716)*(E717=E$1:E716)))))</f>
        <v/>
      </c>
      <c r="L717" s="25"/>
    </row>
    <row r="718" spans="1:12" x14ac:dyDescent="0.3">
      <c r="A718" t="s">
        <v>529</v>
      </c>
      <c r="E718" s="20" t="str">
        <f t="shared" si="56"/>
        <v/>
      </c>
      <c r="F718" s="21" t="str">
        <f>IF(OR(E718="",E718="!!!"),"",IF(NOT(ISNA(VLOOKUP(E718,E$1:E717,1,FALSE()))),"OLD",IF(AND(E718&lt;&gt;"",E718&lt;&gt;"!!!"),"NEW","")))</f>
        <v/>
      </c>
      <c r="G718" s="22" t="str">
        <f>IF(OR(E718="",E718="!!!"),"",IF(OR(J718=0,AND(J718=1,K718=1),AND(J718=1,I718="SBJ"),AND(J718=1,I718=0)),"?IN_FOCUS",IF(J718&lt;=2,"?ACTIVATED",IF(J718&lt;&gt;"","?FAMILIAR",IF(F718="NEW",IF(ISNA(VLOOKUP(E718,#REF!,1,FALSE())),"?TYPE_IDENTIFIABLE","?REFERENTIAL"),"_")))))</f>
        <v/>
      </c>
      <c r="H718" s="23" t="str">
        <f t="shared" ca="1" si="57"/>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row>
    <row r="719" spans="1:12" x14ac:dyDescent="0.3">
      <c r="A719" t="s">
        <v>398</v>
      </c>
      <c r="E719" s="20" t="str">
        <f t="shared" si="56"/>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57"/>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0" spans="1:12" x14ac:dyDescent="0.3">
      <c r="A720" t="s">
        <v>201</v>
      </c>
      <c r="E720" s="20" t="str">
        <f t="shared" si="56"/>
        <v/>
      </c>
      <c r="F720" s="21" t="str">
        <f>IF(OR(E720="",E720="!!!"),"",IF(NOT(ISNA(VLOOKUP(E720,E$1:E719,1,FALSE()))),"OLD",IF(AND(E720&lt;&gt;"",E720&lt;&gt;"!!!"),"NEW","")))</f>
        <v/>
      </c>
      <c r="G720" s="22" t="str">
        <f>IF(OR(E720="",E720="!!!"),"",IF(OR(J720=0,AND(J720=1,K720=1),AND(J720=1,I720="SBJ"),AND(J720=1,I720=0)),"?IN_FOCUS",IF(J720&lt;=2,"?ACTIVATED",IF(J720&lt;&gt;"","?FAMILIAR",IF(F720="NEW",IF(ISNA(VLOOKUP(E720,#REF!,1,FALSE())),"?TYPE_IDENTIFIABLE","?REFERENTIAL"),"_")))))</f>
        <v/>
      </c>
      <c r="H720" s="23" t="str">
        <f t="shared" ca="1" si="57"/>
        <v/>
      </c>
      <c r="I720" s="24" t="str">
        <f>IF(OR(E720="",E720="!!!",F720="NEW"),"",INDEX(B$2:B719,-1+SUMPRODUCT(MAX(ROW(E$2:E719)*(E720=E$2:E719)))))</f>
        <v/>
      </c>
      <c r="J720" s="24" t="str">
        <f ca="1">IF(OR(E720="",E720="!!!",F720="NEW"),"",COUNTBLANK(OFFSET(A$1,,,SUMPRODUCT(MAX(ROW(E$2:E720)*(E720=E$2:E720)))))-COUNTBLANK(OFFSET(A$1,,,SUMPRODUCT(MAX(ROW(E$1:E719)*(E2=E$1:E719))))))</f>
        <v/>
      </c>
      <c r="K720" s="24" t="str">
        <f>IF(OR(E720="",E720="!!!",F720="NEW"),"",INDEX(J$1:J719,SUMPRODUCT(MAX(ROW(E$1:E719)*(E720=E$1:E719)))))</f>
        <v/>
      </c>
      <c r="L720" s="25"/>
    </row>
    <row r="722" spans="1:12" x14ac:dyDescent="0.3">
      <c r="A722" t="s">
        <v>530</v>
      </c>
    </row>
    <row r="723" spans="1:12" x14ac:dyDescent="0.3">
      <c r="A723" t="s">
        <v>306</v>
      </c>
      <c r="E723" s="20" t="str">
        <f t="shared" ref="E723:E738" si="58">IF(D723="?OLD","!!!","")</f>
        <v/>
      </c>
      <c r="F723" s="21" t="str">
        <f>IF(OR(E723="",E723="!!!"),"",IF(NOT(ISNA(VLOOKUP(E723,E$1:E722,1,FALSE()))),"OLD",IF(AND(E723&lt;&gt;"",E723&lt;&gt;"!!!"),"NEW","")))</f>
        <v/>
      </c>
      <c r="G723" s="22" t="str">
        <f>IF(OR(E723="",E723="!!!"),"",IF(OR(J723=0,AND(J723=1,K723=1),AND(J723=1,I723="SBJ"),AND(J723=1,I723=0)),"?IN_FOCUS",IF(J723&lt;=2,"?ACTIVATED",IF(J723&lt;&gt;"","?FAMILIAR",IF(F723="NEW",IF(ISNA(VLOOKUP(E723,#REF!,1,FALSE())),"?TYPE_IDENTIFIABLE","?REFERENTIAL"),"_")))))</f>
        <v/>
      </c>
      <c r="H723" s="23" t="str">
        <f t="shared" ref="H723:H738" ca="1" si="59">IF(J723&lt;&gt;1,"",IF(I723="SBJ","CB","?"))</f>
        <v/>
      </c>
      <c r="I723" s="24" t="str">
        <f>IF(OR(E723="",E723="!!!",F723="NEW"),"",INDEX(B$2:B722,-1+SUMPRODUCT(MAX(ROW(E$2:E722)*(E723=E$2:E722)))))</f>
        <v/>
      </c>
      <c r="J723" s="24" t="str">
        <f ca="1">IF(OR(E723="",E723="!!!",F723="NEW"),"",COUNTBLANK(OFFSET(A$1,,,SUMPRODUCT(MAX(ROW(E$2:E723)*(E723=E$2:E723)))))-COUNTBLANK(OFFSET(A$1,,,SUMPRODUCT(MAX(ROW(E$1:E722)*(E2=E$1:E722))))))</f>
        <v/>
      </c>
      <c r="K723" s="24" t="str">
        <f>IF(OR(E723="",E723="!!!",F723="NEW"),"",INDEX(J$1:J722,SUMPRODUCT(MAX(ROW(E$1:E722)*(E723=E$1:E722)))))</f>
        <v/>
      </c>
      <c r="L723" s="25"/>
    </row>
    <row r="724" spans="1:12" x14ac:dyDescent="0.3">
      <c r="A724" t="s">
        <v>191</v>
      </c>
      <c r="E724" s="20" t="str">
        <f t="shared" si="58"/>
        <v/>
      </c>
      <c r="F724" s="21" t="str">
        <f>IF(OR(E724="",E724="!!!"),"",IF(NOT(ISNA(VLOOKUP(E724,E$1:E723,1,FALSE()))),"OLD",IF(AND(E724&lt;&gt;"",E724&lt;&gt;"!!!"),"NEW","")))</f>
        <v/>
      </c>
      <c r="G724" s="22" t="str">
        <f>IF(OR(E724="",E724="!!!"),"",IF(OR(J724=0,AND(J724=1,K724=1),AND(J724=1,I724="SBJ"),AND(J724=1,I724=0)),"?IN_FOCUS",IF(J724&lt;=2,"?ACTIVATED",IF(J724&lt;&gt;"","?FAMILIAR",IF(F724="NEW",IF(ISNA(VLOOKUP(E724,#REF!,1,FALSE())),"?TYPE_IDENTIFIABLE","?REFERENTIAL"),"_")))))</f>
        <v/>
      </c>
      <c r="H724" s="23" t="str">
        <f t="shared" ca="1" si="59"/>
        <v/>
      </c>
      <c r="I724" s="24" t="str">
        <f>IF(OR(E724="",E724="!!!",F724="NEW"),"",INDEX(B$2:B723,-1+SUMPRODUCT(MAX(ROW(E$2:E723)*(E724=E$2:E723)))))</f>
        <v/>
      </c>
      <c r="J724" s="24" t="str">
        <f ca="1">IF(OR(E724="",E724="!!!",F724="NEW"),"",COUNTBLANK(OFFSET(A$1,,,SUMPRODUCT(MAX(ROW(E$2:E724)*(E724=E$2:E724)))))-COUNTBLANK(OFFSET(A$1,,,SUMPRODUCT(MAX(ROW(E$1:E723)*(E2=E$1:E723))))))</f>
        <v/>
      </c>
      <c r="K724" s="24" t="str">
        <f>IF(OR(E724="",E724="!!!",F724="NEW"),"",INDEX(J$1:J723,SUMPRODUCT(MAX(ROW(E$1:E723)*(E724=E$1:E723)))))</f>
        <v/>
      </c>
      <c r="L724" s="25"/>
    </row>
    <row r="725" spans="1:12" x14ac:dyDescent="0.3">
      <c r="A725" t="s">
        <v>531</v>
      </c>
      <c r="B725" s="26" t="s">
        <v>165</v>
      </c>
      <c r="C725" s="26" t="s">
        <v>194</v>
      </c>
      <c r="D725" s="26" t="s">
        <v>181</v>
      </c>
      <c r="E725" s="20"/>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59"/>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322</v>
      </c>
      <c r="B726" s="26" t="s">
        <v>189</v>
      </c>
      <c r="C726" s="26" t="s">
        <v>180</v>
      </c>
      <c r="D726" s="26" t="s">
        <v>181</v>
      </c>
      <c r="E726" s="20" t="s">
        <v>685</v>
      </c>
      <c r="F726" s="21" t="str">
        <f>IF(OR(E726="",E726="!!!"),"",IF(NOT(ISNA(VLOOKUP(E726,E$1:E725,1,FALSE()))),"OLD",IF(AND(E726&lt;&gt;"",E726&lt;&gt;"!!!"),"NEW","")))</f>
        <v>OLD</v>
      </c>
      <c r="G726" s="22" t="s">
        <v>696</v>
      </c>
      <c r="H726" s="23" t="str">
        <f t="shared" ca="1" si="59"/>
        <v/>
      </c>
      <c r="I726" s="24" t="str">
        <f>IF(OR(E726="",E726="!!!",F726="NEW"),"",INDEX(B$2:B725,-1+SUMPRODUCT(MAX(ROW(E$2:E725)*(E726=E$2:E725)))))</f>
        <v>other_2</v>
      </c>
      <c r="J726" s="24">
        <f ca="1">IF(OR(E726="",E726="!!!",F726="NEW"),"",COUNTBLANK(OFFSET(A$1,,,SUMPRODUCT(MAX(ROW(E$2:E726)*(E726=E$2:E726)))))-COUNTBLANK(OFFSET(A$1,,,SUMPRODUCT(MAX(ROW(E$1:E725)*(E2=E$1:E725))))))</f>
        <v>0</v>
      </c>
      <c r="K726" s="24" t="str">
        <f ca="1">IF(OR(E726="",E726="!!!",F726="NEW"),"",INDEX(J$1:J725,SUMPRODUCT(MAX(ROW(E$1:E725)*(E726=E$1:E725)))))</f>
        <v/>
      </c>
      <c r="L726" s="25"/>
    </row>
    <row r="727" spans="1:12" x14ac:dyDescent="0.3">
      <c r="A727" t="s">
        <v>186</v>
      </c>
      <c r="E727" s="20" t="str">
        <f t="shared" si="58"/>
        <v/>
      </c>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59"/>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row>
    <row r="728" spans="1:12" x14ac:dyDescent="0.3">
      <c r="A728" t="s">
        <v>532</v>
      </c>
      <c r="B728" s="26" t="s">
        <v>177</v>
      </c>
      <c r="C728" s="26" t="s">
        <v>180</v>
      </c>
      <c r="D728" s="26" t="s">
        <v>181</v>
      </c>
      <c r="E728" s="20" t="s">
        <v>668</v>
      </c>
      <c r="F728" s="21" t="str">
        <f>IF(OR(E728="",E728="!!!"),"",IF(NOT(ISNA(VLOOKUP(E728,E$1:E727,1,FALSE()))),"OLD",IF(AND(E728&lt;&gt;"",E728&lt;&gt;"!!!"),"NEW","")))</f>
        <v>NEW</v>
      </c>
      <c r="G728" s="22" t="s">
        <v>156</v>
      </c>
      <c r="H728" s="23" t="str">
        <f t="shared" ca="1" si="59"/>
        <v/>
      </c>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29" spans="1:12" x14ac:dyDescent="0.3">
      <c r="A729" t="s">
        <v>398</v>
      </c>
      <c r="E729" s="20" t="str">
        <f t="shared" si="58"/>
        <v/>
      </c>
      <c r="F729" s="21" t="str">
        <f>IF(OR(E729="",E729="!!!"),"",IF(NOT(ISNA(VLOOKUP(E729,E$1:E728,1,FALSE()))),"OLD",IF(AND(E729&lt;&gt;"",E729&lt;&gt;"!!!"),"NEW","")))</f>
        <v/>
      </c>
      <c r="G729" s="22" t="str">
        <f>IF(OR(E729="",E729="!!!"),"",IF(OR(J729=0,AND(J729=1,K729=1),AND(J729=1,I729="SBJ"),AND(J729=1,I729=0)),"?IN_FOCUS",IF(J729&lt;=2,"?ACTIVATED",IF(J729&lt;&gt;"","?FAMILIAR",IF(F729="NEW",IF(ISNA(VLOOKUP(E729,#REF!,1,FALSE())),"?TYPE_IDENTIFIABLE","?REFERENTIAL"),"_")))))</f>
        <v/>
      </c>
      <c r="H729" s="23" t="str">
        <f t="shared" ca="1" si="59"/>
        <v/>
      </c>
      <c r="I729" s="24" t="str">
        <f>IF(OR(E729="",E729="!!!",F729="NEW"),"",INDEX(B$2:B728,-1+SUMPRODUCT(MAX(ROW(E$2:E728)*(E729=E$2:E728)))))</f>
        <v/>
      </c>
      <c r="J729" s="24" t="str">
        <f ca="1">IF(OR(E729="",E729="!!!",F729="NEW"),"",COUNTBLANK(OFFSET(A$1,,,SUMPRODUCT(MAX(ROW(E$2:E729)*(E729=E$2:E729)))))-COUNTBLANK(OFFSET(A$1,,,SUMPRODUCT(MAX(ROW(E$1:E728)*(E2=E$1:E728))))))</f>
        <v/>
      </c>
      <c r="K729" s="24" t="str">
        <f>IF(OR(E729="",E729="!!!",F729="NEW"),"",INDEX(J$1:J728,SUMPRODUCT(MAX(ROW(E$1:E728)*(E729=E$1:E728)))))</f>
        <v/>
      </c>
      <c r="L729" s="25"/>
    </row>
    <row r="730" spans="1:12" x14ac:dyDescent="0.3">
      <c r="A730" t="s">
        <v>533</v>
      </c>
      <c r="B730" s="26" t="s">
        <v>185</v>
      </c>
      <c r="C730" s="26" t="s">
        <v>166</v>
      </c>
      <c r="E730" s="20" t="str">
        <f t="shared" si="58"/>
        <v/>
      </c>
      <c r="F730" s="21" t="str">
        <f>IF(OR(E730="",E730="!!!"),"",IF(NOT(ISNA(VLOOKUP(E730,E$1:E729,1,FALSE()))),"OLD",IF(AND(E730&lt;&gt;"",E730&lt;&gt;"!!!"),"NEW","")))</f>
        <v/>
      </c>
      <c r="G730" s="22" t="str">
        <f>IF(OR(E730="",E730="!!!"),"",IF(OR(J730=0,AND(J730=1,K730=1),AND(J730=1,I730="SBJ"),AND(J730=1,I730=0)),"?IN_FOCUS",IF(J730&lt;=2,"?ACTIVATED",IF(J730&lt;&gt;"","?FAMILIAR",IF(F730="NEW",IF(ISNA(VLOOKUP(E730,#REF!,1,FALSE())),"?TYPE_IDENTIFIABLE","?REFERENTIAL"),"_")))))</f>
        <v/>
      </c>
      <c r="H730" s="23" t="str">
        <f t="shared" ca="1" si="59"/>
        <v/>
      </c>
      <c r="I730" s="24" t="str">
        <f>IF(OR(E730="",E730="!!!",F730="NEW"),"",INDEX(B$2:B729,-1+SUMPRODUCT(MAX(ROW(E$2:E729)*(E730=E$2:E729)))))</f>
        <v/>
      </c>
      <c r="J730" s="24" t="str">
        <f ca="1">IF(OR(E730="",E730="!!!",F730="NEW"),"",COUNTBLANK(OFFSET(A$1,,,SUMPRODUCT(MAX(ROW(E$2:E730)*(E730=E$2:E730)))))-COUNTBLANK(OFFSET(A$1,,,SUMPRODUCT(MAX(ROW(E$1:E729)*(E2=E$1:E729))))))</f>
        <v/>
      </c>
      <c r="K730" s="24" t="str">
        <f>IF(OR(E730="",E730="!!!",F730="NEW"),"",INDEX(J$1:J729,SUMPRODUCT(MAX(ROW(E$1:E729)*(E730=E$1:E729)))))</f>
        <v/>
      </c>
      <c r="L730" s="25"/>
    </row>
    <row r="731" spans="1:12" x14ac:dyDescent="0.3">
      <c r="A731" t="s">
        <v>534</v>
      </c>
      <c r="E731" s="20" t="str">
        <f t="shared" si="58"/>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ca="1" si="59"/>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2" spans="1:12" x14ac:dyDescent="0.3">
      <c r="A732" t="s">
        <v>167</v>
      </c>
      <c r="E732" s="20" t="str">
        <f t="shared" si="58"/>
        <v/>
      </c>
      <c r="F732" s="21" t="str">
        <f>IF(OR(E732="",E732="!!!"),"",IF(NOT(ISNA(VLOOKUP(E732,E$1:E731,1,FALSE()))),"OLD",IF(AND(E732&lt;&gt;"",E732&lt;&gt;"!!!"),"NEW","")))</f>
        <v/>
      </c>
      <c r="G732" s="22" t="str">
        <f>IF(OR(E732="",E732="!!!"),"",IF(OR(J732=0,AND(J732=1,K732=1),AND(J732=1,I732="SBJ"),AND(J732=1,I732=0)),"?IN_FOCUS",IF(J732&lt;=2,"?ACTIVATED",IF(J732&lt;&gt;"","?FAMILIAR",IF(F732="NEW",IF(ISNA(VLOOKUP(E732,#REF!,1,FALSE())),"?TYPE_IDENTIFIABLE","?REFERENTIAL"),"_")))))</f>
        <v/>
      </c>
      <c r="H732" s="23" t="str">
        <f t="shared" ca="1" si="59"/>
        <v/>
      </c>
      <c r="I732" s="24" t="str">
        <f>IF(OR(E732="",E732="!!!",F732="NEW"),"",INDEX(B$2:B731,-1+SUMPRODUCT(MAX(ROW(E$2:E731)*(E732=E$2:E731)))))</f>
        <v/>
      </c>
      <c r="J732" s="24" t="str">
        <f ca="1">IF(OR(E732="",E732="!!!",F732="NEW"),"",COUNTBLANK(OFFSET(A$1,,,SUMPRODUCT(MAX(ROW(E$2:E732)*(E732=E$2:E732)))))-COUNTBLANK(OFFSET(A$1,,,SUMPRODUCT(MAX(ROW(E$1:E731)*(E2=E$1:E731))))))</f>
        <v/>
      </c>
      <c r="K732" s="24" t="str">
        <f>IF(OR(E732="",E732="!!!",F732="NEW"),"",INDEX(J$1:J731,SUMPRODUCT(MAX(ROW(E$1:E731)*(E732=E$1:E731)))))</f>
        <v/>
      </c>
      <c r="L732" s="25"/>
    </row>
    <row r="733" spans="1:12" x14ac:dyDescent="0.3">
      <c r="A733" t="s">
        <v>368</v>
      </c>
      <c r="E733" s="20" t="str">
        <f t="shared" si="58"/>
        <v/>
      </c>
      <c r="F733" s="21" t="str">
        <f>IF(OR(E733="",E733="!!!"),"",IF(NOT(ISNA(VLOOKUP(E733,E$1:E732,1,FALSE()))),"OLD",IF(AND(E733&lt;&gt;"",E733&lt;&gt;"!!!"),"NEW","")))</f>
        <v/>
      </c>
      <c r="G733" s="22" t="str">
        <f>IF(OR(E733="",E733="!!!"),"",IF(OR(J733=0,AND(J733=1,K733=1),AND(J733=1,I733="SBJ"),AND(J733=1,I733=0)),"?IN_FOCUS",IF(J733&lt;=2,"?ACTIVATED",IF(J733&lt;&gt;"","?FAMILIAR",IF(F733="NEW",IF(ISNA(VLOOKUP(E733,#REF!,1,FALSE())),"?TYPE_IDENTIFIABLE","?REFERENTIAL"),"_")))))</f>
        <v/>
      </c>
      <c r="H733" s="23" t="str">
        <f t="shared" ca="1" si="59"/>
        <v/>
      </c>
      <c r="I733" s="24" t="str">
        <f>IF(OR(E733="",E733="!!!",F733="NEW"),"",INDEX(B$2:B732,-1+SUMPRODUCT(MAX(ROW(E$2:E732)*(E733=E$2:E732)))))</f>
        <v/>
      </c>
      <c r="J733" s="24" t="str">
        <f ca="1">IF(OR(E733="",E733="!!!",F733="NEW"),"",COUNTBLANK(OFFSET(A$1,,,SUMPRODUCT(MAX(ROW(E$2:E733)*(E733=E$2:E733)))))-COUNTBLANK(OFFSET(A$1,,,SUMPRODUCT(MAX(ROW(E$1:E732)*(E2=E$1:E732))))))</f>
        <v/>
      </c>
      <c r="K733" s="24" t="str">
        <f>IF(OR(E733="",E733="!!!",F733="NEW"),"",INDEX(J$1:J732,SUMPRODUCT(MAX(ROW(E$1:E732)*(E733=E$1:E732)))))</f>
        <v/>
      </c>
      <c r="L733" s="25"/>
    </row>
    <row r="734" spans="1:12" x14ac:dyDescent="0.3">
      <c r="A734" t="s">
        <v>270</v>
      </c>
      <c r="E734" s="20" t="str">
        <f t="shared" si="58"/>
        <v/>
      </c>
      <c r="F734" s="21" t="str">
        <f>IF(OR(E734="",E734="!!!"),"",IF(NOT(ISNA(VLOOKUP(E734,E$1:E733,1,FALSE()))),"OLD",IF(AND(E734&lt;&gt;"",E734&lt;&gt;"!!!"),"NEW","")))</f>
        <v/>
      </c>
      <c r="G734" s="22" t="str">
        <f>IF(OR(E734="",E734="!!!"),"",IF(OR(J734=0,AND(J734=1,K734=1),AND(J734=1,I734="SBJ"),AND(J734=1,I734=0)),"?IN_FOCUS",IF(J734&lt;=2,"?ACTIVATED",IF(J734&lt;&gt;"","?FAMILIAR",IF(F734="NEW",IF(ISNA(VLOOKUP(E734,#REF!,1,FALSE())),"?TYPE_IDENTIFIABLE","?REFERENTIAL"),"_")))))</f>
        <v/>
      </c>
      <c r="H734" s="23" t="str">
        <f t="shared" ca="1" si="59"/>
        <v/>
      </c>
      <c r="I734" s="24" t="str">
        <f>IF(OR(E734="",E734="!!!",F734="NEW"),"",INDEX(B$2:B733,-1+SUMPRODUCT(MAX(ROW(E$2:E733)*(E734=E$2:E733)))))</f>
        <v/>
      </c>
      <c r="J734" s="24" t="str">
        <f ca="1">IF(OR(E734="",E734="!!!",F734="NEW"),"",COUNTBLANK(OFFSET(A$1,,,SUMPRODUCT(MAX(ROW(E$2:E734)*(E734=E$2:E734)))))-COUNTBLANK(OFFSET(A$1,,,SUMPRODUCT(MAX(ROW(E$1:E733)*(E2=E$1:E733))))))</f>
        <v/>
      </c>
      <c r="K734" s="24" t="str">
        <f>IF(OR(E734="",E734="!!!",F734="NEW"),"",INDEX(J$1:J733,SUMPRODUCT(MAX(ROW(E$1:E733)*(E734=E$1:E733)))))</f>
        <v/>
      </c>
      <c r="L734" s="25"/>
    </row>
    <row r="735" spans="1:12" x14ac:dyDescent="0.3">
      <c r="A735" t="s">
        <v>535</v>
      </c>
      <c r="B735" s="26" t="s">
        <v>172</v>
      </c>
      <c r="C735" s="26" t="s">
        <v>194</v>
      </c>
      <c r="D735" s="26" t="s">
        <v>181</v>
      </c>
      <c r="E735" s="20" t="s">
        <v>665</v>
      </c>
      <c r="F735" s="21" t="str">
        <f>IF(OR(E735="",E735="!!!"),"",IF(NOT(ISNA(VLOOKUP(E735,E$1:E734,1,FALSE()))),"OLD",IF(AND(E735&lt;&gt;"",E735&lt;&gt;"!!!"),"NEW","")))</f>
        <v>OLD</v>
      </c>
      <c r="G735" s="22" t="s">
        <v>698</v>
      </c>
      <c r="H735" s="23" t="str">
        <f t="shared" ca="1" si="59"/>
        <v/>
      </c>
      <c r="I735" s="24" t="str">
        <f>IF(OR(E735="",E735="!!!",F735="NEW"),"",INDEX(B$2:B734,-1+SUMPRODUCT(MAX(ROW(E$2:E734)*(E735=E$2:E734)))))</f>
        <v>SBJ</v>
      </c>
      <c r="J735" s="24">
        <f ca="1">IF(OR(E735="",E735="!!!",F735="NEW"),"",COUNTBLANK(OFFSET(A$1,,,SUMPRODUCT(MAX(ROW(E$2:E735)*(E735=E$2:E735)))))-COUNTBLANK(OFFSET(A$1,,,SUMPRODUCT(MAX(ROW(E$1:E734)*(E2=E$1:E734))))))</f>
        <v>0</v>
      </c>
      <c r="K735" s="24">
        <f ca="1">IF(OR(E735="",E735="!!!",F735="NEW"),"",INDEX(J$1:J734,SUMPRODUCT(MAX(ROW(E$1:E734)*(E735=E$1:E734)))))</f>
        <v>0</v>
      </c>
      <c r="L735" s="25"/>
    </row>
    <row r="736" spans="1:12" x14ac:dyDescent="0.3">
      <c r="A736" t="s">
        <v>173</v>
      </c>
      <c r="E736" s="20" t="str">
        <f t="shared" si="58"/>
        <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59"/>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7" spans="1:12" x14ac:dyDescent="0.3">
      <c r="A737" t="s">
        <v>536</v>
      </c>
      <c r="E737" s="20" t="str">
        <f t="shared" si="58"/>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59"/>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201</v>
      </c>
      <c r="E738" s="20" t="str">
        <f t="shared" si="58"/>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59"/>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40" spans="1:12" x14ac:dyDescent="0.3">
      <c r="A740" t="s">
        <v>421</v>
      </c>
      <c r="E740" s="20" t="str">
        <f>IF(D740="?OLD","!!!","")</f>
        <v/>
      </c>
      <c r="F740" s="21" t="str">
        <f>IF(OR(E740="",E740="!!!"),"",IF(NOT(ISNA(VLOOKUP(E740,E$1:E739,1,FALSE()))),"OLD",IF(AND(E740&lt;&gt;"",E740&lt;&gt;"!!!"),"NEW","")))</f>
        <v/>
      </c>
      <c r="G740" s="22" t="str">
        <f>IF(OR(E740="",E740="!!!"),"",IF(OR(J740=0,AND(J740=1,K740=1),AND(J740=1,I740="SBJ"),AND(J740=1,I740=0)),"?IN_FOCUS",IF(J740&lt;=2,"?ACTIVATED",IF(J740&lt;&gt;"","?FAMILIAR",IF(F740="NEW",IF(ISNA(VLOOKUP(E740,#REF!,1,FALSE())),"?TYPE_IDENTIFIABLE","?REFERENTIAL"),"_")))))</f>
        <v/>
      </c>
      <c r="H740" s="23" t="str">
        <f ca="1">IF(J740&lt;&gt;1,"",IF(I740="SBJ","CB","?"))</f>
        <v/>
      </c>
      <c r="I740" s="24" t="str">
        <f>IF(OR(E740="",E740="!!!",F740="NEW"),"",INDEX(B$2:B739,-1+SUMPRODUCT(MAX(ROW(E$2:E739)*(E740=E$2:E739)))))</f>
        <v/>
      </c>
      <c r="J740" s="24" t="str">
        <f ca="1">IF(OR(E740="",E740="!!!",F740="NEW"),"",COUNTBLANK(OFFSET(A$1,,,SUMPRODUCT(MAX(ROW(E$2:E740)*(E740=E$2:E740)))))-COUNTBLANK(OFFSET(A$1,,,SUMPRODUCT(MAX(ROW(E$1:E739)*(E2=E$1:E739))))))</f>
        <v/>
      </c>
      <c r="K740" s="24" t="str">
        <f>IF(OR(E740="",E740="!!!",F740="NEW"),"",INDEX(J$1:J739,SUMPRODUCT(MAX(ROW(E$1:E739)*(E740=E$1:E739)))))</f>
        <v/>
      </c>
      <c r="L740" s="25"/>
    </row>
    <row r="741" spans="1:12" x14ac:dyDescent="0.3">
      <c r="A741" t="s">
        <v>537</v>
      </c>
    </row>
    <row r="742" spans="1:12" x14ac:dyDescent="0.3">
      <c r="A742" t="s">
        <v>423</v>
      </c>
      <c r="E742" s="20" t="str">
        <f t="shared" ref="E742:E761" si="60">IF(D742="?OLD","!!!","")</f>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ref="H742:H761" ca="1" si="61">IF(J742&lt;&gt;1,"",IF(I742="SBJ","CB","?"))</f>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538</v>
      </c>
      <c r="E743" s="20" t="str">
        <f t="shared" si="60"/>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61"/>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260</v>
      </c>
      <c r="E744" s="20" t="str">
        <f t="shared" si="60"/>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61"/>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401</v>
      </c>
      <c r="B745" s="26" t="s">
        <v>169</v>
      </c>
      <c r="C745" s="26" t="s">
        <v>194</v>
      </c>
      <c r="D745" s="26" t="s">
        <v>181</v>
      </c>
      <c r="E745" s="20" t="s">
        <v>693</v>
      </c>
      <c r="F745" s="21" t="str">
        <f>IF(OR(E745="",E745="!!!"),"",IF(NOT(ISNA(VLOOKUP(E745,E$1:E744,1,FALSE()))),"OLD",IF(AND(E745&lt;&gt;"",E745&lt;&gt;"!!!"),"NEW","")))</f>
        <v>OLD</v>
      </c>
      <c r="G745" s="22" t="s">
        <v>698</v>
      </c>
      <c r="H745" s="23" t="str">
        <f t="shared" ca="1" si="61"/>
        <v/>
      </c>
      <c r="I745" s="24" t="str">
        <f>IF(OR(E745="",E745="!!!",F745="NEW"),"",INDEX(B$2:B744,-1+SUMPRODUCT(MAX(ROW(E$2:E744)*(E745=E$2:E744)))))</f>
        <v>other_2</v>
      </c>
      <c r="J745" s="24">
        <f ca="1">IF(OR(E745="",E745="!!!",F745="NEW"),"",COUNTBLANK(OFFSET(A$1,,,SUMPRODUCT(MAX(ROW(E$2:E745)*(E745=E$2:E745)))))-COUNTBLANK(OFFSET(A$1,,,SUMPRODUCT(MAX(ROW(E$1:E744)*(E2=E$1:E744))))))</f>
        <v>0</v>
      </c>
      <c r="K745" s="24">
        <f ca="1">IF(OR(E745="",E745="!!!",F745="NEW"),"",INDEX(J$1:J744,SUMPRODUCT(MAX(ROW(E$1:E744)*(E745=E$1:E744)))))</f>
        <v>0</v>
      </c>
      <c r="L745" s="25"/>
    </row>
    <row r="746" spans="1:12" x14ac:dyDescent="0.3">
      <c r="A746" t="s">
        <v>539</v>
      </c>
      <c r="E746" s="20" t="str">
        <f t="shared" si="60"/>
        <v/>
      </c>
      <c r="F746" s="21" t="str">
        <f>IF(OR(E746="",E746="!!!"),"",IF(NOT(ISNA(VLOOKUP(E746,E$1:E745,1,FALSE()))),"OLD",IF(AND(E746&lt;&gt;"",E746&lt;&gt;"!!!"),"NEW","")))</f>
        <v/>
      </c>
      <c r="G746" s="22" t="str">
        <f>IF(OR(E746="",E746="!!!"),"",IF(OR(J746=0,AND(J746=1,K746=1),AND(J746=1,I746="SBJ"),AND(J746=1,I746=0)),"?IN_FOCUS",IF(J746&lt;=2,"?ACTIVATED",IF(J746&lt;&gt;"","?FAMILIAR",IF(F746="NEW",IF(ISNA(VLOOKUP(E746,#REF!,1,FALSE())),"?TYPE_IDENTIFIABLE","?REFERENTIAL"),"_")))))</f>
        <v/>
      </c>
      <c r="H746" s="23" t="str">
        <f t="shared" ca="1" si="61"/>
        <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3">
      <c r="A747" t="s">
        <v>540</v>
      </c>
      <c r="E747" s="20" t="str">
        <f t="shared" si="60"/>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61"/>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167</v>
      </c>
      <c r="E748" s="20" t="str">
        <f t="shared" si="60"/>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61"/>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327</v>
      </c>
      <c r="E749" s="20" t="str">
        <f t="shared" si="60"/>
        <v/>
      </c>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61"/>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435</v>
      </c>
      <c r="B750" s="26" t="s">
        <v>185</v>
      </c>
      <c r="C750" s="26" t="s">
        <v>277</v>
      </c>
      <c r="D750" s="26" t="s">
        <v>181</v>
      </c>
      <c r="E750" s="20" t="s">
        <v>665</v>
      </c>
      <c r="F750" s="21" t="str">
        <f>IF(OR(E750="",E750="!!!"),"",IF(NOT(ISNA(VLOOKUP(E750,E$1:E749,1,FALSE()))),"OLD",IF(AND(E750&lt;&gt;"",E750&lt;&gt;"!!!"),"NEW","")))</f>
        <v>OLD</v>
      </c>
      <c r="G750" s="22" t="s">
        <v>697</v>
      </c>
      <c r="H750" s="23" t="s">
        <v>158</v>
      </c>
      <c r="I750" s="24" t="str">
        <f>IF(OR(E750="",E750="!!!",F750="NEW"),"",INDEX(B$2:B749,-1+SUMPRODUCT(MAX(ROW(E$2:E749)*(E750=E$2:E749)))))</f>
        <v>OBJ_2</v>
      </c>
      <c r="J750" s="24">
        <f ca="1">IF(OR(E750="",E750="!!!",F750="NEW"),"",COUNTBLANK(OFFSET(A$1,,,SUMPRODUCT(MAX(ROW(E$2:E750)*(E750=E$2:E750)))))-COUNTBLANK(OFFSET(A$1,,,SUMPRODUCT(MAX(ROW(E$1:E749)*(E2=E$1:E749))))))</f>
        <v>0</v>
      </c>
      <c r="K750" s="24">
        <f ca="1">IF(OR(E750="",E750="!!!",F750="NEW"),"",INDEX(J$1:J749,SUMPRODUCT(MAX(ROW(E$1:E749)*(E750=E$1:E749)))))</f>
        <v>0</v>
      </c>
      <c r="L750" s="25"/>
    </row>
    <row r="751" spans="1:12" x14ac:dyDescent="0.3">
      <c r="A751" t="s">
        <v>541</v>
      </c>
      <c r="E751" s="20" t="str">
        <f t="shared" si="60"/>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61"/>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178</v>
      </c>
      <c r="E752" s="20" t="str">
        <f t="shared" si="60"/>
        <v/>
      </c>
      <c r="F752" s="21" t="str">
        <f>IF(OR(E752="",E752="!!!"),"",IF(NOT(ISNA(VLOOKUP(E752,E$1:E751,1,FALSE()))),"OLD",IF(AND(E752&lt;&gt;"",E752&lt;&gt;"!!!"),"NEW","")))</f>
        <v/>
      </c>
      <c r="G752" s="22" t="str">
        <f>IF(OR(E752="",E752="!!!"),"",IF(OR(J752=0,AND(J752=1,K752=1),AND(J752=1,I752="SBJ"),AND(J752=1,I752=0)),"?IN_FOCUS",IF(J752&lt;=2,"?ACTIVATED",IF(J752&lt;&gt;"","?FAMILIAR",IF(F752="NEW",IF(ISNA(VLOOKUP(E752,#REF!,1,FALSE())),"?TYPE_IDENTIFIABLE","?REFERENTIAL"),"_")))))</f>
        <v/>
      </c>
      <c r="H752" s="23" t="str">
        <f t="shared" ca="1" si="61"/>
        <v/>
      </c>
      <c r="I752" s="24" t="str">
        <f>IF(OR(E752="",E752="!!!",F752="NEW"),"",INDEX(B$2:B751,-1+SUMPRODUCT(MAX(ROW(E$2:E751)*(E752=E$2:E751)))))</f>
        <v/>
      </c>
      <c r="J752" s="24" t="str">
        <f ca="1">IF(OR(E752="",E752="!!!",F752="NEW"),"",COUNTBLANK(OFFSET(A$1,,,SUMPRODUCT(MAX(ROW(E$2:E752)*(E752=E$2:E752)))))-COUNTBLANK(OFFSET(A$1,,,SUMPRODUCT(MAX(ROW(E$1:E751)*(E2=E$1:E751))))))</f>
        <v/>
      </c>
      <c r="K752" s="24" t="str">
        <f>IF(OR(E752="",E752="!!!",F752="NEW"),"",INDEX(J$1:J751,SUMPRODUCT(MAX(ROW(E$1:E751)*(E752=E$1:E751)))))</f>
        <v/>
      </c>
      <c r="L752" s="25"/>
    </row>
    <row r="753" spans="1:12" x14ac:dyDescent="0.3">
      <c r="A753" t="s">
        <v>222</v>
      </c>
      <c r="E753" s="20" t="s">
        <v>665</v>
      </c>
      <c r="F753" s="21" t="str">
        <f>IF(OR(E753="",E753="!!!"),"",IF(NOT(ISNA(VLOOKUP(E753,E$1:E752,1,FALSE()))),"OLD",IF(AND(E753&lt;&gt;"",E753&lt;&gt;"!!!"),"NEW","")))</f>
        <v>OLD</v>
      </c>
      <c r="G753" s="22" t="s">
        <v>697</v>
      </c>
      <c r="H753" s="23" t="str">
        <f t="shared" ca="1" si="61"/>
        <v/>
      </c>
      <c r="I753" s="24" t="str">
        <f>IF(OR(E753="",E753="!!!",F753="NEW"),"",INDEX(B$2:B752,-1+SUMPRODUCT(MAX(ROW(E$2:E752)*(E753=E$2:E752)))))</f>
        <v>SBJ</v>
      </c>
      <c r="J753" s="24">
        <f ca="1">IF(OR(E753="",E753="!!!",F753="NEW"),"",COUNTBLANK(OFFSET(A$1,,,SUMPRODUCT(MAX(ROW(E$2:E753)*(E753=E$2:E753)))))-COUNTBLANK(OFFSET(A$1,,,SUMPRODUCT(MAX(ROW(E$1:E752)*(E2=E$1:E752))))))</f>
        <v>0</v>
      </c>
      <c r="K753" s="24">
        <f ca="1">IF(OR(E753="",E753="!!!",F753="NEW"),"",INDEX(J$1:J752,SUMPRODUCT(MAX(ROW(E$1:E752)*(E753=E$1:E752)))))</f>
        <v>0</v>
      </c>
      <c r="L753" s="25"/>
    </row>
    <row r="754" spans="1:12" x14ac:dyDescent="0.3">
      <c r="A754" t="s">
        <v>339</v>
      </c>
      <c r="B754" s="26" t="s">
        <v>165</v>
      </c>
      <c r="C754" s="26" t="s">
        <v>224</v>
      </c>
      <c r="E754" s="20" t="s">
        <v>692</v>
      </c>
      <c r="F754" s="21" t="str">
        <f>IF(OR(E754="",E754="!!!"),"",IF(NOT(ISNA(VLOOKUP(E754,E$1:E753,1,FALSE()))),"OLD",IF(AND(E754&lt;&gt;"",E754&lt;&gt;"!!!"),"NEW","")))</f>
        <v>OLD</v>
      </c>
      <c r="G754" s="22" t="s">
        <v>696</v>
      </c>
      <c r="H754" s="23" t="str">
        <f t="shared" ca="1" si="61"/>
        <v/>
      </c>
      <c r="I754" s="24" t="str">
        <f>IF(OR(E754="",E754="!!!",F754="NEW"),"",INDEX(B$2:B753,-1+SUMPRODUCT(MAX(ROW(E$2:E753)*(E754=E$2:E753)))))</f>
        <v>other_3</v>
      </c>
      <c r="J754" s="24">
        <f ca="1">IF(OR(E754="",E754="!!!",F754="NEW"),"",COUNTBLANK(OFFSET(A$1,,,SUMPRODUCT(MAX(ROW(E$2:E754)*(E754=E$2:E754)))))-COUNTBLANK(OFFSET(A$1,,,SUMPRODUCT(MAX(ROW(E$1:E753)*(E2=E$1:E753))))))</f>
        <v>0</v>
      </c>
      <c r="K754" s="24" t="str">
        <f ca="1">IF(OR(E754="",E754="!!!",F754="NEW"),"",INDEX(J$1:J753,SUMPRODUCT(MAX(ROW(E$1:E753)*(E754=E$1:E753)))))</f>
        <v/>
      </c>
      <c r="L754" s="25"/>
    </row>
    <row r="755" spans="1:12" x14ac:dyDescent="0.3">
      <c r="A755" t="s">
        <v>122</v>
      </c>
      <c r="E755" s="20" t="str">
        <f t="shared" si="60"/>
        <v/>
      </c>
      <c r="F755" s="21" t="str">
        <f>IF(OR(E755="",E755="!!!"),"",IF(NOT(ISNA(VLOOKUP(E755,E$1:E754,1,FALSE()))),"OLD",IF(AND(E755&lt;&gt;"",E755&lt;&gt;"!!!"),"NEW","")))</f>
        <v/>
      </c>
      <c r="G755" s="22" t="str">
        <f>IF(OR(E755="",E755="!!!"),"",IF(OR(J755=0,AND(J755=1,K755=1),AND(J755=1,I755="SBJ"),AND(J755=1,I755=0)),"?IN_FOCUS",IF(J755&lt;=2,"?ACTIVATED",IF(J755&lt;&gt;"","?FAMILIAR",IF(F755="NEW",IF(ISNA(VLOOKUP(E755,#REF!,1,FALSE())),"?TYPE_IDENTIFIABLE","?REFERENTIAL"),"_")))))</f>
        <v/>
      </c>
      <c r="H755" s="23" t="str">
        <f t="shared" ca="1" si="61"/>
        <v/>
      </c>
      <c r="I755" s="24" t="str">
        <f>IF(OR(E755="",E755="!!!",F755="NEW"),"",INDEX(B$2:B754,-1+SUMPRODUCT(MAX(ROW(E$2:E754)*(E755=E$2:E754)))))</f>
        <v/>
      </c>
      <c r="J755" s="24" t="str">
        <f ca="1">IF(OR(E755="",E755="!!!",F755="NEW"),"",COUNTBLANK(OFFSET(A$1,,,SUMPRODUCT(MAX(ROW(E$2:E755)*(E755=E$2:E755)))))-COUNTBLANK(OFFSET(A$1,,,SUMPRODUCT(MAX(ROW(E$1:E754)*(E2=E$1:E754))))))</f>
        <v/>
      </c>
      <c r="K755" s="24" t="str">
        <f>IF(OR(E755="",E755="!!!",F755="NEW"),"",INDEX(J$1:J754,SUMPRODUCT(MAX(ROW(E$1:E754)*(E755=E$1:E754)))))</f>
        <v/>
      </c>
      <c r="L755" s="25"/>
    </row>
    <row r="756" spans="1:12" x14ac:dyDescent="0.3">
      <c r="A756" t="s">
        <v>542</v>
      </c>
      <c r="E756" s="20" t="str">
        <f t="shared" si="60"/>
        <v/>
      </c>
      <c r="F756" s="21" t="str">
        <f>IF(OR(E756="",E756="!!!"),"",IF(NOT(ISNA(VLOOKUP(E756,E$1:E755,1,FALSE()))),"OLD",IF(AND(E756&lt;&gt;"",E756&lt;&gt;"!!!"),"NEW","")))</f>
        <v/>
      </c>
      <c r="G756" s="22" t="str">
        <f>IF(OR(E756="",E756="!!!"),"",IF(OR(J756=0,AND(J756=1,K756=1),AND(J756=1,I756="SBJ"),AND(J756=1,I756=0)),"?IN_FOCUS",IF(J756&lt;=2,"?ACTIVATED",IF(J756&lt;&gt;"","?FAMILIAR",IF(F756="NEW",IF(ISNA(VLOOKUP(E756,#REF!,1,FALSE())),"?TYPE_IDENTIFIABLE","?REFERENTIAL"),"_")))))</f>
        <v/>
      </c>
      <c r="H756" s="23" t="str">
        <f t="shared" ca="1" si="61"/>
        <v/>
      </c>
      <c r="I756" s="24" t="str">
        <f>IF(OR(E756="",E756="!!!",F756="NEW"),"",INDEX(B$2:B755,-1+SUMPRODUCT(MAX(ROW(E$2:E755)*(E756=E$2:E755)))))</f>
        <v/>
      </c>
      <c r="J756" s="24" t="str">
        <f ca="1">IF(OR(E756="",E756="!!!",F756="NEW"),"",COUNTBLANK(OFFSET(A$1,,,SUMPRODUCT(MAX(ROW(E$2:E756)*(E756=E$2:E756)))))-COUNTBLANK(OFFSET(A$1,,,SUMPRODUCT(MAX(ROW(E$1:E755)*(E2=E$1:E755))))))</f>
        <v/>
      </c>
      <c r="K756" s="24" t="str">
        <f>IF(OR(E756="",E756="!!!",F756="NEW"),"",INDEX(J$1:J755,SUMPRODUCT(MAX(ROW(E$1:E755)*(E756=E$1:E755)))))</f>
        <v/>
      </c>
      <c r="L756" s="25"/>
    </row>
    <row r="757" spans="1:12" x14ac:dyDescent="0.3">
      <c r="A757" t="s">
        <v>167</v>
      </c>
      <c r="E757" s="20" t="str">
        <f t="shared" si="60"/>
        <v/>
      </c>
      <c r="F757" s="21" t="str">
        <f>IF(OR(E757="",E757="!!!"),"",IF(NOT(ISNA(VLOOKUP(E757,E$1:E756,1,FALSE()))),"OLD",IF(AND(E757&lt;&gt;"",E757&lt;&gt;"!!!"),"NEW","")))</f>
        <v/>
      </c>
      <c r="G757" s="22" t="str">
        <f>IF(OR(E757="",E757="!!!"),"",IF(OR(J757=0,AND(J757=1,K757=1),AND(J757=1,I757="SBJ"),AND(J757=1,I757=0)),"?IN_FOCUS",IF(J757&lt;=2,"?ACTIVATED",IF(J757&lt;&gt;"","?FAMILIAR",IF(F757="NEW",IF(ISNA(VLOOKUP(E757,#REF!,1,FALSE())),"?TYPE_IDENTIFIABLE","?REFERENTIAL"),"_")))))</f>
        <v/>
      </c>
      <c r="H757" s="23" t="str">
        <f t="shared" ca="1" si="61"/>
        <v/>
      </c>
      <c r="I757" s="24" t="str">
        <f>IF(OR(E757="",E757="!!!",F757="NEW"),"",INDEX(B$2:B756,-1+SUMPRODUCT(MAX(ROW(E$2:E756)*(E757=E$2:E756)))))</f>
        <v/>
      </c>
      <c r="J757" s="24" t="str">
        <f ca="1">IF(OR(E757="",E757="!!!",F757="NEW"),"",COUNTBLANK(OFFSET(A$1,,,SUMPRODUCT(MAX(ROW(E$2:E757)*(E757=E$2:E757)))))-COUNTBLANK(OFFSET(A$1,,,SUMPRODUCT(MAX(ROW(E$1:E756)*(E2=E$1:E756))))))</f>
        <v/>
      </c>
      <c r="K757" s="24" t="str">
        <f>IF(OR(E757="",E757="!!!",F757="NEW"),"",INDEX(J$1:J756,SUMPRODUCT(MAX(ROW(E$1:E756)*(E757=E$1:E756)))))</f>
        <v/>
      </c>
      <c r="L757" s="25"/>
    </row>
    <row r="758" spans="1:12" x14ac:dyDescent="0.3">
      <c r="A758" t="s">
        <v>423</v>
      </c>
      <c r="E758" s="20" t="str">
        <f t="shared" si="60"/>
        <v/>
      </c>
      <c r="F758" s="21" t="str">
        <f>IF(OR(E758="",E758="!!!"),"",IF(NOT(ISNA(VLOOKUP(E758,E$1:E757,1,FALSE()))),"OLD",IF(AND(E758&lt;&gt;"",E758&lt;&gt;"!!!"),"NEW","")))</f>
        <v/>
      </c>
      <c r="G758" s="22" t="str">
        <f>IF(OR(E758="",E758="!!!"),"",IF(OR(J758=0,AND(J758=1,K758=1),AND(J758=1,I758="SBJ"),AND(J758=1,I758=0)),"?IN_FOCUS",IF(J758&lt;=2,"?ACTIVATED",IF(J758&lt;&gt;"","?FAMILIAR",IF(F758="NEW",IF(ISNA(VLOOKUP(E758,#REF!,1,FALSE())),"?TYPE_IDENTIFIABLE","?REFERENTIAL"),"_")))))</f>
        <v/>
      </c>
      <c r="H758" s="23" t="str">
        <f t="shared" ca="1" si="61"/>
        <v/>
      </c>
      <c r="I758" s="24" t="str">
        <f>IF(OR(E758="",E758="!!!",F758="NEW"),"",INDEX(B$2:B757,-1+SUMPRODUCT(MAX(ROW(E$2:E757)*(E758=E$2:E757)))))</f>
        <v/>
      </c>
      <c r="J758" s="24" t="str">
        <f ca="1">IF(OR(E758="",E758="!!!",F758="NEW"),"",COUNTBLANK(OFFSET(A$1,,,SUMPRODUCT(MAX(ROW(E$2:E758)*(E758=E$2:E758)))))-COUNTBLANK(OFFSET(A$1,,,SUMPRODUCT(MAX(ROW(E$1:E757)*(E2=E$1:E757))))))</f>
        <v/>
      </c>
      <c r="K758" s="24" t="str">
        <f>IF(OR(E758="",E758="!!!",F758="NEW"),"",INDEX(J$1:J757,SUMPRODUCT(MAX(ROW(E$1:E757)*(E758=E$1:E757)))))</f>
        <v/>
      </c>
      <c r="L758" s="25"/>
    </row>
    <row r="759" spans="1:12" x14ac:dyDescent="0.3">
      <c r="A759" t="s">
        <v>278</v>
      </c>
      <c r="E759" s="20" t="str">
        <f t="shared" si="60"/>
        <v/>
      </c>
      <c r="F759" s="21" t="str">
        <f>IF(OR(E759="",E759="!!!"),"",IF(NOT(ISNA(VLOOKUP(E759,E$1:E758,1,FALSE()))),"OLD",IF(AND(E759&lt;&gt;"",E759&lt;&gt;"!!!"),"NEW","")))</f>
        <v/>
      </c>
      <c r="G759" s="22" t="str">
        <f>IF(OR(E759="",E759="!!!"),"",IF(OR(J759=0,AND(J759=1,K759=1),AND(J759=1,I759="SBJ"),AND(J759=1,I759=0)),"?IN_FOCUS",IF(J759&lt;=2,"?ACTIVATED",IF(J759&lt;&gt;"","?FAMILIAR",IF(F759="NEW",IF(ISNA(VLOOKUP(E759,#REF!,1,FALSE())),"?TYPE_IDENTIFIABLE","?REFERENTIAL"),"_")))))</f>
        <v/>
      </c>
      <c r="H759" s="23" t="str">
        <f t="shared" ca="1" si="61"/>
        <v/>
      </c>
      <c r="I759" s="24" t="str">
        <f>IF(OR(E759="",E759="!!!",F759="NEW"),"",INDEX(B$2:B758,-1+SUMPRODUCT(MAX(ROW(E$2:E758)*(E759=E$2:E758)))))</f>
        <v/>
      </c>
      <c r="J759" s="24" t="str">
        <f ca="1">IF(OR(E759="",E759="!!!",F759="NEW"),"",COUNTBLANK(OFFSET(A$1,,,SUMPRODUCT(MAX(ROW(E$2:E759)*(E759=E$2:E759)))))-COUNTBLANK(OFFSET(A$1,,,SUMPRODUCT(MAX(ROW(E$1:E758)*(E2=E$1:E758))))))</f>
        <v/>
      </c>
      <c r="K759" s="24" t="str">
        <f>IF(OR(E759="",E759="!!!",F759="NEW"),"",INDEX(J$1:J758,SUMPRODUCT(MAX(ROW(E$1:E758)*(E759=E$1:E758)))))</f>
        <v/>
      </c>
      <c r="L759" s="25"/>
    </row>
    <row r="760" spans="1:12" x14ac:dyDescent="0.3">
      <c r="A760" t="s">
        <v>448</v>
      </c>
      <c r="B760" s="26" t="s">
        <v>169</v>
      </c>
      <c r="C760" s="26" t="s">
        <v>312</v>
      </c>
      <c r="D760" s="26" t="s">
        <v>181</v>
      </c>
      <c r="E760" s="20" t="s">
        <v>669</v>
      </c>
      <c r="F760" s="21" t="str">
        <f>IF(OR(E760="",E760="!!!"),"",IF(NOT(ISNA(VLOOKUP(E760,E$1:E759,1,FALSE()))),"OLD",IF(AND(E760&lt;&gt;"",E760&lt;&gt;"!!!"),"NEW","")))</f>
        <v>OLD</v>
      </c>
      <c r="G760" s="22" t="s">
        <v>698</v>
      </c>
      <c r="H760" s="23" t="str">
        <f t="shared" ca="1" si="61"/>
        <v/>
      </c>
      <c r="I760" s="24" t="str">
        <f>IF(OR(E760="",E760="!!!",F760="NEW"),"",INDEX(B$2:B759,-1+SUMPRODUCT(MAX(ROW(E$2:E759)*(E760=E$2:E759)))))</f>
        <v>other_3</v>
      </c>
      <c r="J760" s="24">
        <f ca="1">IF(OR(E760="",E760="!!!",F760="NEW"),"",COUNTBLANK(OFFSET(A$1,,,SUMPRODUCT(MAX(ROW(E$2:E760)*(E760=E$2:E760)))))-COUNTBLANK(OFFSET(A$1,,,SUMPRODUCT(MAX(ROW(E$1:E759)*(E2=E$1:E759))))))</f>
        <v>0</v>
      </c>
      <c r="K760" s="24" t="str">
        <f ca="1">IF(OR(E760="",E760="!!!",F760="NEW"),"",INDEX(J$1:J759,SUMPRODUCT(MAX(ROW(E$1:E759)*(E760=E$1:E759)))))</f>
        <v/>
      </c>
      <c r="L760" s="25"/>
    </row>
    <row r="761" spans="1:12" x14ac:dyDescent="0.3">
      <c r="A761" t="s">
        <v>201</v>
      </c>
      <c r="E761" s="20" t="str">
        <f t="shared" si="60"/>
        <v/>
      </c>
      <c r="F761" s="21" t="str">
        <f>IF(OR(E761="",E761="!!!"),"",IF(NOT(ISNA(VLOOKUP(E761,E$1:E760,1,FALSE()))),"OLD",IF(AND(E761&lt;&gt;"",E761&lt;&gt;"!!!"),"NEW","")))</f>
        <v/>
      </c>
      <c r="G761" s="22" t="str">
        <f>IF(OR(E761="",E761="!!!"),"",IF(OR(J761=0,AND(J761=1,K761=1),AND(J761=1,I761="SBJ"),AND(J761=1,I761=0)),"?IN_FOCUS",IF(J761&lt;=2,"?ACTIVATED",IF(J761&lt;&gt;"","?FAMILIAR",IF(F761="NEW",IF(ISNA(VLOOKUP(E761,#REF!,1,FALSE())),"?TYPE_IDENTIFIABLE","?REFERENTIAL"),"_")))))</f>
        <v/>
      </c>
      <c r="H761" s="23" t="str">
        <f t="shared" ca="1" si="61"/>
        <v/>
      </c>
      <c r="I761" s="24" t="str">
        <f>IF(OR(E761="",E761="!!!",F761="NEW"),"",INDEX(B$2:B760,-1+SUMPRODUCT(MAX(ROW(E$2:E760)*(E761=E$2:E760)))))</f>
        <v/>
      </c>
      <c r="J761" s="24" t="str">
        <f ca="1">IF(OR(E761="",E761="!!!",F761="NEW"),"",COUNTBLANK(OFFSET(A$1,,,SUMPRODUCT(MAX(ROW(E$2:E761)*(E761=E$2:E761)))))-COUNTBLANK(OFFSET(A$1,,,SUMPRODUCT(MAX(ROW(E$1:E760)*(E2=E$1:E760))))))</f>
        <v/>
      </c>
      <c r="K761" s="24" t="str">
        <f>IF(OR(E761="",E761="!!!",F761="NEW"),"",INDEX(J$1:J760,SUMPRODUCT(MAX(ROW(E$1:E760)*(E761=E$1:E760)))))</f>
        <v/>
      </c>
      <c r="L761" s="25"/>
    </row>
    <row r="763" spans="1:12" x14ac:dyDescent="0.3">
      <c r="A763" t="s">
        <v>543</v>
      </c>
    </row>
    <row r="764" spans="1:12" x14ac:dyDescent="0.3">
      <c r="A764" t="s">
        <v>306</v>
      </c>
      <c r="E764" s="20" t="str">
        <f t="shared" ref="E764:E803" si="62">IF(D764="?OLD","!!!","")</f>
        <v/>
      </c>
      <c r="F764" s="21" t="str">
        <f>IF(OR(E764="",E764="!!!"),"",IF(NOT(ISNA(VLOOKUP(E764,E$1:E763,1,FALSE()))),"OLD",IF(AND(E764&lt;&gt;"",E764&lt;&gt;"!!!"),"NEW","")))</f>
        <v/>
      </c>
      <c r="G764" s="22" t="str">
        <f>IF(OR(E764="",E764="!!!"),"",IF(OR(J764=0,AND(J764=1,K764=1),AND(J764=1,I764="SBJ"),AND(J764=1,I764=0)),"?IN_FOCUS",IF(J764&lt;=2,"?ACTIVATED",IF(J764&lt;&gt;"","?FAMILIAR",IF(F764="NEW",IF(ISNA(VLOOKUP(E764,#REF!,1,FALSE())),"?TYPE_IDENTIFIABLE","?REFERENTIAL"),"_")))))</f>
        <v/>
      </c>
      <c r="H764" s="23" t="str">
        <f t="shared" ref="H764:H803" ca="1" si="63">IF(J764&lt;&gt;1,"",IF(I764="SBJ","CB","?"))</f>
        <v/>
      </c>
      <c r="I764" s="24" t="str">
        <f>IF(OR(E764="",E764="!!!",F764="NEW"),"",INDEX(B$2:B763,-1+SUMPRODUCT(MAX(ROW(E$2:E763)*(E764=E$2:E763)))))</f>
        <v/>
      </c>
      <c r="J764" s="24" t="str">
        <f ca="1">IF(OR(E764="",E764="!!!",F764="NEW"),"",COUNTBLANK(OFFSET(A$1,,,SUMPRODUCT(MAX(ROW(E$2:E764)*(E764=E$2:E764)))))-COUNTBLANK(OFFSET(A$1,,,SUMPRODUCT(MAX(ROW(E$1:E763)*(E2=E$1:E763))))))</f>
        <v/>
      </c>
      <c r="K764" s="24" t="str">
        <f>IF(OR(E764="",E764="!!!",F764="NEW"),"",INDEX(J$1:J763,SUMPRODUCT(MAX(ROW(E$1:E763)*(E764=E$1:E763)))))</f>
        <v/>
      </c>
      <c r="L764" s="25"/>
    </row>
    <row r="765" spans="1:12" x14ac:dyDescent="0.3">
      <c r="A765" t="s">
        <v>230</v>
      </c>
      <c r="E765" s="20" t="str">
        <f t="shared" si="62"/>
        <v/>
      </c>
      <c r="F765" s="21" t="str">
        <f>IF(OR(E765="",E765="!!!"),"",IF(NOT(ISNA(VLOOKUP(E765,E$1:E764,1,FALSE()))),"OLD",IF(AND(E765&lt;&gt;"",E765&lt;&gt;"!!!"),"NEW","")))</f>
        <v/>
      </c>
      <c r="G765" s="22" t="str">
        <f>IF(OR(E765="",E765="!!!"),"",IF(OR(J765=0,AND(J765=1,K765=1),AND(J765=1,I765="SBJ"),AND(J765=1,I765=0)),"?IN_FOCUS",IF(J765&lt;=2,"?ACTIVATED",IF(J765&lt;&gt;"","?FAMILIAR",IF(F765="NEW",IF(ISNA(VLOOKUP(E765,#REF!,1,FALSE())),"?TYPE_IDENTIFIABLE","?REFERENTIAL"),"_")))))</f>
        <v/>
      </c>
      <c r="H765" s="23" t="str">
        <f t="shared" ca="1" si="63"/>
        <v/>
      </c>
      <c r="I765" s="24" t="str">
        <f>IF(OR(E765="",E765="!!!",F765="NEW"),"",INDEX(B$2:B764,-1+SUMPRODUCT(MAX(ROW(E$2:E764)*(E765=E$2:E764)))))</f>
        <v/>
      </c>
      <c r="J765" s="24" t="str">
        <f ca="1">IF(OR(E765="",E765="!!!",F765="NEW"),"",COUNTBLANK(OFFSET(A$1,,,SUMPRODUCT(MAX(ROW(E$2:E765)*(E765=E$2:E765)))))-COUNTBLANK(OFFSET(A$1,,,SUMPRODUCT(MAX(ROW(E$1:E764)*(E2=E$1:E764))))))</f>
        <v/>
      </c>
      <c r="K765" s="24" t="str">
        <f>IF(OR(E765="",E765="!!!",F765="NEW"),"",INDEX(J$1:J764,SUMPRODUCT(MAX(ROW(E$1:E764)*(E765=E$1:E764)))))</f>
        <v/>
      </c>
      <c r="L765" s="25"/>
    </row>
    <row r="766" spans="1:12" x14ac:dyDescent="0.3">
      <c r="A766" t="s">
        <v>544</v>
      </c>
      <c r="B766" s="26" t="s">
        <v>165</v>
      </c>
      <c r="C766" s="26" t="s">
        <v>194</v>
      </c>
      <c r="D766" s="26" t="s">
        <v>181</v>
      </c>
      <c r="E766" s="20"/>
      <c r="F766" s="21" t="s">
        <v>615</v>
      </c>
      <c r="G766" s="22" t="str">
        <f>IF(OR(E766="",E766="!!!"),"",IF(OR(J766=0,AND(J766=1,K766=1),AND(J766=1,I766="SBJ"),AND(J766=1,I766=0)),"?IN_FOCUS",IF(J766&lt;=2,"?ACTIVATED",IF(J766&lt;&gt;"","?FAMILIAR",IF(F766="NEW",IF(ISNA(VLOOKUP(E766,#REF!,1,FALSE())),"?TYPE_IDENTIFIABLE","?REFERENTIAL"),"_")))))</f>
        <v/>
      </c>
      <c r="H766" s="23" t="str">
        <f t="shared" ca="1" si="63"/>
        <v/>
      </c>
      <c r="I766" s="24" t="str">
        <f>IF(OR(E766="",E766="!!!",F766="NEW"),"",INDEX(B$2:B765,-1+SUMPRODUCT(MAX(ROW(E$2:E765)*(E766=E$2:E765)))))</f>
        <v/>
      </c>
      <c r="J766" s="24" t="str">
        <f ca="1">IF(OR(E766="",E766="!!!",F766="NEW"),"",COUNTBLANK(OFFSET(A$1,,,SUMPRODUCT(MAX(ROW(E$2:E766)*(E766=E$2:E766)))))-COUNTBLANK(OFFSET(A$1,,,SUMPRODUCT(MAX(ROW(E$1:E765)*(E2=E$1:E765))))))</f>
        <v/>
      </c>
      <c r="K766" s="24" t="str">
        <f>IF(OR(E766="",E766="!!!",F766="NEW"),"",INDEX(J$1:J765,SUMPRODUCT(MAX(ROW(E$1:E765)*(E766=E$1:E765)))))</f>
        <v/>
      </c>
      <c r="L766" s="25"/>
    </row>
    <row r="767" spans="1:12" x14ac:dyDescent="0.3">
      <c r="A767" t="s">
        <v>532</v>
      </c>
      <c r="B767" s="26" t="s">
        <v>189</v>
      </c>
      <c r="C767" s="26" t="s">
        <v>180</v>
      </c>
      <c r="D767" s="26" t="s">
        <v>181</v>
      </c>
      <c r="E767" s="20" t="s">
        <v>668</v>
      </c>
      <c r="F767" s="21" t="str">
        <f>IF(OR(E767="",E767="!!!"),"",IF(NOT(ISNA(VLOOKUP(E767,E$1:E766,1,FALSE()))),"OLD",IF(AND(E767&lt;&gt;"",E767&lt;&gt;"!!!"),"NEW","")))</f>
        <v>OLD</v>
      </c>
      <c r="G767" s="22" t="s">
        <v>698</v>
      </c>
      <c r="H767" s="23" t="str">
        <f t="shared" ca="1" si="63"/>
        <v/>
      </c>
      <c r="I767" s="24" t="str">
        <f>IF(OR(E767="",E767="!!!",F767="NEW"),"",INDEX(B$2:B766,-1+SUMPRODUCT(MAX(ROW(E$2:E766)*(E767=E$2:E766)))))</f>
        <v>other_3</v>
      </c>
      <c r="J767" s="24">
        <f ca="1">IF(OR(E767="",E767="!!!",F767="NEW"),"",COUNTBLANK(OFFSET(A$1,,,SUMPRODUCT(MAX(ROW(E$2:E767)*(E767=E$2:E767)))))-COUNTBLANK(OFFSET(A$1,,,SUMPRODUCT(MAX(ROW(E$1:E766)*(E2=E$1:E766))))))</f>
        <v>0</v>
      </c>
      <c r="K767" s="24" t="str">
        <f ca="1">IF(OR(E767="",E767="!!!",F767="NEW"),"",INDEX(J$1:J766,SUMPRODUCT(MAX(ROW(E$1:E766)*(E767=E$1:E766)))))</f>
        <v/>
      </c>
      <c r="L767" s="25"/>
    </row>
    <row r="768" spans="1:12" x14ac:dyDescent="0.3">
      <c r="A768" t="s">
        <v>230</v>
      </c>
      <c r="E768" s="20" t="str">
        <f t="shared" si="62"/>
        <v/>
      </c>
      <c r="F768" s="21" t="str">
        <f>IF(OR(E768="",E768="!!!"),"",IF(NOT(ISNA(VLOOKUP(E768,E$1:E767,1,FALSE()))),"OLD",IF(AND(E768&lt;&gt;"",E768&lt;&gt;"!!!"),"NEW","")))</f>
        <v/>
      </c>
      <c r="G768" s="22" t="str">
        <f>IF(OR(E768="",E768="!!!"),"",IF(OR(J768=0,AND(J768=1,K768=1),AND(J768=1,I768="SBJ"),AND(J768=1,I768=0)),"?IN_FOCUS",IF(J768&lt;=2,"?ACTIVATED",IF(J768&lt;&gt;"","?FAMILIAR",IF(F768="NEW",IF(ISNA(VLOOKUP(E768,#REF!,1,FALSE())),"?TYPE_IDENTIFIABLE","?REFERENTIAL"),"_")))))</f>
        <v/>
      </c>
      <c r="H768" s="23" t="str">
        <f t="shared" ca="1" si="63"/>
        <v/>
      </c>
      <c r="I768" s="24" t="str">
        <f>IF(OR(E768="",E768="!!!",F768="NEW"),"",INDEX(B$2:B767,-1+SUMPRODUCT(MAX(ROW(E$2:E767)*(E768=E$2:E767)))))</f>
        <v/>
      </c>
      <c r="J768" s="24" t="str">
        <f ca="1">IF(OR(E768="",E768="!!!",F768="NEW"),"",COUNTBLANK(OFFSET(A$1,,,SUMPRODUCT(MAX(ROW(E$2:E768)*(E768=E$2:E768)))))-COUNTBLANK(OFFSET(A$1,,,SUMPRODUCT(MAX(ROW(E$1:E767)*(E2=E$1:E767))))))</f>
        <v/>
      </c>
      <c r="K768" s="24" t="str">
        <f>IF(OR(E768="",E768="!!!",F768="NEW"),"",INDEX(J$1:J767,SUMPRODUCT(MAX(ROW(E$1:E767)*(E768=E$1:E767)))))</f>
        <v/>
      </c>
      <c r="L768" s="25"/>
    </row>
    <row r="769" spans="1:12" x14ac:dyDescent="0.3">
      <c r="A769" t="s">
        <v>280</v>
      </c>
      <c r="B769" s="26" t="s">
        <v>189</v>
      </c>
      <c r="C769" s="26" t="s">
        <v>194</v>
      </c>
      <c r="D769" s="26" t="s">
        <v>181</v>
      </c>
      <c r="E769" s="20"/>
      <c r="F769" s="21" t="s">
        <v>615</v>
      </c>
      <c r="G769" s="22" t="str">
        <f>IF(OR(E769="",E769="!!!"),"",IF(OR(J769=0,AND(J769=1,K769=1),AND(J769=1,I769="SBJ"),AND(J769=1,I769=0)),"?IN_FOCUS",IF(J769&lt;=2,"?ACTIVATED",IF(J769&lt;&gt;"","?FAMILIAR",IF(F769="NEW",IF(ISNA(VLOOKUP(E769,#REF!,1,FALSE())),"?TYPE_IDENTIFIABLE","?REFERENTIAL"),"_")))))</f>
        <v/>
      </c>
      <c r="H769" s="23" t="str">
        <f t="shared" ca="1" si="63"/>
        <v/>
      </c>
      <c r="I769" s="24" t="str">
        <f>IF(OR(E769="",E769="!!!",F769="NEW"),"",INDEX(B$2:B768,-1+SUMPRODUCT(MAX(ROW(E$2:E768)*(E769=E$2:E768)))))</f>
        <v/>
      </c>
      <c r="J769" s="24" t="str">
        <f ca="1">IF(OR(E769="",E769="!!!",F769="NEW"),"",COUNTBLANK(OFFSET(A$1,,,SUMPRODUCT(MAX(ROW(E$2:E769)*(E769=E$2:E769)))))-COUNTBLANK(OFFSET(A$1,,,SUMPRODUCT(MAX(ROW(E$1:E768)*(E2=E$1:E768))))))</f>
        <v/>
      </c>
      <c r="K769" s="24" t="str">
        <f>IF(OR(E769="",E769="!!!",F769="NEW"),"",INDEX(J$1:J768,SUMPRODUCT(MAX(ROW(E$1:E768)*(E769=E$1:E768)))))</f>
        <v/>
      </c>
      <c r="L769" s="25"/>
    </row>
    <row r="770" spans="1:12" x14ac:dyDescent="0.3">
      <c r="A770" t="s">
        <v>281</v>
      </c>
      <c r="B770" s="26" t="s">
        <v>177</v>
      </c>
      <c r="C770" s="26" t="s">
        <v>180</v>
      </c>
      <c r="D770" s="26" t="s">
        <v>181</v>
      </c>
      <c r="E770" s="20" t="s">
        <v>622</v>
      </c>
      <c r="F770" s="21" t="str">
        <f>IF(OR(E770="",E770="!!!"),"",IF(NOT(ISNA(VLOOKUP(E770,E$1:E769,1,FALSE()))),"OLD",IF(AND(E770&lt;&gt;"",E770&lt;&gt;"!!!"),"NEW","")))</f>
        <v>OLD</v>
      </c>
      <c r="G770" s="22" t="s">
        <v>696</v>
      </c>
      <c r="H770" s="23" t="str">
        <f t="shared" ca="1" si="63"/>
        <v/>
      </c>
      <c r="I770" s="24" t="str">
        <f>IF(OR(E770="",E770="!!!",F770="NEW"),"",INDEX(B$2:B769,-1+SUMPRODUCT(MAX(ROW(E$2:E769)*(E770=E$2:E769)))))</f>
        <v>other_2</v>
      </c>
      <c r="J770" s="24">
        <f ca="1">IF(OR(E770="",E770="!!!",F770="NEW"),"",COUNTBLANK(OFFSET(A$1,,,SUMPRODUCT(MAX(ROW(E$2:E770)*(E770=E$2:E770)))))-COUNTBLANK(OFFSET(A$1,,,SUMPRODUCT(MAX(ROW(E$1:E769)*(E2=E$1:E769))))))</f>
        <v>0</v>
      </c>
      <c r="K770" s="24">
        <f ca="1">IF(OR(E770="",E770="!!!",F770="NEW"),"",INDEX(J$1:J769,SUMPRODUCT(MAX(ROW(E$1:E769)*(E770=E$1:E769)))))</f>
        <v>0</v>
      </c>
      <c r="L770" s="25"/>
    </row>
    <row r="771" spans="1:12" x14ac:dyDescent="0.3">
      <c r="A771" t="s">
        <v>398</v>
      </c>
      <c r="E771" s="20" t="str">
        <f t="shared" si="62"/>
        <v/>
      </c>
      <c r="F771" s="21" t="str">
        <f>IF(OR(E771="",E771="!!!"),"",IF(NOT(ISNA(VLOOKUP(E771,E$1:E770,1,FALSE()))),"OLD",IF(AND(E771&lt;&gt;"",E771&lt;&gt;"!!!"),"NEW","")))</f>
        <v/>
      </c>
      <c r="G771" s="22" t="str">
        <f>IF(OR(E771="",E771="!!!"),"",IF(OR(J771=0,AND(J771=1,K771=1),AND(J771=1,I771="SBJ"),AND(J771=1,I771=0)),"?IN_FOCUS",IF(J771&lt;=2,"?ACTIVATED",IF(J771&lt;&gt;"","?FAMILIAR",IF(F771="NEW",IF(ISNA(VLOOKUP(E771,#REF!,1,FALSE())),"?TYPE_IDENTIFIABLE","?REFERENTIAL"),"_")))))</f>
        <v/>
      </c>
      <c r="H771" s="23" t="str">
        <f t="shared" ca="1" si="63"/>
        <v/>
      </c>
      <c r="I771" s="24" t="str">
        <f>IF(OR(E771="",E771="!!!",F771="NEW"),"",INDEX(B$2:B770,-1+SUMPRODUCT(MAX(ROW(E$2:E770)*(E771=E$2:E770)))))</f>
        <v/>
      </c>
      <c r="J771" s="24" t="str">
        <f ca="1">IF(OR(E771="",E771="!!!",F771="NEW"),"",COUNTBLANK(OFFSET(A$1,,,SUMPRODUCT(MAX(ROW(E$2:E771)*(E771=E$2:E771)))))-COUNTBLANK(OFFSET(A$1,,,SUMPRODUCT(MAX(ROW(E$1:E770)*(E2=E$1:E770))))))</f>
        <v/>
      </c>
      <c r="K771" s="24" t="str">
        <f>IF(OR(E771="",E771="!!!",F771="NEW"),"",INDEX(J$1:J770,SUMPRODUCT(MAX(ROW(E$1:E770)*(E771=E$1:E770)))))</f>
        <v/>
      </c>
      <c r="L771" s="25"/>
    </row>
    <row r="772" spans="1:12" x14ac:dyDescent="0.3">
      <c r="A772" t="s">
        <v>545</v>
      </c>
      <c r="E772" s="20" t="str">
        <f t="shared" si="62"/>
        <v/>
      </c>
      <c r="F772" s="21" t="str">
        <f>IF(OR(E772="",E772="!!!"),"",IF(NOT(ISNA(VLOOKUP(E772,E$1:E771,1,FALSE()))),"OLD",IF(AND(E772&lt;&gt;"",E772&lt;&gt;"!!!"),"NEW","")))</f>
        <v/>
      </c>
      <c r="G772" s="22" t="str">
        <f>IF(OR(E772="",E772="!!!"),"",IF(OR(J772=0,AND(J772=1,K772=1),AND(J772=1,I772="SBJ"),AND(J772=1,I772=0)),"?IN_FOCUS",IF(J772&lt;=2,"?ACTIVATED",IF(J772&lt;&gt;"","?FAMILIAR",IF(F772="NEW",IF(ISNA(VLOOKUP(E772,#REF!,1,FALSE())),"?TYPE_IDENTIFIABLE","?REFERENTIAL"),"_")))))</f>
        <v/>
      </c>
      <c r="H772" s="23" t="str">
        <f t="shared" ca="1" si="63"/>
        <v/>
      </c>
      <c r="I772" s="24" t="str">
        <f>IF(OR(E772="",E772="!!!",F772="NEW"),"",INDEX(B$2:B771,-1+SUMPRODUCT(MAX(ROW(E$2:E771)*(E772=E$2:E771)))))</f>
        <v/>
      </c>
      <c r="J772" s="24" t="str">
        <f ca="1">IF(OR(E772="",E772="!!!",F772="NEW"),"",COUNTBLANK(OFFSET(A$1,,,SUMPRODUCT(MAX(ROW(E$2:E772)*(E772=E$2:E772)))))-COUNTBLANK(OFFSET(A$1,,,SUMPRODUCT(MAX(ROW(E$1:E771)*(E2=E$1:E771))))))</f>
        <v/>
      </c>
      <c r="K772" s="24" t="str">
        <f>IF(OR(E772="",E772="!!!",F772="NEW"),"",INDEX(J$1:J771,SUMPRODUCT(MAX(ROW(E$1:E771)*(E772=E$1:E771)))))</f>
        <v/>
      </c>
      <c r="L772" s="25"/>
    </row>
    <row r="773" spans="1:12" x14ac:dyDescent="0.3">
      <c r="A773" t="s">
        <v>516</v>
      </c>
      <c r="E773" s="20" t="str">
        <f t="shared" si="62"/>
        <v/>
      </c>
      <c r="F773" s="21" t="str">
        <f>IF(OR(E773="",E773="!!!"),"",IF(NOT(ISNA(VLOOKUP(E773,E$1:E772,1,FALSE()))),"OLD",IF(AND(E773&lt;&gt;"",E773&lt;&gt;"!!!"),"NEW","")))</f>
        <v/>
      </c>
      <c r="G773" s="22" t="str">
        <f>IF(OR(E773="",E773="!!!"),"",IF(OR(J773=0,AND(J773=1,K773=1),AND(J773=1,I773="SBJ"),AND(J773=1,I773=0)),"?IN_FOCUS",IF(J773&lt;=2,"?ACTIVATED",IF(J773&lt;&gt;"","?FAMILIAR",IF(F773="NEW",IF(ISNA(VLOOKUP(E773,#REF!,1,FALSE())),"?TYPE_IDENTIFIABLE","?REFERENTIAL"),"_")))))</f>
        <v/>
      </c>
      <c r="H773" s="23" t="str">
        <f t="shared" ca="1" si="63"/>
        <v/>
      </c>
      <c r="I773" s="24" t="str">
        <f>IF(OR(E773="",E773="!!!",F773="NEW"),"",INDEX(B$2:B772,-1+SUMPRODUCT(MAX(ROW(E$2:E772)*(E773=E$2:E772)))))</f>
        <v/>
      </c>
      <c r="J773" s="24" t="str">
        <f ca="1">IF(OR(E773="",E773="!!!",F773="NEW"),"",COUNTBLANK(OFFSET(A$1,,,SUMPRODUCT(MAX(ROW(E$2:E773)*(E773=E$2:E773)))))-COUNTBLANK(OFFSET(A$1,,,SUMPRODUCT(MAX(ROW(E$1:E772)*(E2=E$1:E772))))))</f>
        <v/>
      </c>
      <c r="K773" s="24" t="str">
        <f>IF(OR(E773="",E773="!!!",F773="NEW"),"",INDEX(J$1:J772,SUMPRODUCT(MAX(ROW(E$1:E772)*(E773=E$1:E772)))))</f>
        <v/>
      </c>
      <c r="L773" s="25"/>
    </row>
    <row r="774" spans="1:12" x14ac:dyDescent="0.3">
      <c r="A774" t="s">
        <v>546</v>
      </c>
      <c r="E774" s="20" t="str">
        <f t="shared" si="62"/>
        <v/>
      </c>
      <c r="F774" s="21" t="str">
        <f>IF(OR(E774="",E774="!!!"),"",IF(NOT(ISNA(VLOOKUP(E774,E$1:E773,1,FALSE()))),"OLD",IF(AND(E774&lt;&gt;"",E774&lt;&gt;"!!!"),"NEW","")))</f>
        <v/>
      </c>
      <c r="G774" s="22" t="str">
        <f>IF(OR(E774="",E774="!!!"),"",IF(OR(J774=0,AND(J774=1,K774=1),AND(J774=1,I774="SBJ"),AND(J774=1,I774=0)),"?IN_FOCUS",IF(J774&lt;=2,"?ACTIVATED",IF(J774&lt;&gt;"","?FAMILIAR",IF(F774="NEW",IF(ISNA(VLOOKUP(E774,#REF!,1,FALSE())),"?TYPE_IDENTIFIABLE","?REFERENTIAL"),"_")))))</f>
        <v/>
      </c>
      <c r="H774" s="23" t="str">
        <f t="shared" ca="1" si="63"/>
        <v/>
      </c>
      <c r="I774" s="24" t="str">
        <f>IF(OR(E774="",E774="!!!",F774="NEW"),"",INDEX(B$2:B773,-1+SUMPRODUCT(MAX(ROW(E$2:E773)*(E774=E$2:E773)))))</f>
        <v/>
      </c>
      <c r="J774" s="24" t="str">
        <f ca="1">IF(OR(E774="",E774="!!!",F774="NEW"),"",COUNTBLANK(OFFSET(A$1,,,SUMPRODUCT(MAX(ROW(E$2:E774)*(E774=E$2:E774)))))-COUNTBLANK(OFFSET(A$1,,,SUMPRODUCT(MAX(ROW(E$1:E773)*(E2=E$1:E773))))))</f>
        <v/>
      </c>
      <c r="K774" s="24" t="str">
        <f>IF(OR(E774="",E774="!!!",F774="NEW"),"",INDEX(J$1:J773,SUMPRODUCT(MAX(ROW(E$1:E773)*(E774=E$1:E773)))))</f>
        <v/>
      </c>
      <c r="L774" s="25"/>
    </row>
    <row r="775" spans="1:12" x14ac:dyDescent="0.3">
      <c r="A775" t="s">
        <v>547</v>
      </c>
      <c r="B775" s="26" t="s">
        <v>185</v>
      </c>
      <c r="C775" s="26" t="s">
        <v>215</v>
      </c>
      <c r="E775" s="20" t="str">
        <f t="shared" si="62"/>
        <v/>
      </c>
      <c r="F775" s="21" t="str">
        <f>IF(OR(E775="",E775="!!!"),"",IF(NOT(ISNA(VLOOKUP(E775,E$1:E774,1,FALSE()))),"OLD",IF(AND(E775&lt;&gt;"",E775&lt;&gt;"!!!"),"NEW","")))</f>
        <v/>
      </c>
      <c r="G775" s="22" t="str">
        <f>IF(OR(E775="",E775="!!!"),"",IF(OR(J775=0,AND(J775=1,K775=1),AND(J775=1,I775="SBJ"),AND(J775=1,I775=0)),"?IN_FOCUS",IF(J775&lt;=2,"?ACTIVATED",IF(J775&lt;&gt;"","?FAMILIAR",IF(F775="NEW",IF(ISNA(VLOOKUP(E775,#REF!,1,FALSE())),"?TYPE_IDENTIFIABLE","?REFERENTIAL"),"_")))))</f>
        <v/>
      </c>
      <c r="H775" s="23" t="str">
        <f t="shared" ca="1" si="63"/>
        <v/>
      </c>
      <c r="I775" s="24" t="str">
        <f>IF(OR(E775="",E775="!!!",F775="NEW"),"",INDEX(B$2:B774,-1+SUMPRODUCT(MAX(ROW(E$2:E774)*(E775=E$2:E774)))))</f>
        <v/>
      </c>
      <c r="J775" s="24" t="str">
        <f ca="1">IF(OR(E775="",E775="!!!",F775="NEW"),"",COUNTBLANK(OFFSET(A$1,,,SUMPRODUCT(MAX(ROW(E$2:E775)*(E775=E$2:E775)))))-COUNTBLANK(OFFSET(A$1,,,SUMPRODUCT(MAX(ROW(E$1:E774)*(E2=E$1:E774))))))</f>
        <v/>
      </c>
      <c r="K775" s="24" t="str">
        <f>IF(OR(E775="",E775="!!!",F775="NEW"),"",INDEX(J$1:J774,SUMPRODUCT(MAX(ROW(E$1:E774)*(E775=E$1:E774)))))</f>
        <v/>
      </c>
      <c r="L775" s="25"/>
    </row>
    <row r="776" spans="1:12" x14ac:dyDescent="0.3">
      <c r="A776" t="s">
        <v>548</v>
      </c>
      <c r="E776" s="20" t="str">
        <f t="shared" si="62"/>
        <v/>
      </c>
      <c r="F776" s="21" t="str">
        <f>IF(OR(E776="",E776="!!!"),"",IF(NOT(ISNA(VLOOKUP(E776,E$1:E775,1,FALSE()))),"OLD",IF(AND(E776&lt;&gt;"",E776&lt;&gt;"!!!"),"NEW","")))</f>
        <v/>
      </c>
      <c r="G776" s="22" t="str">
        <f>IF(OR(E776="",E776="!!!"),"",IF(OR(J776=0,AND(J776=1,K776=1),AND(J776=1,I776="SBJ"),AND(J776=1,I776=0)),"?IN_FOCUS",IF(J776&lt;=2,"?ACTIVATED",IF(J776&lt;&gt;"","?FAMILIAR",IF(F776="NEW",IF(ISNA(VLOOKUP(E776,#REF!,1,FALSE())),"?TYPE_IDENTIFIABLE","?REFERENTIAL"),"_")))))</f>
        <v/>
      </c>
      <c r="H776" s="23" t="str">
        <f t="shared" ca="1" si="63"/>
        <v/>
      </c>
      <c r="I776" s="24" t="str">
        <f>IF(OR(E776="",E776="!!!",F776="NEW"),"",INDEX(B$2:B775,-1+SUMPRODUCT(MAX(ROW(E$2:E775)*(E776=E$2:E775)))))</f>
        <v/>
      </c>
      <c r="J776" s="24" t="str">
        <f ca="1">IF(OR(E776="",E776="!!!",F776="NEW"),"",COUNTBLANK(OFFSET(A$1,,,SUMPRODUCT(MAX(ROW(E$2:E776)*(E776=E$2:E776)))))-COUNTBLANK(OFFSET(A$1,,,SUMPRODUCT(MAX(ROW(E$1:E775)*(E2=E$1:E775))))))</f>
        <v/>
      </c>
      <c r="K776" s="24" t="str">
        <f>IF(OR(E776="",E776="!!!",F776="NEW"),"",INDEX(J$1:J775,SUMPRODUCT(MAX(ROW(E$1:E775)*(E776=E$1:E775)))))</f>
        <v/>
      </c>
      <c r="L776" s="25"/>
    </row>
    <row r="777" spans="1:12" x14ac:dyDescent="0.3">
      <c r="A777" t="s">
        <v>219</v>
      </c>
      <c r="E777" s="20" t="str">
        <f t="shared" si="62"/>
        <v/>
      </c>
      <c r="F777" s="21" t="str">
        <f>IF(OR(E777="",E777="!!!"),"",IF(NOT(ISNA(VLOOKUP(E777,E$1:E776,1,FALSE()))),"OLD",IF(AND(E777&lt;&gt;"",E777&lt;&gt;"!!!"),"NEW","")))</f>
        <v/>
      </c>
      <c r="G777" s="22" t="str">
        <f>IF(OR(E777="",E777="!!!"),"",IF(OR(J777=0,AND(J777=1,K777=1),AND(J777=1,I777="SBJ"),AND(J777=1,I777=0)),"?IN_FOCUS",IF(J777&lt;=2,"?ACTIVATED",IF(J777&lt;&gt;"","?FAMILIAR",IF(F777="NEW",IF(ISNA(VLOOKUP(E777,#REF!,1,FALSE())),"?TYPE_IDENTIFIABLE","?REFERENTIAL"),"_")))))</f>
        <v/>
      </c>
      <c r="H777" s="23" t="str">
        <f t="shared" ca="1" si="63"/>
        <v/>
      </c>
      <c r="I777" s="24" t="str">
        <f>IF(OR(E777="",E777="!!!",F777="NEW"),"",INDEX(B$2:B776,-1+SUMPRODUCT(MAX(ROW(E$2:E776)*(E777=E$2:E776)))))</f>
        <v/>
      </c>
      <c r="J777" s="24" t="str">
        <f ca="1">IF(OR(E777="",E777="!!!",F777="NEW"),"",COUNTBLANK(OFFSET(A$1,,,SUMPRODUCT(MAX(ROW(E$2:E777)*(E777=E$2:E777)))))-COUNTBLANK(OFFSET(A$1,,,SUMPRODUCT(MAX(ROW(E$1:E776)*(E2=E$1:E776))))))</f>
        <v/>
      </c>
      <c r="K777" s="24" t="str">
        <f>IF(OR(E777="",E777="!!!",F777="NEW"),"",INDEX(J$1:J776,SUMPRODUCT(MAX(ROW(E$1:E776)*(E777=E$1:E776)))))</f>
        <v/>
      </c>
      <c r="L777" s="25"/>
    </row>
    <row r="778" spans="1:12" x14ac:dyDescent="0.3">
      <c r="A778" t="s">
        <v>549</v>
      </c>
      <c r="B778" s="26" t="s">
        <v>165</v>
      </c>
      <c r="C778" s="26" t="s">
        <v>194</v>
      </c>
      <c r="D778" s="26" t="s">
        <v>181</v>
      </c>
      <c r="E778" s="20" t="s">
        <v>693</v>
      </c>
      <c r="F778" s="21" t="str">
        <f>IF(OR(E778="",E778="!!!"),"",IF(NOT(ISNA(VLOOKUP(E778,E$1:E777,1,FALSE()))),"OLD",IF(AND(E778&lt;&gt;"",E778&lt;&gt;"!!!"),"NEW","")))</f>
        <v>OLD</v>
      </c>
      <c r="G778" s="22" t="s">
        <v>698</v>
      </c>
      <c r="H778" s="23"/>
      <c r="I778" s="24" t="str">
        <f>IF(OR(E778="",E778="!!!",F778="NEW"),"",INDEX(B$2:B777,-1+SUMPRODUCT(MAX(ROW(E$2:E777)*(E778=E$2:E777)))))</f>
        <v>SBJ_2</v>
      </c>
      <c r="J778" s="24">
        <f ca="1">IF(OR(E778="",E778="!!!",F778="NEW"),"",COUNTBLANK(OFFSET(A$1,,,SUMPRODUCT(MAX(ROW(E$2:E778)*(E778=E$2:E778)))))-COUNTBLANK(OFFSET(A$1,,,SUMPRODUCT(MAX(ROW(E$1:E777)*(E2=E$1:E777))))))</f>
        <v>0</v>
      </c>
      <c r="K778" s="24">
        <f ca="1">IF(OR(E778="",E778="!!!",F778="NEW"),"",INDEX(J$1:J777,SUMPRODUCT(MAX(ROW(E$1:E777)*(E778=E$1:E777)))))</f>
        <v>0</v>
      </c>
      <c r="L778" s="25"/>
    </row>
    <row r="779" spans="1:12" x14ac:dyDescent="0.3">
      <c r="A779" t="s">
        <v>550</v>
      </c>
      <c r="E779" s="20" t="str">
        <f t="shared" si="62"/>
        <v/>
      </c>
      <c r="F779" s="21" t="str">
        <f>IF(OR(E779="",E779="!!!"),"",IF(NOT(ISNA(VLOOKUP(E779,E$1:E778,1,FALSE()))),"OLD",IF(AND(E779&lt;&gt;"",E779&lt;&gt;"!!!"),"NEW","")))</f>
        <v/>
      </c>
      <c r="G779" s="22" t="str">
        <f>IF(OR(E779="",E779="!!!"),"",IF(OR(J779=0,AND(J779=1,K779=1),AND(J779=1,I779="SBJ"),AND(J779=1,I779=0)),"?IN_FOCUS",IF(J779&lt;=2,"?ACTIVATED",IF(J779&lt;&gt;"","?FAMILIAR",IF(F779="NEW",IF(ISNA(VLOOKUP(E779,#REF!,1,FALSE())),"?TYPE_IDENTIFIABLE","?REFERENTIAL"),"_")))))</f>
        <v/>
      </c>
      <c r="H779" s="23" t="str">
        <f t="shared" ca="1" si="63"/>
        <v/>
      </c>
      <c r="I779" s="24" t="str">
        <f>IF(OR(E779="",E779="!!!",F779="NEW"),"",INDEX(B$2:B778,-1+SUMPRODUCT(MAX(ROW(E$2:E778)*(E779=E$2:E778)))))</f>
        <v/>
      </c>
      <c r="J779" s="24" t="str">
        <f ca="1">IF(OR(E779="",E779="!!!",F779="NEW"),"",COUNTBLANK(OFFSET(A$1,,,SUMPRODUCT(MAX(ROW(E$2:E779)*(E779=E$2:E779)))))-COUNTBLANK(OFFSET(A$1,,,SUMPRODUCT(MAX(ROW(E$1:E778)*(E2=E$1:E778))))))</f>
        <v/>
      </c>
      <c r="K779" s="24" t="str">
        <f>IF(OR(E779="",E779="!!!",F779="NEW"),"",INDEX(J$1:J778,SUMPRODUCT(MAX(ROW(E$1:E778)*(E779=E$1:E778)))))</f>
        <v/>
      </c>
      <c r="L779" s="25"/>
    </row>
    <row r="780" spans="1:12" x14ac:dyDescent="0.3">
      <c r="A780" t="s">
        <v>186</v>
      </c>
      <c r="E780" s="20" t="str">
        <f t="shared" si="62"/>
        <v/>
      </c>
      <c r="F780" s="21" t="str">
        <f>IF(OR(E780="",E780="!!!"),"",IF(NOT(ISNA(VLOOKUP(E780,E$1:E779,1,FALSE()))),"OLD",IF(AND(E780&lt;&gt;"",E780&lt;&gt;"!!!"),"NEW","")))</f>
        <v/>
      </c>
      <c r="G780" s="22" t="str">
        <f>IF(OR(E780="",E780="!!!"),"",IF(OR(J780=0,AND(J780=1,K780=1),AND(J780=1,I780="SBJ"),AND(J780=1,I780=0)),"?IN_FOCUS",IF(J780&lt;=2,"?ACTIVATED",IF(J780&lt;&gt;"","?FAMILIAR",IF(F780="NEW",IF(ISNA(VLOOKUP(E780,#REF!,1,FALSE())),"?TYPE_IDENTIFIABLE","?REFERENTIAL"),"_")))))</f>
        <v/>
      </c>
      <c r="H780" s="23" t="str">
        <f t="shared" ca="1" si="63"/>
        <v/>
      </c>
      <c r="I780" s="24" t="str">
        <f>IF(OR(E780="",E780="!!!",F780="NEW"),"",INDEX(B$2:B779,-1+SUMPRODUCT(MAX(ROW(E$2:E779)*(E780=E$2:E779)))))</f>
        <v/>
      </c>
      <c r="J780" s="24" t="str">
        <f ca="1">IF(OR(E780="",E780="!!!",F780="NEW"),"",COUNTBLANK(OFFSET(A$1,,,SUMPRODUCT(MAX(ROW(E$2:E780)*(E780=E$2:E780)))))-COUNTBLANK(OFFSET(A$1,,,SUMPRODUCT(MAX(ROW(E$1:E779)*(E2=E$1:E779))))))</f>
        <v/>
      </c>
      <c r="K780" s="24" t="str">
        <f>IF(OR(E780="",E780="!!!",F780="NEW"),"",INDEX(J$1:J779,SUMPRODUCT(MAX(ROW(E$1:E779)*(E780=E$1:E779)))))</f>
        <v/>
      </c>
      <c r="L780" s="25"/>
    </row>
    <row r="781" spans="1:12" x14ac:dyDescent="0.3">
      <c r="A781" t="s">
        <v>274</v>
      </c>
      <c r="B781" s="26" t="s">
        <v>169</v>
      </c>
      <c r="C781" s="26" t="s">
        <v>166</v>
      </c>
      <c r="E781" s="20" t="str">
        <f t="shared" si="62"/>
        <v/>
      </c>
      <c r="F781" s="21" t="str">
        <f>IF(OR(E781="",E781="!!!"),"",IF(NOT(ISNA(VLOOKUP(E781,E$1:E780,1,FALSE()))),"OLD",IF(AND(E781&lt;&gt;"",E781&lt;&gt;"!!!"),"NEW","")))</f>
        <v/>
      </c>
      <c r="G781" s="22" t="str">
        <f>IF(OR(E781="",E781="!!!"),"",IF(OR(J781=0,AND(J781=1,K781=1),AND(J781=1,I781="SBJ"),AND(J781=1,I781=0)),"?IN_FOCUS",IF(J781&lt;=2,"?ACTIVATED",IF(J781&lt;&gt;"","?FAMILIAR",IF(F781="NEW",IF(ISNA(VLOOKUP(E781,#REF!,1,FALSE())),"?TYPE_IDENTIFIABLE","?REFERENTIAL"),"_")))))</f>
        <v/>
      </c>
      <c r="H781" s="23" t="str">
        <f t="shared" ca="1" si="63"/>
        <v/>
      </c>
      <c r="I781" s="24" t="str">
        <f>IF(OR(E781="",E781="!!!",F781="NEW"),"",INDEX(B$2:B780,-1+SUMPRODUCT(MAX(ROW(E$2:E780)*(E781=E$2:E780)))))</f>
        <v/>
      </c>
      <c r="J781" s="24" t="str">
        <f ca="1">IF(OR(E781="",E781="!!!",F781="NEW"),"",COUNTBLANK(OFFSET(A$1,,,SUMPRODUCT(MAX(ROW(E$2:E781)*(E781=E$2:E781)))))-COUNTBLANK(OFFSET(A$1,,,SUMPRODUCT(MAX(ROW(E$1:E780)*(E2=E$1:E780))))))</f>
        <v/>
      </c>
      <c r="K781" s="24" t="str">
        <f>IF(OR(E781="",E781="!!!",F781="NEW"),"",INDEX(J$1:J780,SUMPRODUCT(MAX(ROW(E$1:E780)*(E781=E$1:E780)))))</f>
        <v/>
      </c>
      <c r="L781" s="25"/>
    </row>
    <row r="782" spans="1:12" x14ac:dyDescent="0.3">
      <c r="A782" t="s">
        <v>259</v>
      </c>
      <c r="E782" s="20" t="str">
        <f t="shared" si="62"/>
        <v/>
      </c>
      <c r="F782" s="21" t="str">
        <f>IF(OR(E782="",E782="!!!"),"",IF(NOT(ISNA(VLOOKUP(E782,E$1:E781,1,FALSE()))),"OLD",IF(AND(E782&lt;&gt;"",E782&lt;&gt;"!!!"),"NEW","")))</f>
        <v/>
      </c>
      <c r="G782" s="22" t="str">
        <f>IF(OR(E782="",E782="!!!"),"",IF(OR(J782=0,AND(J782=1,K782=1),AND(J782=1,I782="SBJ"),AND(J782=1,I782=0)),"?IN_FOCUS",IF(J782&lt;=2,"?ACTIVATED",IF(J782&lt;&gt;"","?FAMILIAR",IF(F782="NEW",IF(ISNA(VLOOKUP(E782,#REF!,1,FALSE())),"?TYPE_IDENTIFIABLE","?REFERENTIAL"),"_")))))</f>
        <v/>
      </c>
      <c r="H782" s="23" t="str">
        <f t="shared" ca="1" si="63"/>
        <v/>
      </c>
      <c r="I782" s="24" t="str">
        <f>IF(OR(E782="",E782="!!!",F782="NEW"),"",INDEX(B$2:B781,-1+SUMPRODUCT(MAX(ROW(E$2:E781)*(E782=E$2:E781)))))</f>
        <v/>
      </c>
      <c r="J782" s="24" t="str">
        <f ca="1">IF(OR(E782="",E782="!!!",F782="NEW"),"",COUNTBLANK(OFFSET(A$1,,,SUMPRODUCT(MAX(ROW(E$2:E782)*(E782=E$2:E782)))))-COUNTBLANK(OFFSET(A$1,,,SUMPRODUCT(MAX(ROW(E$1:E781)*(E2=E$1:E781))))))</f>
        <v/>
      </c>
      <c r="K782" s="24" t="str">
        <f>IF(OR(E782="",E782="!!!",F782="NEW"),"",INDEX(J$1:J781,SUMPRODUCT(MAX(ROW(E$1:E781)*(E782=E$1:E781)))))</f>
        <v/>
      </c>
      <c r="L782" s="25"/>
    </row>
    <row r="783" spans="1:12" x14ac:dyDescent="0.3">
      <c r="A783" t="s">
        <v>270</v>
      </c>
      <c r="E783" s="20" t="str">
        <f t="shared" si="62"/>
        <v/>
      </c>
      <c r="F783" s="21" t="str">
        <f>IF(OR(E783="",E783="!!!"),"",IF(NOT(ISNA(VLOOKUP(E783,E$1:E782,1,FALSE()))),"OLD",IF(AND(E783&lt;&gt;"",E783&lt;&gt;"!!!"),"NEW","")))</f>
        <v/>
      </c>
      <c r="G783" s="22" t="str">
        <f>IF(OR(E783="",E783="!!!"),"",IF(OR(J783=0,AND(J783=1,K783=1),AND(J783=1,I783="SBJ"),AND(J783=1,I783=0)),"?IN_FOCUS",IF(J783&lt;=2,"?ACTIVATED",IF(J783&lt;&gt;"","?FAMILIAR",IF(F783="NEW",IF(ISNA(VLOOKUP(E783,#REF!,1,FALSE())),"?TYPE_IDENTIFIABLE","?REFERENTIAL"),"_")))))</f>
        <v/>
      </c>
      <c r="H783" s="23" t="str">
        <f t="shared" ca="1" si="63"/>
        <v/>
      </c>
      <c r="I783" s="24" t="str">
        <f>IF(OR(E783="",E783="!!!",F783="NEW"),"",INDEX(B$2:B782,-1+SUMPRODUCT(MAX(ROW(E$2:E782)*(E783=E$2:E782)))))</f>
        <v/>
      </c>
      <c r="J783" s="24" t="str">
        <f ca="1">IF(OR(E783="",E783="!!!",F783="NEW"),"",COUNTBLANK(OFFSET(A$1,,,SUMPRODUCT(MAX(ROW(E$2:E783)*(E783=E$2:E783)))))-COUNTBLANK(OFFSET(A$1,,,SUMPRODUCT(MAX(ROW(E$1:E782)*(E2=E$1:E782))))))</f>
        <v/>
      </c>
      <c r="K783" s="24" t="str">
        <f>IF(OR(E783="",E783="!!!",F783="NEW"),"",INDEX(J$1:J782,SUMPRODUCT(MAX(ROW(E$1:E782)*(E783=E$1:E782)))))</f>
        <v/>
      </c>
      <c r="L783" s="25"/>
    </row>
    <row r="784" spans="1:12" x14ac:dyDescent="0.3">
      <c r="A784" t="s">
        <v>551</v>
      </c>
      <c r="B784" s="26" t="s">
        <v>177</v>
      </c>
      <c r="C784" s="26" t="s">
        <v>194</v>
      </c>
      <c r="D784" s="26" t="s">
        <v>181</v>
      </c>
      <c r="E784" s="20" t="s">
        <v>665</v>
      </c>
      <c r="F784" s="21" t="str">
        <f>IF(OR(E784="",E784="!!!"),"",IF(NOT(ISNA(VLOOKUP(E784,E$1:E783,1,FALSE()))),"OLD",IF(AND(E784&lt;&gt;"",E784&lt;&gt;"!!!"),"NEW","")))</f>
        <v>OLD</v>
      </c>
      <c r="G784" s="22" t="s">
        <v>697</v>
      </c>
      <c r="H784" s="23" t="s">
        <v>158</v>
      </c>
      <c r="I784" s="24">
        <f>IF(OR(E784="",E784="!!!",F784="NEW"),"",INDEX(B$2:B783,-1+SUMPRODUCT(MAX(ROW(E$2:E783)*(E784=E$2:E783)))))</f>
        <v>0</v>
      </c>
      <c r="J784" s="24">
        <f ca="1">IF(OR(E784="",E784="!!!",F784="NEW"),"",COUNTBLANK(OFFSET(A$1,,,SUMPRODUCT(MAX(ROW(E$2:E784)*(E784=E$2:E784)))))-COUNTBLANK(OFFSET(A$1,,,SUMPRODUCT(MAX(ROW(E$1:E783)*(E2=E$1:E783))))))</f>
        <v>0</v>
      </c>
      <c r="K784" s="24">
        <f ca="1">IF(OR(E784="",E784="!!!",F784="NEW"),"",INDEX(J$1:J783,SUMPRODUCT(MAX(ROW(E$1:E783)*(E784=E$1:E783)))))</f>
        <v>0</v>
      </c>
      <c r="L784" s="25"/>
    </row>
    <row r="785" spans="1:12" x14ac:dyDescent="0.3">
      <c r="A785" t="s">
        <v>173</v>
      </c>
      <c r="B785" s="26" t="s">
        <v>183</v>
      </c>
      <c r="C785" s="26" t="s">
        <v>175</v>
      </c>
      <c r="E785" s="20" t="str">
        <f t="shared" si="62"/>
        <v/>
      </c>
      <c r="F785" s="21" t="str">
        <f>IF(OR(E785="",E785="!!!"),"",IF(NOT(ISNA(VLOOKUP(E785,E$1:E784,1,FALSE()))),"OLD",IF(AND(E785&lt;&gt;"",E785&lt;&gt;"!!!"),"NEW","")))</f>
        <v/>
      </c>
      <c r="G785" s="22" t="str">
        <f>IF(OR(E785="",E785="!!!"),"",IF(OR(J785=0,AND(J785=1,K785=1),AND(J785=1,I785="SBJ"),AND(J785=1,I785=0)),"?IN_FOCUS",IF(J785&lt;=2,"?ACTIVATED",IF(J785&lt;&gt;"","?FAMILIAR",IF(F785="NEW",IF(ISNA(VLOOKUP(E785,#REF!,1,FALSE())),"?TYPE_IDENTIFIABLE","?REFERENTIAL"),"_")))))</f>
        <v/>
      </c>
      <c r="H785" s="23" t="str">
        <f t="shared" ca="1" si="63"/>
        <v/>
      </c>
      <c r="I785" s="24" t="str">
        <f>IF(OR(E785="",E785="!!!",F785="NEW"),"",INDEX(B$2:B784,-1+SUMPRODUCT(MAX(ROW(E$2:E784)*(E785=E$2:E784)))))</f>
        <v/>
      </c>
      <c r="J785" s="24" t="str">
        <f ca="1">IF(OR(E785="",E785="!!!",F785="NEW"),"",COUNTBLANK(OFFSET(A$1,,,SUMPRODUCT(MAX(ROW(E$2:E785)*(E785=E$2:E785)))))-COUNTBLANK(OFFSET(A$1,,,SUMPRODUCT(MAX(ROW(E$1:E784)*(E2=E$1:E784))))))</f>
        <v/>
      </c>
      <c r="K785" s="24" t="str">
        <f>IF(OR(E785="",E785="!!!",F785="NEW"),"",INDEX(J$1:J784,SUMPRODUCT(MAX(ROW(E$1:E784)*(E785=E$1:E784)))))</f>
        <v/>
      </c>
      <c r="L785" s="25"/>
    </row>
    <row r="786" spans="1:12" x14ac:dyDescent="0.3">
      <c r="A786" t="s">
        <v>230</v>
      </c>
      <c r="E786" s="20" t="str">
        <f t="shared" si="62"/>
        <v/>
      </c>
      <c r="F786" s="21" t="str">
        <f>IF(OR(E786="",E786="!!!"),"",IF(NOT(ISNA(VLOOKUP(E786,E$1:E785,1,FALSE()))),"OLD",IF(AND(E786&lt;&gt;"",E786&lt;&gt;"!!!"),"NEW","")))</f>
        <v/>
      </c>
      <c r="G786" s="22" t="str">
        <f>IF(OR(E786="",E786="!!!"),"",IF(OR(J786=0,AND(J786=1,K786=1),AND(J786=1,I786="SBJ"),AND(J786=1,I786=0)),"?IN_FOCUS",IF(J786&lt;=2,"?ACTIVATED",IF(J786&lt;&gt;"","?FAMILIAR",IF(F786="NEW",IF(ISNA(VLOOKUP(E786,#REF!,1,FALSE())),"?TYPE_IDENTIFIABLE","?REFERENTIAL"),"_")))))</f>
        <v/>
      </c>
      <c r="H786" s="23" t="str">
        <f t="shared" ca="1" si="63"/>
        <v/>
      </c>
      <c r="I786" s="24" t="str">
        <f>IF(OR(E786="",E786="!!!",F786="NEW"),"",INDEX(B$2:B785,-1+SUMPRODUCT(MAX(ROW(E$2:E785)*(E786=E$2:E785)))))</f>
        <v/>
      </c>
      <c r="J786" s="24" t="str">
        <f ca="1">IF(OR(E786="",E786="!!!",F786="NEW"),"",COUNTBLANK(OFFSET(A$1,,,SUMPRODUCT(MAX(ROW(E$2:E786)*(E786=E$2:E786)))))-COUNTBLANK(OFFSET(A$1,,,SUMPRODUCT(MAX(ROW(E$1:E785)*(E2=E$1:E785))))))</f>
        <v/>
      </c>
      <c r="K786" s="24" t="str">
        <f>IF(OR(E786="",E786="!!!",F786="NEW"),"",INDEX(J$1:J785,SUMPRODUCT(MAX(ROW(E$1:E785)*(E786=E$1:E785)))))</f>
        <v/>
      </c>
      <c r="L786" s="25"/>
    </row>
    <row r="787" spans="1:12" x14ac:dyDescent="0.3">
      <c r="A787" t="s">
        <v>552</v>
      </c>
      <c r="B787" s="26" t="s">
        <v>174</v>
      </c>
      <c r="C787" s="26" t="s">
        <v>194</v>
      </c>
      <c r="D787" s="26" t="s">
        <v>181</v>
      </c>
      <c r="E787" s="20"/>
      <c r="F787" s="21" t="str">
        <f>IF(OR(E787="",E787="!!!"),"",IF(NOT(ISNA(VLOOKUP(E787,E$1:E786,1,FALSE()))),"OLD",IF(AND(E787&lt;&gt;"",E787&lt;&gt;"!!!"),"NEW","")))</f>
        <v/>
      </c>
      <c r="G787" s="22" t="str">
        <f>IF(OR(E787="",E787="!!!"),"",IF(OR(J787=0,AND(J787=1,K787=1),AND(J787=1,I787="SBJ"),AND(J787=1,I787=0)),"?IN_FOCUS",IF(J787&lt;=2,"?ACTIVATED",IF(J787&lt;&gt;"","?FAMILIAR",IF(F787="NEW",IF(ISNA(VLOOKUP(E787,#REF!,1,FALSE())),"?TYPE_IDENTIFIABLE","?REFERENTIAL"),"_")))))</f>
        <v/>
      </c>
      <c r="H787" s="23" t="str">
        <f t="shared" ca="1" si="63"/>
        <v/>
      </c>
      <c r="I787" s="24" t="str">
        <f>IF(OR(E787="",E787="!!!",F787="NEW"),"",INDEX(B$2:B786,-1+SUMPRODUCT(MAX(ROW(E$2:E786)*(E787=E$2:E786)))))</f>
        <v/>
      </c>
      <c r="J787" s="24" t="str">
        <f ca="1">IF(OR(E787="",E787="!!!",F787="NEW"),"",COUNTBLANK(OFFSET(A$1,,,SUMPRODUCT(MAX(ROW(E$2:E787)*(E787=E$2:E787)))))-COUNTBLANK(OFFSET(A$1,,,SUMPRODUCT(MAX(ROW(E$1:E786)*(E2=E$1:E786))))))</f>
        <v/>
      </c>
      <c r="K787" s="24" t="str">
        <f>IF(OR(E787="",E787="!!!",F787="NEW"),"",INDEX(J$1:J786,SUMPRODUCT(MAX(ROW(E$1:E786)*(E787=E$1:E786)))))</f>
        <v/>
      </c>
      <c r="L787" s="25"/>
    </row>
    <row r="788" spans="1:12" x14ac:dyDescent="0.3">
      <c r="A788" t="s">
        <v>553</v>
      </c>
      <c r="E788" s="20" t="str">
        <f t="shared" si="62"/>
        <v/>
      </c>
      <c r="F788" s="21" t="str">
        <f>IF(OR(E788="",E788="!!!"),"",IF(NOT(ISNA(VLOOKUP(E788,E$1:E787,1,FALSE()))),"OLD",IF(AND(E788&lt;&gt;"",E788&lt;&gt;"!!!"),"NEW","")))</f>
        <v/>
      </c>
      <c r="G788" s="22" t="str">
        <f>IF(OR(E788="",E788="!!!"),"",IF(OR(J788=0,AND(J788=1,K788=1),AND(J788=1,I788="SBJ"),AND(J788=1,I788=0)),"?IN_FOCUS",IF(J788&lt;=2,"?ACTIVATED",IF(J788&lt;&gt;"","?FAMILIAR",IF(F788="NEW",IF(ISNA(VLOOKUP(E788,#REF!,1,FALSE())),"?TYPE_IDENTIFIABLE","?REFERENTIAL"),"_")))))</f>
        <v/>
      </c>
      <c r="H788" s="23" t="str">
        <f t="shared" ca="1" si="63"/>
        <v/>
      </c>
      <c r="I788" s="24" t="str">
        <f>IF(OR(E788="",E788="!!!",F788="NEW"),"",INDEX(B$2:B787,-1+SUMPRODUCT(MAX(ROW(E$2:E787)*(E788=E$2:E787)))))</f>
        <v/>
      </c>
      <c r="J788" s="24" t="str">
        <f ca="1">IF(OR(E788="",E788="!!!",F788="NEW"),"",COUNTBLANK(OFFSET(A$1,,,SUMPRODUCT(MAX(ROW(E$2:E788)*(E788=E$2:E788)))))-COUNTBLANK(OFFSET(A$1,,,SUMPRODUCT(MAX(ROW(E$1:E787)*(E2=E$1:E787))))))</f>
        <v/>
      </c>
      <c r="K788" s="24" t="str">
        <f>IF(OR(E788="",E788="!!!",F788="NEW"),"",INDEX(J$1:J787,SUMPRODUCT(MAX(ROW(E$1:E787)*(E788=E$1:E787)))))</f>
        <v/>
      </c>
      <c r="L788" s="25"/>
    </row>
    <row r="789" spans="1:12" x14ac:dyDescent="0.3">
      <c r="A789" t="s">
        <v>167</v>
      </c>
      <c r="E789" s="20" t="str">
        <f t="shared" si="62"/>
        <v/>
      </c>
      <c r="F789" s="21" t="str">
        <f>IF(OR(E789="",E789="!!!"),"",IF(NOT(ISNA(VLOOKUP(E789,E$1:E788,1,FALSE()))),"OLD",IF(AND(E789&lt;&gt;"",E789&lt;&gt;"!!!"),"NEW","")))</f>
        <v/>
      </c>
      <c r="G789" s="22" t="str">
        <f>IF(OR(E789="",E789="!!!"),"",IF(OR(J789=0,AND(J789=1,K789=1),AND(J789=1,I789="SBJ"),AND(J789=1,I789=0)),"?IN_FOCUS",IF(J789&lt;=2,"?ACTIVATED",IF(J789&lt;&gt;"","?FAMILIAR",IF(F789="NEW",IF(ISNA(VLOOKUP(E789,#REF!,1,FALSE())),"?TYPE_IDENTIFIABLE","?REFERENTIAL"),"_")))))</f>
        <v/>
      </c>
      <c r="H789" s="23" t="str">
        <f t="shared" ca="1" si="63"/>
        <v/>
      </c>
      <c r="I789" s="24" t="str">
        <f>IF(OR(E789="",E789="!!!",F789="NEW"),"",INDEX(B$2:B788,-1+SUMPRODUCT(MAX(ROW(E$2:E788)*(E789=E$2:E788)))))</f>
        <v/>
      </c>
      <c r="J789" s="24" t="str">
        <f ca="1">IF(OR(E789="",E789="!!!",F789="NEW"),"",COUNTBLANK(OFFSET(A$1,,,SUMPRODUCT(MAX(ROW(E$2:E789)*(E789=E$2:E789)))))-COUNTBLANK(OFFSET(A$1,,,SUMPRODUCT(MAX(ROW(E$1:E788)*(E2=E$1:E788))))))</f>
        <v/>
      </c>
      <c r="K789" s="24" t="str">
        <f>IF(OR(E789="",E789="!!!",F789="NEW"),"",INDEX(J$1:J788,SUMPRODUCT(MAX(ROW(E$1:E788)*(E789=E$1:E788)))))</f>
        <v/>
      </c>
      <c r="L789" s="25"/>
    </row>
    <row r="790" spans="1:12" x14ac:dyDescent="0.3">
      <c r="A790" t="s">
        <v>270</v>
      </c>
      <c r="B790" s="26" t="s">
        <v>169</v>
      </c>
      <c r="E790" s="20" t="str">
        <f t="shared" si="62"/>
        <v/>
      </c>
      <c r="F790" s="21" t="str">
        <f>IF(OR(E790="",E790="!!!"),"",IF(NOT(ISNA(VLOOKUP(E790,E$1:E789,1,FALSE()))),"OLD",IF(AND(E790&lt;&gt;"",E790&lt;&gt;"!!!"),"NEW","")))</f>
        <v/>
      </c>
      <c r="G790" s="22" t="str">
        <f>IF(OR(E790="",E790="!!!"),"",IF(OR(J790=0,AND(J790=1,K790=1),AND(J790=1,I790="SBJ"),AND(J790=1,I790=0)),"?IN_FOCUS",IF(J790&lt;=2,"?ACTIVATED",IF(J790&lt;&gt;"","?FAMILIAR",IF(F790="NEW",IF(ISNA(VLOOKUP(E790,#REF!,1,FALSE())),"?TYPE_IDENTIFIABLE","?REFERENTIAL"),"_")))))</f>
        <v/>
      </c>
      <c r="H790" s="23" t="str">
        <f t="shared" ca="1" si="63"/>
        <v/>
      </c>
      <c r="I790" s="24" t="str">
        <f>IF(OR(E790="",E790="!!!",F790="NEW"),"",INDEX(B$2:B789,-1+SUMPRODUCT(MAX(ROW(E$2:E789)*(E790=E$2:E789)))))</f>
        <v/>
      </c>
      <c r="J790" s="24" t="str">
        <f ca="1">IF(OR(E790="",E790="!!!",F790="NEW"),"",COUNTBLANK(OFFSET(A$1,,,SUMPRODUCT(MAX(ROW(E$2:E790)*(E790=E$2:E790)))))-COUNTBLANK(OFFSET(A$1,,,SUMPRODUCT(MAX(ROW(E$1:E789)*(E2=E$1:E789))))))</f>
        <v/>
      </c>
      <c r="K790" s="24" t="str">
        <f>IF(OR(E790="",E790="!!!",F790="NEW"),"",INDEX(J$1:J789,SUMPRODUCT(MAX(ROW(E$1:E789)*(E790=E$1:E789)))))</f>
        <v/>
      </c>
      <c r="L790" s="25"/>
    </row>
    <row r="791" spans="1:12" x14ac:dyDescent="0.3">
      <c r="A791" t="s">
        <v>554</v>
      </c>
      <c r="E791" s="20" t="str">
        <f t="shared" si="62"/>
        <v/>
      </c>
      <c r="F791" s="21" t="str">
        <f>IF(OR(E791="",E791="!!!"),"",IF(NOT(ISNA(VLOOKUP(E791,E$1:E790,1,FALSE()))),"OLD",IF(AND(E791&lt;&gt;"",E791&lt;&gt;"!!!"),"NEW","")))</f>
        <v/>
      </c>
      <c r="G791" s="22" t="str">
        <f>IF(OR(E791="",E791="!!!"),"",IF(OR(J791=0,AND(J791=1,K791=1),AND(J791=1,I791="SBJ"),AND(J791=1,I791=0)),"?IN_FOCUS",IF(J791&lt;=2,"?ACTIVATED",IF(J791&lt;&gt;"","?FAMILIAR",IF(F791="NEW",IF(ISNA(VLOOKUP(E791,#REF!,1,FALSE())),"?TYPE_IDENTIFIABLE","?REFERENTIAL"),"_")))))</f>
        <v/>
      </c>
      <c r="H791" s="23" t="str">
        <f t="shared" ca="1" si="63"/>
        <v/>
      </c>
      <c r="I791" s="24" t="str">
        <f>IF(OR(E791="",E791="!!!",F791="NEW"),"",INDEX(B$2:B790,-1+SUMPRODUCT(MAX(ROW(E$2:E790)*(E791=E$2:E790)))))</f>
        <v/>
      </c>
      <c r="J791" s="24" t="str">
        <f ca="1">IF(OR(E791="",E791="!!!",F791="NEW"),"",COUNTBLANK(OFFSET(A$1,,,SUMPRODUCT(MAX(ROW(E$2:E791)*(E791=E$2:E791)))))-COUNTBLANK(OFFSET(A$1,,,SUMPRODUCT(MAX(ROW(E$1:E790)*(E2=E$1:E790))))))</f>
        <v/>
      </c>
      <c r="K791" s="24" t="str">
        <f>IF(OR(E791="",E791="!!!",F791="NEW"),"",INDEX(J$1:J790,SUMPRODUCT(MAX(ROW(E$1:E790)*(E791=E$1:E790)))))</f>
        <v/>
      </c>
      <c r="L791" s="25"/>
    </row>
    <row r="792" spans="1:12" x14ac:dyDescent="0.3">
      <c r="A792" t="s">
        <v>167</v>
      </c>
      <c r="E792" s="20" t="str">
        <f t="shared" si="62"/>
        <v/>
      </c>
      <c r="F792" s="21" t="str">
        <f>IF(OR(E792="",E792="!!!"),"",IF(NOT(ISNA(VLOOKUP(E792,E$1:E791,1,FALSE()))),"OLD",IF(AND(E792&lt;&gt;"",E792&lt;&gt;"!!!"),"NEW","")))</f>
        <v/>
      </c>
      <c r="G792" s="22" t="str">
        <f>IF(OR(E792="",E792="!!!"),"",IF(OR(J792=0,AND(J792=1,K792=1),AND(J792=1,I792="SBJ"),AND(J792=1,I792=0)),"?IN_FOCUS",IF(J792&lt;=2,"?ACTIVATED",IF(J792&lt;&gt;"","?FAMILIAR",IF(F792="NEW",IF(ISNA(VLOOKUP(E792,#REF!,1,FALSE())),"?TYPE_IDENTIFIABLE","?REFERENTIAL"),"_")))))</f>
        <v/>
      </c>
      <c r="H792" s="23" t="str">
        <f t="shared" ca="1" si="63"/>
        <v/>
      </c>
      <c r="I792" s="24" t="str">
        <f>IF(OR(E792="",E792="!!!",F792="NEW"),"",INDEX(B$2:B791,-1+SUMPRODUCT(MAX(ROW(E$2:E791)*(E792=E$2:E791)))))</f>
        <v/>
      </c>
      <c r="J792" s="24" t="str">
        <f ca="1">IF(OR(E792="",E792="!!!",F792="NEW"),"",COUNTBLANK(OFFSET(A$1,,,SUMPRODUCT(MAX(ROW(E$2:E792)*(E792=E$2:E792)))))-COUNTBLANK(OFFSET(A$1,,,SUMPRODUCT(MAX(ROW(E$1:E791)*(E2=E$1:E791))))))</f>
        <v/>
      </c>
      <c r="K792" s="24" t="str">
        <f>IF(OR(E792="",E792="!!!",F792="NEW"),"",INDEX(J$1:J791,SUMPRODUCT(MAX(ROW(E$1:E791)*(E792=E$1:E791)))))</f>
        <v/>
      </c>
      <c r="L792" s="25"/>
    </row>
    <row r="793" spans="1:12" x14ac:dyDescent="0.3">
      <c r="A793" t="s">
        <v>260</v>
      </c>
      <c r="E793" s="20" t="str">
        <f t="shared" si="62"/>
        <v/>
      </c>
      <c r="F793" s="21" t="str">
        <f>IF(OR(E793="",E793="!!!"),"",IF(NOT(ISNA(VLOOKUP(E793,E$1:E792,1,FALSE()))),"OLD",IF(AND(E793&lt;&gt;"",E793&lt;&gt;"!!!"),"NEW","")))</f>
        <v/>
      </c>
      <c r="G793" s="22" t="str">
        <f>IF(OR(E793="",E793="!!!"),"",IF(OR(J793=0,AND(J793=1,K793=1),AND(J793=1,I793="SBJ"),AND(J793=1,I793=0)),"?IN_FOCUS",IF(J793&lt;=2,"?ACTIVATED",IF(J793&lt;&gt;"","?FAMILIAR",IF(F793="NEW",IF(ISNA(VLOOKUP(E793,#REF!,1,FALSE())),"?TYPE_IDENTIFIABLE","?REFERENTIAL"),"_")))))</f>
        <v/>
      </c>
      <c r="H793" s="23" t="str">
        <f t="shared" ca="1" si="63"/>
        <v/>
      </c>
      <c r="I793" s="24" t="str">
        <f>IF(OR(E793="",E793="!!!",F793="NEW"),"",INDEX(B$2:B792,-1+SUMPRODUCT(MAX(ROW(E$2:E792)*(E793=E$2:E792)))))</f>
        <v/>
      </c>
      <c r="J793" s="24" t="str">
        <f ca="1">IF(OR(E793="",E793="!!!",F793="NEW"),"",COUNTBLANK(OFFSET(A$1,,,SUMPRODUCT(MAX(ROW(E$2:E793)*(E793=E$2:E793)))))-COUNTBLANK(OFFSET(A$1,,,SUMPRODUCT(MAX(ROW(E$1:E792)*(E2=E$1:E792))))))</f>
        <v/>
      </c>
      <c r="K793" s="24" t="str">
        <f>IF(OR(E793="",E793="!!!",F793="NEW"),"",INDEX(J$1:J792,SUMPRODUCT(MAX(ROW(E$1:E792)*(E793=E$1:E792)))))</f>
        <v/>
      </c>
      <c r="L793" s="25"/>
    </row>
    <row r="794" spans="1:12" x14ac:dyDescent="0.3">
      <c r="A794" t="s">
        <v>401</v>
      </c>
      <c r="B794" s="26" t="s">
        <v>372</v>
      </c>
      <c r="C794" s="26" t="s">
        <v>194</v>
      </c>
      <c r="D794" s="26" t="s">
        <v>181</v>
      </c>
      <c r="E794" s="20" t="s">
        <v>693</v>
      </c>
      <c r="F794" s="21" t="str">
        <f>IF(OR(E794="",E794="!!!"),"",IF(NOT(ISNA(VLOOKUP(E794,E$1:E793,1,FALSE()))),"OLD",IF(AND(E794&lt;&gt;"",E794&lt;&gt;"!!!"),"NEW","")))</f>
        <v>OLD</v>
      </c>
      <c r="G794" s="22" t="s">
        <v>697</v>
      </c>
      <c r="H794" s="23" t="str">
        <f t="shared" ca="1" si="63"/>
        <v/>
      </c>
      <c r="I794" s="24" t="str">
        <f>IF(OR(E794="",E794="!!!",F794="NEW"),"",INDEX(B$2:B793,-1+SUMPRODUCT(MAX(ROW(E$2:E793)*(E794=E$2:E793)))))</f>
        <v>other</v>
      </c>
      <c r="J794" s="24">
        <f ca="1">IF(OR(E794="",E794="!!!",F794="NEW"),"",COUNTBLANK(OFFSET(A$1,,,SUMPRODUCT(MAX(ROW(E$2:E794)*(E794=E$2:E794)))))-COUNTBLANK(OFFSET(A$1,,,SUMPRODUCT(MAX(ROW(E$1:E793)*(E2=E$1:E793))))))</f>
        <v>0</v>
      </c>
      <c r="K794" s="24">
        <f ca="1">IF(OR(E794="",E794="!!!",F794="NEW"),"",INDEX(J$1:J793,SUMPRODUCT(MAX(ROW(E$1:E793)*(E794=E$1:E793)))))</f>
        <v>0</v>
      </c>
      <c r="L794" s="25"/>
    </row>
    <row r="795" spans="1:12" x14ac:dyDescent="0.3">
      <c r="A795" t="s">
        <v>381</v>
      </c>
      <c r="E795" s="20" t="str">
        <f t="shared" si="62"/>
        <v/>
      </c>
      <c r="F795" s="21" t="str">
        <f>IF(OR(E795="",E795="!!!"),"",IF(NOT(ISNA(VLOOKUP(E795,E$1:E794,1,FALSE()))),"OLD",IF(AND(E795&lt;&gt;"",E795&lt;&gt;"!!!"),"NEW","")))</f>
        <v/>
      </c>
      <c r="G795" s="22" t="str">
        <f>IF(OR(E795="",E795="!!!"),"",IF(OR(J795=0,AND(J795=1,K795=1),AND(J795=1,I795="SBJ"),AND(J795=1,I795=0)),"?IN_FOCUS",IF(J795&lt;=2,"?ACTIVATED",IF(J795&lt;&gt;"","?FAMILIAR",IF(F795="NEW",IF(ISNA(VLOOKUP(E795,#REF!,1,FALSE())),"?TYPE_IDENTIFIABLE","?REFERENTIAL"),"_")))))</f>
        <v/>
      </c>
      <c r="H795" s="23" t="str">
        <f t="shared" ca="1" si="63"/>
        <v/>
      </c>
      <c r="I795" s="24" t="str">
        <f>IF(OR(E795="",E795="!!!",F795="NEW"),"",INDEX(B$2:B794,-1+SUMPRODUCT(MAX(ROW(E$2:E794)*(E795=E$2:E794)))))</f>
        <v/>
      </c>
      <c r="J795" s="24" t="str">
        <f ca="1">IF(OR(E795="",E795="!!!",F795="NEW"),"",COUNTBLANK(OFFSET(A$1,,,SUMPRODUCT(MAX(ROW(E$2:E795)*(E795=E$2:E795)))))-COUNTBLANK(OFFSET(A$1,,,SUMPRODUCT(MAX(ROW(E$1:E794)*(E2=E$1:E794))))))</f>
        <v/>
      </c>
      <c r="K795" s="24" t="str">
        <f>IF(OR(E795="",E795="!!!",F795="NEW"),"",INDEX(J$1:J794,SUMPRODUCT(MAX(ROW(E$1:E794)*(E795=E$1:E794)))))</f>
        <v/>
      </c>
      <c r="L795" s="25"/>
    </row>
    <row r="796" spans="1:12" x14ac:dyDescent="0.3">
      <c r="A796" t="s">
        <v>499</v>
      </c>
      <c r="E796" s="20" t="str">
        <f t="shared" si="62"/>
        <v/>
      </c>
      <c r="F796" s="21" t="str">
        <f>IF(OR(E796="",E796="!!!"),"",IF(NOT(ISNA(VLOOKUP(E796,E$1:E795,1,FALSE()))),"OLD",IF(AND(E796&lt;&gt;"",E796&lt;&gt;"!!!"),"NEW","")))</f>
        <v/>
      </c>
      <c r="G796" s="22" t="str">
        <f>IF(OR(E796="",E796="!!!"),"",IF(OR(J796=0,AND(J796=1,K796=1),AND(J796=1,I796="SBJ"),AND(J796=1,I796=0)),"?IN_FOCUS",IF(J796&lt;=2,"?ACTIVATED",IF(J796&lt;&gt;"","?FAMILIAR",IF(F796="NEW",IF(ISNA(VLOOKUP(E796,#REF!,1,FALSE())),"?TYPE_IDENTIFIABLE","?REFERENTIAL"),"_")))))</f>
        <v/>
      </c>
      <c r="H796" s="23" t="str">
        <f t="shared" ca="1" si="63"/>
        <v/>
      </c>
      <c r="I796" s="24" t="str">
        <f>IF(OR(E796="",E796="!!!",F796="NEW"),"",INDEX(B$2:B795,-1+SUMPRODUCT(MAX(ROW(E$2:E795)*(E796=E$2:E795)))))</f>
        <v/>
      </c>
      <c r="J796" s="24" t="str">
        <f ca="1">IF(OR(E796="",E796="!!!",F796="NEW"),"",COUNTBLANK(OFFSET(A$1,,,SUMPRODUCT(MAX(ROW(E$2:E796)*(E796=E$2:E796)))))-COUNTBLANK(OFFSET(A$1,,,SUMPRODUCT(MAX(ROW(E$1:E795)*(E2=E$1:E795))))))</f>
        <v/>
      </c>
      <c r="K796" s="24" t="str">
        <f>IF(OR(E796="",E796="!!!",F796="NEW"),"",INDEX(J$1:J795,SUMPRODUCT(MAX(ROW(E$1:E795)*(E796=E$1:E795)))))</f>
        <v/>
      </c>
      <c r="L796" s="25"/>
    </row>
    <row r="797" spans="1:12" x14ac:dyDescent="0.3">
      <c r="A797" t="s">
        <v>500</v>
      </c>
      <c r="B797" s="26" t="s">
        <v>177</v>
      </c>
      <c r="C797" s="26" t="s">
        <v>224</v>
      </c>
      <c r="E797" s="20" t="str">
        <f t="shared" si="62"/>
        <v/>
      </c>
      <c r="F797" s="21" t="str">
        <f>IF(OR(E797="",E797="!!!"),"",IF(NOT(ISNA(VLOOKUP(E797,E$1:E796,1,FALSE()))),"OLD",IF(AND(E797&lt;&gt;"",E797&lt;&gt;"!!!"),"NEW","")))</f>
        <v/>
      </c>
      <c r="G797" s="22" t="str">
        <f>IF(OR(E797="",E797="!!!"),"",IF(OR(J797=0,AND(J797=1,K797=1),AND(J797=1,I797="SBJ"),AND(J797=1,I797=0)),"?IN_FOCUS",IF(J797&lt;=2,"?ACTIVATED",IF(J797&lt;&gt;"","?FAMILIAR",IF(F797="NEW",IF(ISNA(VLOOKUP(E797,#REF!,1,FALSE())),"?TYPE_IDENTIFIABLE","?REFERENTIAL"),"_")))))</f>
        <v/>
      </c>
      <c r="H797" s="23" t="str">
        <f t="shared" ca="1" si="63"/>
        <v/>
      </c>
      <c r="I797" s="24" t="str">
        <f>IF(OR(E797="",E797="!!!",F797="NEW"),"",INDEX(B$2:B796,-1+SUMPRODUCT(MAX(ROW(E$2:E796)*(E797=E$2:E796)))))</f>
        <v/>
      </c>
      <c r="J797" s="24" t="str">
        <f ca="1">IF(OR(E797="",E797="!!!",F797="NEW"),"",COUNTBLANK(OFFSET(A$1,,,SUMPRODUCT(MAX(ROW(E$2:E797)*(E797=E$2:E797)))))-COUNTBLANK(OFFSET(A$1,,,SUMPRODUCT(MAX(ROW(E$1:E796)*(E2=E$1:E796))))))</f>
        <v/>
      </c>
      <c r="K797" s="24" t="str">
        <f>IF(OR(E797="",E797="!!!",F797="NEW"),"",INDEX(J$1:J796,SUMPRODUCT(MAX(ROW(E$1:E796)*(E797=E$1:E796)))))</f>
        <v/>
      </c>
      <c r="L797" s="25"/>
    </row>
    <row r="798" spans="1:12" x14ac:dyDescent="0.3">
      <c r="A798" t="s">
        <v>186</v>
      </c>
      <c r="E798" s="20" t="str">
        <f t="shared" si="62"/>
        <v/>
      </c>
      <c r="F798" s="21" t="str">
        <f>IF(OR(E798="",E798="!!!"),"",IF(NOT(ISNA(VLOOKUP(E798,E$1:E797,1,FALSE()))),"OLD",IF(AND(E798&lt;&gt;"",E798&lt;&gt;"!!!"),"NEW","")))</f>
        <v/>
      </c>
      <c r="G798" s="22" t="str">
        <f>IF(OR(E798="",E798="!!!"),"",IF(OR(J798=0,AND(J798=1,K798=1),AND(J798=1,I798="SBJ"),AND(J798=1,I798=0)),"?IN_FOCUS",IF(J798&lt;=2,"?ACTIVATED",IF(J798&lt;&gt;"","?FAMILIAR",IF(F798="NEW",IF(ISNA(VLOOKUP(E798,#REF!,1,FALSE())),"?TYPE_IDENTIFIABLE","?REFERENTIAL"),"_")))))</f>
        <v/>
      </c>
      <c r="H798" s="23" t="str">
        <f t="shared" ca="1" si="63"/>
        <v/>
      </c>
      <c r="I798" s="24" t="str">
        <f>IF(OR(E798="",E798="!!!",F798="NEW"),"",INDEX(B$2:B797,-1+SUMPRODUCT(MAX(ROW(E$2:E797)*(E798=E$2:E797)))))</f>
        <v/>
      </c>
      <c r="J798" s="24" t="str">
        <f ca="1">IF(OR(E798="",E798="!!!",F798="NEW"),"",COUNTBLANK(OFFSET(A$1,,,SUMPRODUCT(MAX(ROW(E$2:E798)*(E798=E$2:E798)))))-COUNTBLANK(OFFSET(A$1,,,SUMPRODUCT(MAX(ROW(E$1:E797)*(E2=E$1:E797))))))</f>
        <v/>
      </c>
      <c r="K798" s="24" t="str">
        <f>IF(OR(E798="",E798="!!!",F798="NEW"),"",INDEX(J$1:J797,SUMPRODUCT(MAX(ROW(E$1:E797)*(E798=E$1:E797)))))</f>
        <v/>
      </c>
      <c r="L798" s="25"/>
    </row>
    <row r="799" spans="1:12" x14ac:dyDescent="0.3">
      <c r="A799" t="s">
        <v>555</v>
      </c>
      <c r="B799" s="26" t="s">
        <v>174</v>
      </c>
      <c r="C799" s="26" t="s">
        <v>166</v>
      </c>
      <c r="E799" s="20" t="str">
        <f t="shared" si="62"/>
        <v/>
      </c>
      <c r="F799" s="21" t="str">
        <f>IF(OR(E799="",E799="!!!"),"",IF(NOT(ISNA(VLOOKUP(E799,E$1:E798,1,FALSE()))),"OLD",IF(AND(E799&lt;&gt;"",E799&lt;&gt;"!!!"),"NEW","")))</f>
        <v/>
      </c>
      <c r="G799" s="22" t="str">
        <f>IF(OR(E799="",E799="!!!"),"",IF(OR(J799=0,AND(J799=1,K799=1),AND(J799=1,I799="SBJ"),AND(J799=1,I799=0)),"?IN_FOCUS",IF(J799&lt;=2,"?ACTIVATED",IF(J799&lt;&gt;"","?FAMILIAR",IF(F799="NEW",IF(ISNA(VLOOKUP(E799,#REF!,1,FALSE())),"?TYPE_IDENTIFIABLE","?REFERENTIAL"),"_")))))</f>
        <v/>
      </c>
      <c r="H799" s="23" t="str">
        <f t="shared" ca="1" si="63"/>
        <v/>
      </c>
      <c r="I799" s="24" t="str">
        <f>IF(OR(E799="",E799="!!!",F799="NEW"),"",INDEX(B$2:B798,-1+SUMPRODUCT(MAX(ROW(E$2:E798)*(E799=E$2:E798)))))</f>
        <v/>
      </c>
      <c r="J799" s="24" t="str">
        <f ca="1">IF(OR(E799="",E799="!!!",F799="NEW"),"",COUNTBLANK(OFFSET(A$1,,,SUMPRODUCT(MAX(ROW(E$2:E799)*(E799=E$2:E799)))))-COUNTBLANK(OFFSET(A$1,,,SUMPRODUCT(MAX(ROW(E$1:E798)*(E2=E$1:E798))))))</f>
        <v/>
      </c>
      <c r="K799" s="24" t="str">
        <f>IF(OR(E799="",E799="!!!",F799="NEW"),"",INDEX(J$1:J798,SUMPRODUCT(MAX(ROW(E$1:E798)*(E799=E$1:E798)))))</f>
        <v/>
      </c>
      <c r="L799" s="25"/>
    </row>
    <row r="800" spans="1:12" x14ac:dyDescent="0.3">
      <c r="A800" t="s">
        <v>556</v>
      </c>
      <c r="E800" s="20" t="str">
        <f t="shared" si="62"/>
        <v/>
      </c>
      <c r="F800" s="21" t="str">
        <f>IF(OR(E800="",E800="!!!"),"",IF(NOT(ISNA(VLOOKUP(E800,E$1:E799,1,FALSE()))),"OLD",IF(AND(E800&lt;&gt;"",E800&lt;&gt;"!!!"),"NEW","")))</f>
        <v/>
      </c>
      <c r="G800" s="22" t="str">
        <f>IF(OR(E800="",E800="!!!"),"",IF(OR(J800=0,AND(J800=1,K800=1),AND(J800=1,I800="SBJ"),AND(J800=1,I800=0)),"?IN_FOCUS",IF(J800&lt;=2,"?ACTIVATED",IF(J800&lt;&gt;"","?FAMILIAR",IF(F800="NEW",IF(ISNA(VLOOKUP(E800,#REF!,1,FALSE())),"?TYPE_IDENTIFIABLE","?REFERENTIAL"),"_")))))</f>
        <v/>
      </c>
      <c r="H800" s="23" t="str">
        <f t="shared" ca="1" si="63"/>
        <v/>
      </c>
      <c r="I800" s="24" t="str">
        <f>IF(OR(E800="",E800="!!!",F800="NEW"),"",INDEX(B$2:B799,-1+SUMPRODUCT(MAX(ROW(E$2:E799)*(E800=E$2:E799)))))</f>
        <v/>
      </c>
      <c r="J800" s="24" t="str">
        <f ca="1">IF(OR(E800="",E800="!!!",F800="NEW"),"",COUNTBLANK(OFFSET(A$1,,,SUMPRODUCT(MAX(ROW(E$2:E800)*(E800=E$2:E800)))))-COUNTBLANK(OFFSET(A$1,,,SUMPRODUCT(MAX(ROW(E$1:E799)*(E2=E$1:E799))))))</f>
        <v/>
      </c>
      <c r="K800" s="24" t="str">
        <f>IF(OR(E800="",E800="!!!",F800="NEW"),"",INDEX(J$1:J799,SUMPRODUCT(MAX(ROW(E$1:E799)*(E800=E$1:E799)))))</f>
        <v/>
      </c>
      <c r="L800" s="25"/>
    </row>
    <row r="801" spans="1:12" x14ac:dyDescent="0.3">
      <c r="A801" t="s">
        <v>173</v>
      </c>
      <c r="E801" s="20" t="str">
        <f t="shared" si="62"/>
        <v/>
      </c>
      <c r="F801" s="21" t="str">
        <f>IF(OR(E801="",E801="!!!"),"",IF(NOT(ISNA(VLOOKUP(E801,E$1:E800,1,FALSE()))),"OLD",IF(AND(E801&lt;&gt;"",E801&lt;&gt;"!!!"),"NEW","")))</f>
        <v/>
      </c>
      <c r="G801" s="22" t="str">
        <f>IF(OR(E801="",E801="!!!"),"",IF(OR(J801=0,AND(J801=1,K801=1),AND(J801=1,I801="SBJ"),AND(J801=1,I801=0)),"?IN_FOCUS",IF(J801&lt;=2,"?ACTIVATED",IF(J801&lt;&gt;"","?FAMILIAR",IF(F801="NEW",IF(ISNA(VLOOKUP(E801,#REF!,1,FALSE())),"?TYPE_IDENTIFIABLE","?REFERENTIAL"),"_")))))</f>
        <v/>
      </c>
      <c r="H801" s="23" t="str">
        <f t="shared" ca="1" si="63"/>
        <v/>
      </c>
      <c r="I801" s="24" t="str">
        <f>IF(OR(E801="",E801="!!!",F801="NEW"),"",INDEX(B$2:B800,-1+SUMPRODUCT(MAX(ROW(E$2:E800)*(E801=E$2:E800)))))</f>
        <v/>
      </c>
      <c r="J801" s="24" t="str">
        <f ca="1">IF(OR(E801="",E801="!!!",F801="NEW"),"",COUNTBLANK(OFFSET(A$1,,,SUMPRODUCT(MAX(ROW(E$2:E801)*(E801=E$2:E801)))))-COUNTBLANK(OFFSET(A$1,,,SUMPRODUCT(MAX(ROW(E$1:E800)*(E2=E$1:E800))))))</f>
        <v/>
      </c>
      <c r="K801" s="24" t="str">
        <f>IF(OR(E801="",E801="!!!",F801="NEW"),"",INDEX(J$1:J800,SUMPRODUCT(MAX(ROW(E$1:E800)*(E801=E$1:E800)))))</f>
        <v/>
      </c>
      <c r="L801" s="25"/>
    </row>
    <row r="802" spans="1:12" x14ac:dyDescent="0.3">
      <c r="A802" t="s">
        <v>542</v>
      </c>
      <c r="E802" s="20" t="str">
        <f t="shared" si="62"/>
        <v/>
      </c>
      <c r="F802" s="21" t="str">
        <f>IF(OR(E802="",E802="!!!"),"",IF(NOT(ISNA(VLOOKUP(E802,E$1:E801,1,FALSE()))),"OLD",IF(AND(E802&lt;&gt;"",E802&lt;&gt;"!!!"),"NEW","")))</f>
        <v/>
      </c>
      <c r="G802" s="22" t="str">
        <f>IF(OR(E802="",E802="!!!"),"",IF(OR(J802=0,AND(J802=1,K802=1),AND(J802=1,I802="SBJ"),AND(J802=1,I802=0)),"?IN_FOCUS",IF(J802&lt;=2,"?ACTIVATED",IF(J802&lt;&gt;"","?FAMILIAR",IF(F802="NEW",IF(ISNA(VLOOKUP(E802,#REF!,1,FALSE())),"?TYPE_IDENTIFIABLE","?REFERENTIAL"),"_")))))</f>
        <v/>
      </c>
      <c r="H802" s="23" t="str">
        <f t="shared" ca="1" si="63"/>
        <v/>
      </c>
      <c r="I802" s="24" t="str">
        <f>IF(OR(E802="",E802="!!!",F802="NEW"),"",INDEX(B$2:B801,-1+SUMPRODUCT(MAX(ROW(E$2:E801)*(E802=E$2:E801)))))</f>
        <v/>
      </c>
      <c r="J802" s="24" t="str">
        <f ca="1">IF(OR(E802="",E802="!!!",F802="NEW"),"",COUNTBLANK(OFFSET(A$1,,,SUMPRODUCT(MAX(ROW(E$2:E802)*(E802=E$2:E802)))))-COUNTBLANK(OFFSET(A$1,,,SUMPRODUCT(MAX(ROW(E$1:E801)*(E2=E$1:E801))))))</f>
        <v/>
      </c>
      <c r="K802" s="24" t="str">
        <f>IF(OR(E802="",E802="!!!",F802="NEW"),"",INDEX(J$1:J801,SUMPRODUCT(MAX(ROW(E$1:E801)*(E802=E$1:E801)))))</f>
        <v/>
      </c>
      <c r="L802" s="25"/>
    </row>
    <row r="803" spans="1:12" x14ac:dyDescent="0.3">
      <c r="A803" t="s">
        <v>201</v>
      </c>
      <c r="E803" s="20" t="str">
        <f t="shared" si="62"/>
        <v/>
      </c>
      <c r="F803" s="21" t="str">
        <f>IF(OR(E803="",E803="!!!"),"",IF(NOT(ISNA(VLOOKUP(E803,E$1:E802,1,FALSE()))),"OLD",IF(AND(E803&lt;&gt;"",E803&lt;&gt;"!!!"),"NEW","")))</f>
        <v/>
      </c>
      <c r="G803" s="22" t="str">
        <f>IF(OR(E803="",E803="!!!"),"",IF(OR(J803=0,AND(J803=1,K803=1),AND(J803=1,I803="SBJ"),AND(J803=1,I803=0)),"?IN_FOCUS",IF(J803&lt;=2,"?ACTIVATED",IF(J803&lt;&gt;"","?FAMILIAR",IF(F803="NEW",IF(ISNA(VLOOKUP(E803,#REF!,1,FALSE())),"?TYPE_IDENTIFIABLE","?REFERENTIAL"),"_")))))</f>
        <v/>
      </c>
      <c r="H803" s="23" t="str">
        <f t="shared" ca="1" si="63"/>
        <v/>
      </c>
      <c r="I803" s="24" t="str">
        <f>IF(OR(E803="",E803="!!!",F803="NEW"),"",INDEX(B$2:B802,-1+SUMPRODUCT(MAX(ROW(E$2:E802)*(E803=E$2:E802)))))</f>
        <v/>
      </c>
      <c r="J803" s="24" t="str">
        <f ca="1">IF(OR(E803="",E803="!!!",F803="NEW"),"",COUNTBLANK(OFFSET(A$1,,,SUMPRODUCT(MAX(ROW(E$2:E803)*(E803=E$2:E803)))))-COUNTBLANK(OFFSET(A$1,,,SUMPRODUCT(MAX(ROW(E$1:E802)*(E2=E$1:E802))))))</f>
        <v/>
      </c>
      <c r="K803" s="24" t="str">
        <f>IF(OR(E803="",E803="!!!",F803="NEW"),"",INDEX(J$1:J802,SUMPRODUCT(MAX(ROW(E$1:E802)*(E803=E$1:E802)))))</f>
        <v/>
      </c>
      <c r="L803" s="25"/>
    </row>
    <row r="805" spans="1:12" x14ac:dyDescent="0.3">
      <c r="A805" t="s">
        <v>421</v>
      </c>
      <c r="E805" s="20" t="str">
        <f>IF(D805="?OLD","!!!","")</f>
        <v/>
      </c>
      <c r="F805" s="21" t="str">
        <f>IF(OR(E805="",E805="!!!"),"",IF(NOT(ISNA(VLOOKUP(E805,E$1:E804,1,FALSE()))),"OLD",IF(AND(E805&lt;&gt;"",E805&lt;&gt;"!!!"),"NEW","")))</f>
        <v/>
      </c>
      <c r="G805" s="22" t="str">
        <f>IF(OR(E805="",E805="!!!"),"",IF(OR(J805=0,AND(J805=1,K805=1),AND(J805=1,I805="SBJ"),AND(J805=1,I805=0)),"?IN_FOCUS",IF(J805&lt;=2,"?ACTIVATED",IF(J805&lt;&gt;"","?FAMILIAR",IF(F805="NEW",IF(ISNA(VLOOKUP(E805,#REF!,1,FALSE())),"?TYPE_IDENTIFIABLE","?REFERENTIAL"),"_")))))</f>
        <v/>
      </c>
      <c r="H805" s="23" t="str">
        <f ca="1">IF(J805&lt;&gt;1,"",IF(I805="SBJ","CB","?"))</f>
        <v/>
      </c>
      <c r="I805" s="24" t="str">
        <f>IF(OR(E805="",E805="!!!",F805="NEW"),"",INDEX(B$2:B804,-1+SUMPRODUCT(MAX(ROW(E$2:E804)*(E805=E$2:E804)))))</f>
        <v/>
      </c>
      <c r="J805" s="24" t="str">
        <f ca="1">IF(OR(E805="",E805="!!!",F805="NEW"),"",COUNTBLANK(OFFSET(A$1,,,SUMPRODUCT(MAX(ROW(E$2:E805)*(E805=E$2:E805)))))-COUNTBLANK(OFFSET(A$1,,,SUMPRODUCT(MAX(ROW(E$1:E804)*(E2=E$1:E804))))))</f>
        <v/>
      </c>
      <c r="K805" s="24" t="str">
        <f>IF(OR(E805="",E805="!!!",F805="NEW"),"",INDEX(J$1:J804,SUMPRODUCT(MAX(ROW(E$1:E804)*(E805=E$1:E804)))))</f>
        <v/>
      </c>
      <c r="L805" s="25"/>
    </row>
    <row r="806" spans="1:12" x14ac:dyDescent="0.3">
      <c r="A806" t="s">
        <v>557</v>
      </c>
    </row>
    <row r="807" spans="1:12" x14ac:dyDescent="0.3">
      <c r="A807" t="s">
        <v>423</v>
      </c>
      <c r="E807" s="20" t="str">
        <f t="shared" ref="E807:E829" si="64">IF(D807="?OLD","!!!","")</f>
        <v/>
      </c>
      <c r="F807" s="21" t="str">
        <f>IF(OR(E807="",E807="!!!"),"",IF(NOT(ISNA(VLOOKUP(E807,E$1:E806,1,FALSE()))),"OLD",IF(AND(E807&lt;&gt;"",E807&lt;&gt;"!!!"),"NEW","")))</f>
        <v/>
      </c>
      <c r="G807" s="22" t="str">
        <f>IF(OR(E807="",E807="!!!"),"",IF(OR(J807=0,AND(J807=1,K807=1),AND(J807=1,I807="SBJ"),AND(J807=1,I807=0)),"?IN_FOCUS",IF(J807&lt;=2,"?ACTIVATED",IF(J807&lt;&gt;"","?FAMILIAR",IF(F807="NEW",IF(ISNA(VLOOKUP(E807,#REF!,1,FALSE())),"?TYPE_IDENTIFIABLE","?REFERENTIAL"),"_")))))</f>
        <v/>
      </c>
      <c r="H807" s="23" t="str">
        <f t="shared" ref="H807:H829" ca="1" si="65">IF(J807&lt;&gt;1,"",IF(I807="SBJ","CB","?"))</f>
        <v/>
      </c>
      <c r="I807" s="24" t="str">
        <f>IF(OR(E807="",E807="!!!",F807="NEW"),"",INDEX(B$2:B806,-1+SUMPRODUCT(MAX(ROW(E$2:E806)*(E807=E$2:E806)))))</f>
        <v/>
      </c>
      <c r="J807" s="24" t="str">
        <f ca="1">IF(OR(E807="",E807="!!!",F807="NEW"),"",COUNTBLANK(OFFSET(A$1,,,SUMPRODUCT(MAX(ROW(E$2:E807)*(E807=E$2:E807)))))-COUNTBLANK(OFFSET(A$1,,,SUMPRODUCT(MAX(ROW(E$1:E806)*(E2=E$1:E806))))))</f>
        <v/>
      </c>
      <c r="K807" s="24" t="str">
        <f>IF(OR(E807="",E807="!!!",F807="NEW"),"",INDEX(J$1:J806,SUMPRODUCT(MAX(ROW(E$1:E806)*(E807=E$1:E806)))))</f>
        <v/>
      </c>
      <c r="L807" s="25"/>
    </row>
    <row r="808" spans="1:12" x14ac:dyDescent="0.3">
      <c r="A808" t="s">
        <v>494</v>
      </c>
      <c r="B808" s="26" t="s">
        <v>174</v>
      </c>
      <c r="C808" s="26" t="s">
        <v>277</v>
      </c>
      <c r="D808" s="26" t="s">
        <v>181</v>
      </c>
      <c r="E808" s="20"/>
      <c r="F808" s="21" t="str">
        <f>IF(OR(E808="",E808="!!!"),"",IF(NOT(ISNA(VLOOKUP(E808,E$1:E807,1,FALSE()))),"OLD",IF(AND(E808&lt;&gt;"",E808&lt;&gt;"!!!"),"NEW","")))</f>
        <v/>
      </c>
      <c r="G808" s="22" t="str">
        <f>IF(OR(E808="",E808="!!!"),"",IF(OR(J808=0,AND(J808=1,K808=1),AND(J808=1,I808="SBJ"),AND(J808=1,I808=0)),"?IN_FOCUS",IF(J808&lt;=2,"?ACTIVATED",IF(J808&lt;&gt;"","?FAMILIAR",IF(F808="NEW",IF(ISNA(VLOOKUP(E808,#REF!,1,FALSE())),"?TYPE_IDENTIFIABLE","?REFERENTIAL"),"_")))))</f>
        <v/>
      </c>
      <c r="H808" s="23" t="str">
        <f t="shared" ca="1" si="65"/>
        <v/>
      </c>
      <c r="I808" s="24" t="str">
        <f>IF(OR(E808="",E808="!!!",F808="NEW"),"",INDEX(B$2:B807,-1+SUMPRODUCT(MAX(ROW(E$2:E807)*(E808=E$2:E807)))))</f>
        <v/>
      </c>
      <c r="J808" s="24" t="str">
        <f ca="1">IF(OR(E808="",E808="!!!",F808="NEW"),"",COUNTBLANK(OFFSET(A$1,,,SUMPRODUCT(MAX(ROW(E$2:E808)*(E808=E$2:E808)))))-COUNTBLANK(OFFSET(A$1,,,SUMPRODUCT(MAX(ROW(E$1:E807)*(E2=E$1:E807))))))</f>
        <v/>
      </c>
      <c r="K808" s="24" t="str">
        <f>IF(OR(E808="",E808="!!!",F808="NEW"),"",INDEX(J$1:J807,SUMPRODUCT(MAX(ROW(E$1:E807)*(E808=E$1:E807)))))</f>
        <v/>
      </c>
      <c r="L808" s="25" t="s">
        <v>625</v>
      </c>
    </row>
    <row r="809" spans="1:12" x14ac:dyDescent="0.3">
      <c r="A809" t="s">
        <v>558</v>
      </c>
      <c r="E809" s="20" t="str">
        <f t="shared" si="64"/>
        <v/>
      </c>
      <c r="F809" s="21" t="str">
        <f>IF(OR(E809="",E809="!!!"),"",IF(NOT(ISNA(VLOOKUP(E809,E$1:E808,1,FALSE()))),"OLD",IF(AND(E809&lt;&gt;"",E809&lt;&gt;"!!!"),"NEW","")))</f>
        <v/>
      </c>
      <c r="G809" s="22" t="str">
        <f>IF(OR(E809="",E809="!!!"),"",IF(OR(J809=0,AND(J809=1,K809=1),AND(J809=1,I809="SBJ"),AND(J809=1,I809=0)),"?IN_FOCUS",IF(J809&lt;=2,"?ACTIVATED",IF(J809&lt;&gt;"","?FAMILIAR",IF(F809="NEW",IF(ISNA(VLOOKUP(E809,#REF!,1,FALSE())),"?TYPE_IDENTIFIABLE","?REFERENTIAL"),"_")))))</f>
        <v/>
      </c>
      <c r="H809" s="23" t="str">
        <f t="shared" ca="1" si="65"/>
        <v/>
      </c>
      <c r="I809" s="24" t="str">
        <f>IF(OR(E809="",E809="!!!",F809="NEW"),"",INDEX(B$2:B808,-1+SUMPRODUCT(MAX(ROW(E$2:E808)*(E809=E$2:E808)))))</f>
        <v/>
      </c>
      <c r="J809" s="24" t="str">
        <f ca="1">IF(OR(E809="",E809="!!!",F809="NEW"),"",COUNTBLANK(OFFSET(A$1,,,SUMPRODUCT(MAX(ROW(E$2:E809)*(E809=E$2:E809)))))-COUNTBLANK(OFFSET(A$1,,,SUMPRODUCT(MAX(ROW(E$1:E808)*(E2=E$1:E808))))))</f>
        <v/>
      </c>
      <c r="K809" s="24" t="str">
        <f>IF(OR(E809="",E809="!!!",F809="NEW"),"",INDEX(J$1:J808,SUMPRODUCT(MAX(ROW(E$1:E808)*(E809=E$1:E808)))))</f>
        <v/>
      </c>
      <c r="L809" s="25"/>
    </row>
    <row r="810" spans="1:12" x14ac:dyDescent="0.3">
      <c r="A810" t="s">
        <v>559</v>
      </c>
      <c r="E810" s="20" t="str">
        <f t="shared" si="64"/>
        <v/>
      </c>
      <c r="F810" s="21" t="str">
        <f>IF(OR(E810="",E810="!!!"),"",IF(NOT(ISNA(VLOOKUP(E810,E$1:E809,1,FALSE()))),"OLD",IF(AND(E810&lt;&gt;"",E810&lt;&gt;"!!!"),"NEW","")))</f>
        <v/>
      </c>
      <c r="G810" s="22" t="str">
        <f>IF(OR(E810="",E810="!!!"),"",IF(OR(J810=0,AND(J810=1,K810=1),AND(J810=1,I810="SBJ"),AND(J810=1,I810=0)),"?IN_FOCUS",IF(J810&lt;=2,"?ACTIVATED",IF(J810&lt;&gt;"","?FAMILIAR",IF(F810="NEW",IF(ISNA(VLOOKUP(E810,#REF!,1,FALSE())),"?TYPE_IDENTIFIABLE","?REFERENTIAL"),"_")))))</f>
        <v/>
      </c>
      <c r="H810" s="23" t="str">
        <f t="shared" ca="1" si="65"/>
        <v/>
      </c>
      <c r="I810" s="24" t="str">
        <f>IF(OR(E810="",E810="!!!",F810="NEW"),"",INDEX(B$2:B809,-1+SUMPRODUCT(MAX(ROW(E$2:E809)*(E810=E$2:E809)))))</f>
        <v/>
      </c>
      <c r="J810" s="24" t="str">
        <f ca="1">IF(OR(E810="",E810="!!!",F810="NEW"),"",COUNTBLANK(OFFSET(A$1,,,SUMPRODUCT(MAX(ROW(E$2:E810)*(E810=E$2:E810)))))-COUNTBLANK(OFFSET(A$1,,,SUMPRODUCT(MAX(ROW(E$1:E809)*(E2=E$1:E809))))))</f>
        <v/>
      </c>
      <c r="K810" s="24" t="str">
        <f>IF(OR(E810="",E810="!!!",F810="NEW"),"",INDEX(J$1:J809,SUMPRODUCT(MAX(ROW(E$1:E809)*(E810=E$1:E809)))))</f>
        <v/>
      </c>
      <c r="L810" s="25"/>
    </row>
    <row r="811" spans="1:12" x14ac:dyDescent="0.3">
      <c r="A811" t="s">
        <v>168</v>
      </c>
      <c r="B811" s="26" t="s">
        <v>372</v>
      </c>
      <c r="C811" s="26" t="s">
        <v>194</v>
      </c>
      <c r="D811" s="26" t="s">
        <v>181</v>
      </c>
      <c r="E811" s="20" t="s">
        <v>695</v>
      </c>
      <c r="F811" s="21" t="str">
        <f>IF(OR(E811="",E811="!!!"),"",IF(NOT(ISNA(VLOOKUP(E811,E$1:E810,1,FALSE()))),"OLD",IF(AND(E811&lt;&gt;"",E811&lt;&gt;"!!!"),"NEW","")))</f>
        <v>NEW</v>
      </c>
      <c r="G811" s="22" t="s">
        <v>156</v>
      </c>
      <c r="H811" s="23" t="str">
        <f t="shared" ca="1" si="65"/>
        <v/>
      </c>
      <c r="I811" s="24" t="str">
        <f>IF(OR(E811="",E811="!!!",F811="NEW"),"",INDEX(B$2:B810,-1+SUMPRODUCT(MAX(ROW(E$2:E810)*(E811=E$2:E810)))))</f>
        <v/>
      </c>
      <c r="J811" s="24" t="str">
        <f ca="1">IF(OR(E811="",E811="!!!",F811="NEW"),"",COUNTBLANK(OFFSET(A$1,,,SUMPRODUCT(MAX(ROW(E$2:E811)*(E811=E$2:E811)))))-COUNTBLANK(OFFSET(A$1,,,SUMPRODUCT(MAX(ROW(E$1:E810)*(E2=E$1:E810))))))</f>
        <v/>
      </c>
      <c r="K811" s="24" t="str">
        <f>IF(OR(E811="",E811="!!!",F811="NEW"),"",INDEX(J$1:J810,SUMPRODUCT(MAX(ROW(E$1:E810)*(E811=E$1:E810)))))</f>
        <v/>
      </c>
      <c r="L811" s="25"/>
    </row>
    <row r="812" spans="1:12" x14ac:dyDescent="0.3">
      <c r="A812" t="s">
        <v>167</v>
      </c>
      <c r="E812" s="20" t="str">
        <f t="shared" si="64"/>
        <v/>
      </c>
      <c r="F812" s="21" t="str">
        <f>IF(OR(E812="",E812="!!!"),"",IF(NOT(ISNA(VLOOKUP(E812,E$1:E811,1,FALSE()))),"OLD",IF(AND(E812&lt;&gt;"",E812&lt;&gt;"!!!"),"NEW","")))</f>
        <v/>
      </c>
      <c r="G812" s="22" t="str">
        <f>IF(OR(E812="",E812="!!!"),"",IF(OR(J812=0,AND(J812=1,K812=1),AND(J812=1,I812="SBJ"),AND(J812=1,I812=0)),"?IN_FOCUS",IF(J812&lt;=2,"?ACTIVATED",IF(J812&lt;&gt;"","?FAMILIAR",IF(F812="NEW",IF(ISNA(VLOOKUP(E812,#REF!,1,FALSE())),"?TYPE_IDENTIFIABLE","?REFERENTIAL"),"_")))))</f>
        <v/>
      </c>
      <c r="H812" s="23" t="str">
        <f t="shared" ca="1" si="65"/>
        <v/>
      </c>
      <c r="I812" s="24" t="str">
        <f>IF(OR(E812="",E812="!!!",F812="NEW"),"",INDEX(B$2:B811,-1+SUMPRODUCT(MAX(ROW(E$2:E811)*(E812=E$2:E811)))))</f>
        <v/>
      </c>
      <c r="J812" s="24" t="str">
        <f ca="1">IF(OR(E812="",E812="!!!",F812="NEW"),"",COUNTBLANK(OFFSET(A$1,,,SUMPRODUCT(MAX(ROW(E$2:E812)*(E812=E$2:E812)))))-COUNTBLANK(OFFSET(A$1,,,SUMPRODUCT(MAX(ROW(E$1:E811)*(E2=E$1:E811))))))</f>
        <v/>
      </c>
      <c r="K812" s="24" t="str">
        <f>IF(OR(E812="",E812="!!!",F812="NEW"),"",INDEX(J$1:J811,SUMPRODUCT(MAX(ROW(E$1:E811)*(E812=E$1:E811)))))</f>
        <v/>
      </c>
      <c r="L812" s="25"/>
    </row>
    <row r="813" spans="1:12" x14ac:dyDescent="0.3">
      <c r="A813" t="s">
        <v>270</v>
      </c>
      <c r="B813" s="26" t="s">
        <v>560</v>
      </c>
      <c r="E813" s="20" t="str">
        <f t="shared" si="64"/>
        <v/>
      </c>
      <c r="F813" s="21" t="str">
        <f>IF(OR(E813="",E813="!!!"),"",IF(NOT(ISNA(VLOOKUP(E813,E$1:E812,1,FALSE()))),"OLD",IF(AND(E813&lt;&gt;"",E813&lt;&gt;"!!!"),"NEW","")))</f>
        <v/>
      </c>
      <c r="G813" s="22" t="str">
        <f>IF(OR(E813="",E813="!!!"),"",IF(OR(J813=0,AND(J813=1,K813=1),AND(J813=1,I813="SBJ"),AND(J813=1,I813=0)),"?IN_FOCUS",IF(J813&lt;=2,"?ACTIVATED",IF(J813&lt;&gt;"","?FAMILIAR",IF(F813="NEW",IF(ISNA(VLOOKUP(E813,#REF!,1,FALSE())),"?TYPE_IDENTIFIABLE","?REFERENTIAL"),"_")))))</f>
        <v/>
      </c>
      <c r="H813" s="23" t="str">
        <f t="shared" ca="1" si="65"/>
        <v/>
      </c>
      <c r="I813" s="24" t="str">
        <f>IF(OR(E813="",E813="!!!",F813="NEW"),"",INDEX(B$2:B812,-1+SUMPRODUCT(MAX(ROW(E$2:E812)*(E813=E$2:E812)))))</f>
        <v/>
      </c>
      <c r="J813" s="24" t="str">
        <f ca="1">IF(OR(E813="",E813="!!!",F813="NEW"),"",COUNTBLANK(OFFSET(A$1,,,SUMPRODUCT(MAX(ROW(E$2:E813)*(E813=E$2:E813)))))-COUNTBLANK(OFFSET(A$1,,,SUMPRODUCT(MAX(ROW(E$1:E812)*(E2=E$1:E812))))))</f>
        <v/>
      </c>
      <c r="K813" s="24" t="str">
        <f>IF(OR(E813="",E813="!!!",F813="NEW"),"",INDEX(J$1:J812,SUMPRODUCT(MAX(ROW(E$1:E812)*(E813=E$1:E812)))))</f>
        <v/>
      </c>
      <c r="L813" s="25"/>
    </row>
    <row r="814" spans="1:12" x14ac:dyDescent="0.3">
      <c r="A814" t="s">
        <v>561</v>
      </c>
      <c r="B814" s="26" t="s">
        <v>325</v>
      </c>
      <c r="C814" s="26" t="s">
        <v>277</v>
      </c>
      <c r="D814" s="26" t="s">
        <v>181</v>
      </c>
      <c r="E814" s="20" t="s">
        <v>668</v>
      </c>
      <c r="F814" s="21" t="str">
        <f>IF(OR(E814="",E814="!!!"),"",IF(NOT(ISNA(VLOOKUP(E814,E$1:E813,1,FALSE()))),"OLD",IF(AND(E814&lt;&gt;"",E814&lt;&gt;"!!!"),"NEW","")))</f>
        <v>OLD</v>
      </c>
      <c r="G814" s="22" t="s">
        <v>698</v>
      </c>
      <c r="H814" s="23" t="s">
        <v>158</v>
      </c>
      <c r="I814" s="24" t="str">
        <f>IF(OR(E814="",E814="!!!",F814="NEW"),"",INDEX(B$2:B813,-1+SUMPRODUCT(MAX(ROW(E$2:E813)*(E814=E$2:E813)))))</f>
        <v>other_2</v>
      </c>
      <c r="J814" s="24">
        <f ca="1">IF(OR(E814="",E814="!!!",F814="NEW"),"",COUNTBLANK(OFFSET(A$1,,,SUMPRODUCT(MAX(ROW(E$2:E814)*(E814=E$2:E814)))))-COUNTBLANK(OFFSET(A$1,,,SUMPRODUCT(MAX(ROW(E$1:E813)*(E2=E$1:E813))))))</f>
        <v>0</v>
      </c>
      <c r="K814" s="24">
        <f ca="1">IF(OR(E814="",E814="!!!",F814="NEW"),"",INDEX(J$1:J813,SUMPRODUCT(MAX(ROW(E$1:E813)*(E814=E$1:E813)))))</f>
        <v>0</v>
      </c>
      <c r="L814" s="25"/>
    </row>
    <row r="815" spans="1:12" x14ac:dyDescent="0.3">
      <c r="A815" t="s">
        <v>562</v>
      </c>
      <c r="E815" s="20" t="str">
        <f t="shared" si="64"/>
        <v/>
      </c>
      <c r="F815" s="21" t="str">
        <f>IF(OR(E815="",E815="!!!"),"",IF(NOT(ISNA(VLOOKUP(E815,E$1:E814,1,FALSE()))),"OLD",IF(AND(E815&lt;&gt;"",E815&lt;&gt;"!!!"),"NEW","")))</f>
        <v/>
      </c>
      <c r="G815" s="22" t="str">
        <f>IF(OR(E815="",E815="!!!"),"",IF(OR(J815=0,AND(J815=1,K815=1),AND(J815=1,I815="SBJ"),AND(J815=1,I815=0)),"?IN_FOCUS",IF(J815&lt;=2,"?ACTIVATED",IF(J815&lt;&gt;"","?FAMILIAR",IF(F815="NEW",IF(ISNA(VLOOKUP(E815,#REF!,1,FALSE())),"?TYPE_IDENTIFIABLE","?REFERENTIAL"),"_")))))</f>
        <v/>
      </c>
      <c r="H815" s="23" t="str">
        <f t="shared" ca="1" si="65"/>
        <v/>
      </c>
      <c r="I815" s="24" t="str">
        <f>IF(OR(E815="",E815="!!!",F815="NEW"),"",INDEX(B$2:B814,-1+SUMPRODUCT(MAX(ROW(E$2:E814)*(E815=E$2:E814)))))</f>
        <v/>
      </c>
      <c r="J815" s="24" t="str">
        <f ca="1">IF(OR(E815="",E815="!!!",F815="NEW"),"",COUNTBLANK(OFFSET(A$1,,,SUMPRODUCT(MAX(ROW(E$2:E815)*(E815=E$2:E815)))))-COUNTBLANK(OFFSET(A$1,,,SUMPRODUCT(MAX(ROW(E$1:E814)*(E2=E$1:E814))))))</f>
        <v/>
      </c>
      <c r="K815" s="24" t="str">
        <f>IF(OR(E815="",E815="!!!",F815="NEW"),"",INDEX(J$1:J814,SUMPRODUCT(MAX(ROW(E$1:E814)*(E815=E$1:E814)))))</f>
        <v/>
      </c>
      <c r="L815" s="25"/>
    </row>
    <row r="816" spans="1:12" x14ac:dyDescent="0.3">
      <c r="A816" t="s">
        <v>167</v>
      </c>
      <c r="E816" s="20" t="str">
        <f t="shared" si="64"/>
        <v/>
      </c>
      <c r="F816" s="21" t="str">
        <f>IF(OR(E816="",E816="!!!"),"",IF(NOT(ISNA(VLOOKUP(E816,E$1:E815,1,FALSE()))),"OLD",IF(AND(E816&lt;&gt;"",E816&lt;&gt;"!!!"),"NEW","")))</f>
        <v/>
      </c>
      <c r="G816" s="22" t="str">
        <f>IF(OR(E816="",E816="!!!"),"",IF(OR(J816=0,AND(J816=1,K816=1),AND(J816=1,I816="SBJ"),AND(J816=1,I816=0)),"?IN_FOCUS",IF(J816&lt;=2,"?ACTIVATED",IF(J816&lt;&gt;"","?FAMILIAR",IF(F816="NEW",IF(ISNA(VLOOKUP(E816,#REF!,1,FALSE())),"?TYPE_IDENTIFIABLE","?REFERENTIAL"),"_")))))</f>
        <v/>
      </c>
      <c r="H816" s="23" t="str">
        <f t="shared" ca="1" si="65"/>
        <v/>
      </c>
      <c r="I816" s="24" t="str">
        <f>IF(OR(E816="",E816="!!!",F816="NEW"),"",INDEX(B$2:B815,-1+SUMPRODUCT(MAX(ROW(E$2:E815)*(E816=E$2:E815)))))</f>
        <v/>
      </c>
      <c r="J816" s="24" t="str">
        <f ca="1">IF(OR(E816="",E816="!!!",F816="NEW"),"",COUNTBLANK(OFFSET(A$1,,,SUMPRODUCT(MAX(ROW(E$2:E816)*(E816=E$2:E816)))))-COUNTBLANK(OFFSET(A$1,,,SUMPRODUCT(MAX(ROW(E$1:E815)*(E2=E$1:E815))))))</f>
        <v/>
      </c>
      <c r="K816" s="24" t="str">
        <f>IF(OR(E816="",E816="!!!",F816="NEW"),"",INDEX(J$1:J815,SUMPRODUCT(MAX(ROW(E$1:E815)*(E816=E$1:E815)))))</f>
        <v/>
      </c>
      <c r="L816" s="25"/>
    </row>
    <row r="817" spans="1:12" x14ac:dyDescent="0.3">
      <c r="A817" t="s">
        <v>563</v>
      </c>
      <c r="E817" s="20" t="str">
        <f t="shared" si="64"/>
        <v/>
      </c>
      <c r="F817" s="21" t="str">
        <f>IF(OR(E817="",E817="!!!"),"",IF(NOT(ISNA(VLOOKUP(E817,E$1:E816,1,FALSE()))),"OLD",IF(AND(E817&lt;&gt;"",E817&lt;&gt;"!!!"),"NEW","")))</f>
        <v/>
      </c>
      <c r="G817" s="22" t="str">
        <f>IF(OR(E817="",E817="!!!"),"",IF(OR(J817=0,AND(J817=1,K817=1),AND(J817=1,I817="SBJ"),AND(J817=1,I817=0)),"?IN_FOCUS",IF(J817&lt;=2,"?ACTIVATED",IF(J817&lt;&gt;"","?FAMILIAR",IF(F817="NEW",IF(ISNA(VLOOKUP(E817,#REF!,1,FALSE())),"?TYPE_IDENTIFIABLE","?REFERENTIAL"),"_")))))</f>
        <v/>
      </c>
      <c r="H817" s="23" t="str">
        <f t="shared" ca="1" si="65"/>
        <v/>
      </c>
      <c r="I817" s="24" t="str">
        <f>IF(OR(E817="",E817="!!!",F817="NEW"),"",INDEX(B$2:B816,-1+SUMPRODUCT(MAX(ROW(E$2:E816)*(E817=E$2:E816)))))</f>
        <v/>
      </c>
      <c r="J817" s="24" t="str">
        <f ca="1">IF(OR(E817="",E817="!!!",F817="NEW"),"",COUNTBLANK(OFFSET(A$1,,,SUMPRODUCT(MAX(ROW(E$2:E817)*(E817=E$2:E817)))))-COUNTBLANK(OFFSET(A$1,,,SUMPRODUCT(MAX(ROW(E$1:E816)*(E2=E$1:E816))))))</f>
        <v/>
      </c>
      <c r="K817" s="24" t="str">
        <f>IF(OR(E817="",E817="!!!",F817="NEW"),"",INDEX(J$1:J816,SUMPRODUCT(MAX(ROW(E$1:E816)*(E817=E$1:E816)))))</f>
        <v/>
      </c>
      <c r="L817" s="25"/>
    </row>
    <row r="818" spans="1:12" x14ac:dyDescent="0.3">
      <c r="A818" t="s">
        <v>178</v>
      </c>
      <c r="E818" s="20" t="str">
        <f t="shared" si="64"/>
        <v/>
      </c>
      <c r="F818" s="21" t="str">
        <f>IF(OR(E818="",E818="!!!"),"",IF(NOT(ISNA(VLOOKUP(E818,E$1:E817,1,FALSE()))),"OLD",IF(AND(E818&lt;&gt;"",E818&lt;&gt;"!!!"),"NEW","")))</f>
        <v/>
      </c>
      <c r="G818" s="22" t="str">
        <f>IF(OR(E818="",E818="!!!"),"",IF(OR(J818=0,AND(J818=1,K818=1),AND(J818=1,I818="SBJ"),AND(J818=1,I818=0)),"?IN_FOCUS",IF(J818&lt;=2,"?ACTIVATED",IF(J818&lt;&gt;"","?FAMILIAR",IF(F818="NEW",IF(ISNA(VLOOKUP(E818,#REF!,1,FALSE())),"?TYPE_IDENTIFIABLE","?REFERENTIAL"),"_")))))</f>
        <v/>
      </c>
      <c r="H818" s="23" t="str">
        <f t="shared" ca="1" si="65"/>
        <v/>
      </c>
      <c r="I818" s="24" t="str">
        <f>IF(OR(E818="",E818="!!!",F818="NEW"),"",INDEX(B$2:B817,-1+SUMPRODUCT(MAX(ROW(E$2:E817)*(E818=E$2:E817)))))</f>
        <v/>
      </c>
      <c r="J818" s="24" t="str">
        <f ca="1">IF(OR(E818="",E818="!!!",F818="NEW"),"",COUNTBLANK(OFFSET(A$1,,,SUMPRODUCT(MAX(ROW(E$2:E818)*(E818=E$2:E818)))))-COUNTBLANK(OFFSET(A$1,,,SUMPRODUCT(MAX(ROW(E$1:E817)*(E2=E$1:E817))))))</f>
        <v/>
      </c>
      <c r="K818" s="24" t="str">
        <f>IF(OR(E818="",E818="!!!",F818="NEW"),"",INDEX(J$1:J817,SUMPRODUCT(MAX(ROW(E$1:E817)*(E818=E$1:E817)))))</f>
        <v/>
      </c>
      <c r="L818" s="25"/>
    </row>
    <row r="819" spans="1:12" x14ac:dyDescent="0.3">
      <c r="A819" t="s">
        <v>197</v>
      </c>
      <c r="E819" s="20" t="str">
        <f t="shared" si="64"/>
        <v/>
      </c>
      <c r="F819" s="21" t="str">
        <f>IF(OR(E819="",E819="!!!"),"",IF(NOT(ISNA(VLOOKUP(E819,E$1:E818,1,FALSE()))),"OLD",IF(AND(E819&lt;&gt;"",E819&lt;&gt;"!!!"),"NEW","")))</f>
        <v/>
      </c>
      <c r="G819" s="22" t="str">
        <f>IF(OR(E819="",E819="!!!"),"",IF(OR(J819=0,AND(J819=1,K819=1),AND(J819=1,I819="SBJ"),AND(J819=1,I819=0)),"?IN_FOCUS",IF(J819&lt;=2,"?ACTIVATED",IF(J819&lt;&gt;"","?FAMILIAR",IF(F819="NEW",IF(ISNA(VLOOKUP(E819,#REF!,1,FALSE())),"?TYPE_IDENTIFIABLE","?REFERENTIAL"),"_")))))</f>
        <v/>
      </c>
      <c r="H819" s="23" t="str">
        <f t="shared" ca="1" si="65"/>
        <v/>
      </c>
      <c r="I819" s="24" t="str">
        <f>IF(OR(E819="",E819="!!!",F819="NEW"),"",INDEX(B$2:B818,-1+SUMPRODUCT(MAX(ROW(E$2:E818)*(E819=E$2:E818)))))</f>
        <v/>
      </c>
      <c r="J819" s="24" t="str">
        <f ca="1">IF(OR(E819="",E819="!!!",F819="NEW"),"",COUNTBLANK(OFFSET(A$1,,,SUMPRODUCT(MAX(ROW(E$2:E819)*(E819=E$2:E819)))))-COUNTBLANK(OFFSET(A$1,,,SUMPRODUCT(MAX(ROW(E$1:E818)*(E2=E$1:E818))))))</f>
        <v/>
      </c>
      <c r="K819" s="24" t="str">
        <f>IF(OR(E819="",E819="!!!",F819="NEW"),"",INDEX(J$1:J818,SUMPRODUCT(MAX(ROW(E$1:E818)*(E819=E$1:E818)))))</f>
        <v/>
      </c>
      <c r="L819" s="25"/>
    </row>
    <row r="820" spans="1:12" x14ac:dyDescent="0.3">
      <c r="A820" t="s">
        <v>564</v>
      </c>
      <c r="B820" s="26" t="s">
        <v>177</v>
      </c>
      <c r="C820" s="26" t="s">
        <v>180</v>
      </c>
      <c r="D820" s="26" t="s">
        <v>181</v>
      </c>
      <c r="E820" s="20" t="s">
        <v>670</v>
      </c>
      <c r="F820" s="21" t="s">
        <v>608</v>
      </c>
      <c r="G820" s="22"/>
      <c r="H820" s="23" t="str">
        <f t="shared" ca="1" si="65"/>
        <v/>
      </c>
      <c r="I820" s="24" t="e">
        <f>IF(OR(E820="",E820="!!!",F820="NEW"),"",INDEX(B$2:B819,-1+SUMPRODUCT(MAX(ROW(E$2:E819)*(E820=E$2:E819)))))</f>
        <v>#VALUE!</v>
      </c>
      <c r="J820" s="24">
        <f ca="1">IF(OR(E820="",E820="!!!",F820="NEW"),"",COUNTBLANK(OFFSET(A$1,,,SUMPRODUCT(MAX(ROW(E$2:E820)*(E820=E$2:E820)))))-COUNTBLANK(OFFSET(A$1,,,SUMPRODUCT(MAX(ROW(E$1:E819)*(E2=E$1:E819))))))</f>
        <v>0</v>
      </c>
      <c r="K820" s="24" t="e">
        <f>IF(OR(E820="",E820="!!!",F820="NEW"),"",INDEX(J$1:J819,SUMPRODUCT(MAX(ROW(E$1:E819)*(E820=E$1:E819)))))</f>
        <v>#VALUE!</v>
      </c>
      <c r="L820" s="25"/>
    </row>
    <row r="821" spans="1:12" x14ac:dyDescent="0.3">
      <c r="A821" t="s">
        <v>167</v>
      </c>
      <c r="E821" s="20" t="str">
        <f t="shared" si="64"/>
        <v/>
      </c>
      <c r="F821" s="21" t="str">
        <f>IF(OR(E821="",E821="!!!"),"",IF(NOT(ISNA(VLOOKUP(E821,E$1:E820,1,FALSE()))),"OLD",IF(AND(E821&lt;&gt;"",E821&lt;&gt;"!!!"),"NEW","")))</f>
        <v/>
      </c>
      <c r="G821" s="22" t="str">
        <f>IF(OR(E821="",E821="!!!"),"",IF(OR(J821=0,AND(J821=1,K821=1),AND(J821=1,I821="SBJ"),AND(J821=1,I821=0)),"?IN_FOCUS",IF(J821&lt;=2,"?ACTIVATED",IF(J821&lt;&gt;"","?FAMILIAR",IF(F821="NEW",IF(ISNA(VLOOKUP(E821,#REF!,1,FALSE())),"?TYPE_IDENTIFIABLE","?REFERENTIAL"),"_")))))</f>
        <v/>
      </c>
      <c r="H821" s="23" t="str">
        <f t="shared" ca="1" si="65"/>
        <v/>
      </c>
      <c r="I821" s="24" t="str">
        <f>IF(OR(E821="",E821="!!!",F821="NEW"),"",INDEX(B$2:B820,-1+SUMPRODUCT(MAX(ROW(E$2:E820)*(E821=E$2:E820)))))</f>
        <v/>
      </c>
      <c r="J821" s="24" t="str">
        <f ca="1">IF(OR(E821="",E821="!!!",F821="NEW"),"",COUNTBLANK(OFFSET(A$1,,,SUMPRODUCT(MAX(ROW(E$2:E821)*(E821=E$2:E821)))))-COUNTBLANK(OFFSET(A$1,,,SUMPRODUCT(MAX(ROW(E$1:E820)*(E2=E$1:E820))))))</f>
        <v/>
      </c>
      <c r="K821" s="24" t="str">
        <f>IF(OR(E821="",E821="!!!",F821="NEW"),"",INDEX(J$1:J820,SUMPRODUCT(MAX(ROW(E$1:E820)*(E821=E$1:E820)))))</f>
        <v/>
      </c>
      <c r="L821" s="25"/>
    </row>
    <row r="822" spans="1:12" x14ac:dyDescent="0.3">
      <c r="A822" t="s">
        <v>423</v>
      </c>
      <c r="E822" s="20" t="str">
        <f t="shared" si="64"/>
        <v/>
      </c>
      <c r="F822" s="21" t="str">
        <f>IF(OR(E822="",E822="!!!"),"",IF(NOT(ISNA(VLOOKUP(E822,E$1:E821,1,FALSE()))),"OLD",IF(AND(E822&lt;&gt;"",E822&lt;&gt;"!!!"),"NEW","")))</f>
        <v/>
      </c>
      <c r="G822" s="22" t="str">
        <f>IF(OR(E822="",E822="!!!"),"",IF(OR(J822=0,AND(J822=1,K822=1),AND(J822=1,I822="SBJ"),AND(J822=1,I822=0)),"?IN_FOCUS",IF(J822&lt;=2,"?ACTIVATED",IF(J822&lt;&gt;"","?FAMILIAR",IF(F822="NEW",IF(ISNA(VLOOKUP(E822,#REF!,1,FALSE())),"?TYPE_IDENTIFIABLE","?REFERENTIAL"),"_")))))</f>
        <v/>
      </c>
      <c r="H822" s="23" t="str">
        <f t="shared" ca="1" si="65"/>
        <v/>
      </c>
      <c r="I822" s="24" t="str">
        <f>IF(OR(E822="",E822="!!!",F822="NEW"),"",INDEX(B$2:B821,-1+SUMPRODUCT(MAX(ROW(E$2:E821)*(E822=E$2:E821)))))</f>
        <v/>
      </c>
      <c r="J822" s="24" t="str">
        <f ca="1">IF(OR(E822="",E822="!!!",F822="NEW"),"",COUNTBLANK(OFFSET(A$1,,,SUMPRODUCT(MAX(ROW(E$2:E822)*(E822=E$2:E822)))))-COUNTBLANK(OFFSET(A$1,,,SUMPRODUCT(MAX(ROW(E$1:E821)*(E2=E$1:E821))))))</f>
        <v/>
      </c>
      <c r="K822" s="24" t="str">
        <f>IF(OR(E822="",E822="!!!",F822="NEW"),"",INDEX(J$1:J821,SUMPRODUCT(MAX(ROW(E$1:E821)*(E822=E$1:E821)))))</f>
        <v/>
      </c>
      <c r="L822" s="25"/>
    </row>
    <row r="823" spans="1:12" x14ac:dyDescent="0.3">
      <c r="A823" t="s">
        <v>278</v>
      </c>
      <c r="E823" s="20" t="str">
        <f t="shared" si="64"/>
        <v/>
      </c>
      <c r="F823" s="21" t="str">
        <f>IF(OR(E823="",E823="!!!"),"",IF(NOT(ISNA(VLOOKUP(E823,E$1:E822,1,FALSE()))),"OLD",IF(AND(E823&lt;&gt;"",E823&lt;&gt;"!!!"),"NEW","")))</f>
        <v/>
      </c>
      <c r="G823" s="22" t="str">
        <f>IF(OR(E823="",E823="!!!"),"",IF(OR(J823=0,AND(J823=1,K823=1),AND(J823=1,I823="SBJ"),AND(J823=1,I823=0)),"?IN_FOCUS",IF(J823&lt;=2,"?ACTIVATED",IF(J823&lt;&gt;"","?FAMILIAR",IF(F823="NEW",IF(ISNA(VLOOKUP(E823,#REF!,1,FALSE())),"?TYPE_IDENTIFIABLE","?REFERENTIAL"),"_")))))</f>
        <v/>
      </c>
      <c r="H823" s="23" t="str">
        <f t="shared" ca="1" si="65"/>
        <v/>
      </c>
      <c r="I823" s="24" t="str">
        <f>IF(OR(E823="",E823="!!!",F823="NEW"),"",INDEX(B$2:B822,-1+SUMPRODUCT(MAX(ROW(E$2:E822)*(E823=E$2:E822)))))</f>
        <v/>
      </c>
      <c r="J823" s="24" t="str">
        <f ca="1">IF(OR(E823="",E823="!!!",F823="NEW"),"",COUNTBLANK(OFFSET(A$1,,,SUMPRODUCT(MAX(ROW(E$2:E823)*(E823=E$2:E823)))))-COUNTBLANK(OFFSET(A$1,,,SUMPRODUCT(MAX(ROW(E$1:E822)*(E2=E$1:E822))))))</f>
        <v/>
      </c>
      <c r="K823" s="24" t="str">
        <f>IF(OR(E823="",E823="!!!",F823="NEW"),"",INDEX(J$1:J822,SUMPRODUCT(MAX(ROW(E$1:E822)*(E823=E$1:E822)))))</f>
        <v/>
      </c>
      <c r="L823" s="25"/>
    </row>
    <row r="824" spans="1:12" x14ac:dyDescent="0.3">
      <c r="A824" t="s">
        <v>565</v>
      </c>
      <c r="E824" s="20" t="s">
        <v>671</v>
      </c>
      <c r="F824" s="21" t="str">
        <f>IF(OR(E824="",E824="!!!"),"",IF(NOT(ISNA(VLOOKUP(E824,E$1:E823,1,FALSE()))),"OLD",IF(AND(E824&lt;&gt;"",E824&lt;&gt;"!!!"),"NEW","")))</f>
        <v>NEW</v>
      </c>
      <c r="G824" s="22" t="s">
        <v>699</v>
      </c>
      <c r="H824" s="23" t="str">
        <f t="shared" ca="1" si="65"/>
        <v/>
      </c>
      <c r="I824" s="24" t="str">
        <f>IF(OR(E824="",E824="!!!",F824="NEW"),"",INDEX(B$2:B823,-1+SUMPRODUCT(MAX(ROW(E$2:E823)*(E824=E$2:E823)))))</f>
        <v/>
      </c>
      <c r="J824" s="24" t="str">
        <f ca="1">IF(OR(E824="",E824="!!!",F824="NEW"),"",COUNTBLANK(OFFSET(A$1,,,SUMPRODUCT(MAX(ROW(E$2:E824)*(E824=E$2:E824)))))-COUNTBLANK(OFFSET(A$1,,,SUMPRODUCT(MAX(ROW(E$1:E823)*(E2=E$1:E823))))))</f>
        <v/>
      </c>
      <c r="K824" s="24" t="str">
        <f>IF(OR(E824="",E824="!!!",F824="NEW"),"",INDEX(J$1:J823,SUMPRODUCT(MAX(ROW(E$1:E823)*(E824=E$1:E823)))))</f>
        <v/>
      </c>
      <c r="L824" s="25" t="s">
        <v>621</v>
      </c>
    </row>
    <row r="825" spans="1:12" x14ac:dyDescent="0.3">
      <c r="A825" t="s">
        <v>129</v>
      </c>
      <c r="B825" s="26" t="s">
        <v>165</v>
      </c>
      <c r="C825" s="26" t="s">
        <v>166</v>
      </c>
      <c r="E825" s="20" t="str">
        <f t="shared" si="64"/>
        <v/>
      </c>
      <c r="F825" s="21" t="str">
        <f>IF(OR(E825="",E825="!!!"),"",IF(NOT(ISNA(VLOOKUP(E825,E$1:E824,1,FALSE()))),"OLD",IF(AND(E825&lt;&gt;"",E825&lt;&gt;"!!!"),"NEW","")))</f>
        <v/>
      </c>
      <c r="G825" s="22" t="str">
        <f>IF(OR(E825="",E825="!!!"),"",IF(OR(J825=0,AND(J825=1,K825=1),AND(J825=1,I825="SBJ"),AND(J825=1,I825=0)),"?IN_FOCUS",IF(J825&lt;=2,"?ACTIVATED",IF(J825&lt;&gt;"","?FAMILIAR",IF(F825="NEW",IF(ISNA(VLOOKUP(E825,#REF!,1,FALSE())),"?TYPE_IDENTIFIABLE","?REFERENTIAL"),"_")))))</f>
        <v/>
      </c>
      <c r="H825" s="23" t="str">
        <f t="shared" ca="1" si="65"/>
        <v/>
      </c>
      <c r="I825" s="24" t="str">
        <f>IF(OR(E825="",E825="!!!",F825="NEW"),"",INDEX(B$2:B824,-1+SUMPRODUCT(MAX(ROW(E$2:E824)*(E825=E$2:E824)))))</f>
        <v/>
      </c>
      <c r="J825" s="24" t="str">
        <f ca="1">IF(OR(E825="",E825="!!!",F825="NEW"),"",COUNTBLANK(OFFSET(A$1,,,SUMPRODUCT(MAX(ROW(E$2:E825)*(E825=E$2:E825)))))-COUNTBLANK(OFFSET(A$1,,,SUMPRODUCT(MAX(ROW(E$1:E824)*(E2=E$1:E824))))))</f>
        <v/>
      </c>
      <c r="K825" s="24" t="str">
        <f>IF(OR(E825="",E825="!!!",F825="NEW"),"",INDEX(J$1:J824,SUMPRODUCT(MAX(ROW(E$1:E824)*(E825=E$1:E824)))))</f>
        <v/>
      </c>
      <c r="L825" s="25"/>
    </row>
    <row r="826" spans="1:12" x14ac:dyDescent="0.3">
      <c r="A826" t="s">
        <v>235</v>
      </c>
      <c r="E826" s="20" t="str">
        <f t="shared" si="64"/>
        <v/>
      </c>
      <c r="F826" s="21" t="str">
        <f>IF(OR(E826="",E826="!!!"),"",IF(NOT(ISNA(VLOOKUP(E826,E$1:E825,1,FALSE()))),"OLD",IF(AND(E826&lt;&gt;"",E826&lt;&gt;"!!!"),"NEW","")))</f>
        <v/>
      </c>
      <c r="G826" s="22" t="str">
        <f>IF(OR(E826="",E826="!!!"),"",IF(OR(J826=0,AND(J826=1,K826=1),AND(J826=1,I826="SBJ"),AND(J826=1,I826=0)),"?IN_FOCUS",IF(J826&lt;=2,"?ACTIVATED",IF(J826&lt;&gt;"","?FAMILIAR",IF(F826="NEW",IF(ISNA(VLOOKUP(E826,#REF!,1,FALSE())),"?TYPE_IDENTIFIABLE","?REFERENTIAL"),"_")))))</f>
        <v/>
      </c>
      <c r="H826" s="23" t="str">
        <f t="shared" ca="1" si="65"/>
        <v/>
      </c>
      <c r="I826" s="24" t="str">
        <f>IF(OR(E826="",E826="!!!",F826="NEW"),"",INDEX(B$2:B825,-1+SUMPRODUCT(MAX(ROW(E$2:E825)*(E826=E$2:E825)))))</f>
        <v/>
      </c>
      <c r="J826" s="24" t="str">
        <f ca="1">IF(OR(E826="",E826="!!!",F826="NEW"),"",COUNTBLANK(OFFSET(A$1,,,SUMPRODUCT(MAX(ROW(E$2:E826)*(E826=E$2:E826)))))-COUNTBLANK(OFFSET(A$1,,,SUMPRODUCT(MAX(ROW(E$1:E825)*(E2=E$1:E825))))))</f>
        <v/>
      </c>
      <c r="K826" s="24" t="str">
        <f>IF(OR(E826="",E826="!!!",F826="NEW"),"",INDEX(J$1:J825,SUMPRODUCT(MAX(ROW(E$1:E825)*(E826=E$1:E825)))))</f>
        <v/>
      </c>
      <c r="L826" s="25"/>
    </row>
    <row r="827" spans="1:12" x14ac:dyDescent="0.3">
      <c r="A827" t="s">
        <v>230</v>
      </c>
      <c r="B827" s="26" t="s">
        <v>189</v>
      </c>
      <c r="C827" s="26" t="s">
        <v>277</v>
      </c>
      <c r="D827" s="26" t="s">
        <v>181</v>
      </c>
      <c r="E827" s="20"/>
      <c r="F827" s="21" t="str">
        <f>IF(OR(E827="",E827="!!!"),"",IF(NOT(ISNA(VLOOKUP(E827,E$1:E826,1,FALSE()))),"OLD",IF(AND(E827&lt;&gt;"",E827&lt;&gt;"!!!"),"NEW","")))</f>
        <v/>
      </c>
      <c r="G827" s="22" t="str">
        <f>IF(OR(E827="",E827="!!!"),"",IF(OR(J827=0,AND(J827=1,K827=1),AND(J827=1,I827="SBJ"),AND(J827=1,I827=0)),"?IN_FOCUS",IF(J827&lt;=2,"?ACTIVATED",IF(J827&lt;&gt;"","?FAMILIAR",IF(F827="NEW",IF(ISNA(VLOOKUP(E827,#REF!,1,FALSE())),"?TYPE_IDENTIFIABLE","?REFERENTIAL"),"_")))))</f>
        <v/>
      </c>
      <c r="H827" s="23" t="str">
        <f t="shared" ca="1" si="65"/>
        <v/>
      </c>
      <c r="I827" s="24" t="str">
        <f>IF(OR(E827="",E827="!!!",F827="NEW"),"",INDEX(B$2:B826,-1+SUMPRODUCT(MAX(ROW(E$2:E826)*(E827=E$2:E826)))))</f>
        <v/>
      </c>
      <c r="J827" s="24" t="str">
        <f ca="1">IF(OR(E827="",E827="!!!",F827="NEW"),"",COUNTBLANK(OFFSET(A$1,,,SUMPRODUCT(MAX(ROW(E$2:E827)*(E827=E$2:E827)))))-COUNTBLANK(OFFSET(A$1,,,SUMPRODUCT(MAX(ROW(E$1:E826)*(E2=E$1:E826))))))</f>
        <v/>
      </c>
      <c r="K827" s="24" t="str">
        <f>IF(OR(E827="",E827="!!!",F827="NEW"),"",INDEX(J$1:J826,SUMPRODUCT(MAX(ROW(E$1:E826)*(E827=E$1:E826)))))</f>
        <v/>
      </c>
      <c r="L827" s="25" t="s">
        <v>625</v>
      </c>
    </row>
    <row r="828" spans="1:12" x14ac:dyDescent="0.3">
      <c r="A828" t="s">
        <v>566</v>
      </c>
      <c r="B828" s="26" t="s">
        <v>165</v>
      </c>
      <c r="C828" s="26" t="s">
        <v>194</v>
      </c>
      <c r="D828" s="26" t="s">
        <v>181</v>
      </c>
      <c r="E828" s="20" t="s">
        <v>694</v>
      </c>
      <c r="F828" s="21" t="str">
        <f>IF(OR(E828="",E828="!!!"),"",IF(NOT(ISNA(VLOOKUP(E828,E$1:E827,1,FALSE()))),"OLD",IF(AND(E828&lt;&gt;"",E828&lt;&gt;"!!!"),"NEW","")))</f>
        <v>NEW</v>
      </c>
      <c r="G828" s="22" t="s">
        <v>699</v>
      </c>
      <c r="H828" s="23" t="str">
        <f t="shared" ca="1" si="65"/>
        <v/>
      </c>
      <c r="I828" s="24" t="str">
        <f>IF(OR(E828="",E828="!!!",F828="NEW"),"",INDEX(B$2:B827,-1+SUMPRODUCT(MAX(ROW(E$2:E827)*(E828=E$2:E827)))))</f>
        <v/>
      </c>
      <c r="J828" s="24" t="str">
        <f ca="1">IF(OR(E828="",E828="!!!",F828="NEW"),"",COUNTBLANK(OFFSET(A$1,,,SUMPRODUCT(MAX(ROW(E$2:E828)*(E828=E$2:E828)))))-COUNTBLANK(OFFSET(A$1,,,SUMPRODUCT(MAX(ROW(E$1:E827)*(E2=E$1:E827))))))</f>
        <v/>
      </c>
      <c r="K828" s="24" t="str">
        <f>IF(OR(E828="",E828="!!!",F828="NEW"),"",INDEX(J$1:J827,SUMPRODUCT(MAX(ROW(E$1:E827)*(E828=E$1:E827)))))</f>
        <v/>
      </c>
      <c r="L828" s="25"/>
    </row>
    <row r="829" spans="1:12" x14ac:dyDescent="0.3">
      <c r="A829" t="s">
        <v>201</v>
      </c>
      <c r="E829" s="20" t="str">
        <f t="shared" si="64"/>
        <v/>
      </c>
      <c r="F829" s="21" t="str">
        <f>IF(OR(E829="",E829="!!!"),"",IF(NOT(ISNA(VLOOKUP(E829,E$1:E828,1,FALSE()))),"OLD",IF(AND(E829&lt;&gt;"",E829&lt;&gt;"!!!"),"NEW","")))</f>
        <v/>
      </c>
      <c r="G829" s="22" t="str">
        <f>IF(OR(E829="",E829="!!!"),"",IF(OR(J829=0,AND(J829=1,K829=1),AND(J829=1,I829="SBJ"),AND(J829=1,I829=0)),"?IN_FOCUS",IF(J829&lt;=2,"?ACTIVATED",IF(J829&lt;&gt;"","?FAMILIAR",IF(F829="NEW",IF(ISNA(VLOOKUP(E829,#REF!,1,FALSE())),"?TYPE_IDENTIFIABLE","?REFERENTIAL"),"_")))))</f>
        <v/>
      </c>
      <c r="H829" s="23" t="str">
        <f t="shared" ca="1" si="65"/>
        <v/>
      </c>
      <c r="I829" s="24" t="str">
        <f>IF(OR(E829="",E829="!!!",F829="NEW"),"",INDEX(B$2:B828,-1+SUMPRODUCT(MAX(ROW(E$2:E828)*(E829=E$2:E828)))))</f>
        <v/>
      </c>
      <c r="J829" s="24" t="str">
        <f ca="1">IF(OR(E829="",E829="!!!",F829="NEW"),"",COUNTBLANK(OFFSET(A$1,,,SUMPRODUCT(MAX(ROW(E$2:E829)*(E829=E$2:E829)))))-COUNTBLANK(OFFSET(A$1,,,SUMPRODUCT(MAX(ROW(E$1:E828)*(E2=E$1:E828))))))</f>
        <v/>
      </c>
      <c r="K829" s="24" t="str">
        <f>IF(OR(E829="",E829="!!!",F829="NEW"),"",INDEX(J$1:J828,SUMPRODUCT(MAX(ROW(E$1:E828)*(E829=E$1:E828)))))</f>
        <v/>
      </c>
      <c r="L829" s="25"/>
    </row>
    <row r="831" spans="1:12" x14ac:dyDescent="0.3">
      <c r="A831" t="s">
        <v>567</v>
      </c>
    </row>
    <row r="832" spans="1:12" x14ac:dyDescent="0.3">
      <c r="A832" t="s">
        <v>568</v>
      </c>
      <c r="B832" s="26" t="s">
        <v>185</v>
      </c>
      <c r="C832" s="26" t="s">
        <v>297</v>
      </c>
      <c r="D832" s="26" t="s">
        <v>181</v>
      </c>
      <c r="E832" s="20" t="s">
        <v>679</v>
      </c>
      <c r="F832" s="21" t="str">
        <f>IF(OR(E832="",E832="!!!"),"",IF(NOT(ISNA(VLOOKUP(E832,E$1:E831,1,FALSE()))),"OLD",IF(AND(E832&lt;&gt;"",E832&lt;&gt;"!!!"),"NEW","")))</f>
        <v>OLD</v>
      </c>
      <c r="G832" s="22" t="s">
        <v>696</v>
      </c>
      <c r="H832" s="23" t="str">
        <f t="shared" ref="H832:H839" ca="1" si="66">IF(J832&lt;&gt;1,"",IF(I832="SBJ","CB","?"))</f>
        <v/>
      </c>
      <c r="I832" s="24" t="str">
        <f>IF(OR(E832="",E832="!!!",F832="NEW"),"",INDEX(B$2:B831,-1+SUMPRODUCT(MAX(ROW(E$2:E831)*(E832=E$2:E831)))))</f>
        <v>other_2</v>
      </c>
      <c r="J832" s="24">
        <f ca="1">IF(OR(E832="",E832="!!!",F832="NEW"),"",COUNTBLANK(OFFSET(A$1,,,SUMPRODUCT(MAX(ROW(E$2:E832)*(E832=E$2:E832)))))-COUNTBLANK(OFFSET(A$1,,,SUMPRODUCT(MAX(ROW(E$1:E831)*(E2=E$1:E831))))))</f>
        <v>0</v>
      </c>
      <c r="K832" s="24">
        <f ca="1">IF(OR(E832="",E832="!!!",F832="NEW"),"",INDEX(J$1:J831,SUMPRODUCT(MAX(ROW(E$1:E831)*(E832=E$1:E831)))))</f>
        <v>0</v>
      </c>
      <c r="L832" s="25"/>
    </row>
    <row r="833" spans="1:12" x14ac:dyDescent="0.3">
      <c r="A833" t="s">
        <v>569</v>
      </c>
      <c r="E833" s="20" t="str">
        <f t="shared" ref="E833:E839" si="67">IF(D833="?OLD","!!!","")</f>
        <v/>
      </c>
      <c r="F833" s="21" t="str">
        <f>IF(OR(E833="",E833="!!!"),"",IF(NOT(ISNA(VLOOKUP(E833,E$1:E832,1,FALSE()))),"OLD",IF(AND(E833&lt;&gt;"",E833&lt;&gt;"!!!"),"NEW","")))</f>
        <v/>
      </c>
      <c r="G833" s="22" t="str">
        <f>IF(OR(E833="",E833="!!!"),"",IF(OR(J833=0,AND(J833=1,K833=1),AND(J833=1,I833="SBJ"),AND(J833=1,I833=0)),"?IN_FOCUS",IF(J833&lt;=2,"?ACTIVATED",IF(J833&lt;&gt;"","?FAMILIAR",IF(F833="NEW",IF(ISNA(VLOOKUP(E833,#REF!,1,FALSE())),"?TYPE_IDENTIFIABLE","?REFERENTIAL"),"_")))))</f>
        <v/>
      </c>
      <c r="H833" s="23" t="str">
        <f t="shared" ca="1" si="66"/>
        <v/>
      </c>
      <c r="I833" s="24" t="str">
        <f>IF(OR(E833="",E833="!!!",F833="NEW"),"",INDEX(B$2:B832,-1+SUMPRODUCT(MAX(ROW(E$2:E832)*(E833=E$2:E832)))))</f>
        <v/>
      </c>
      <c r="J833" s="24" t="str">
        <f ca="1">IF(OR(E833="",E833="!!!",F833="NEW"),"",COUNTBLANK(OFFSET(A$1,,,SUMPRODUCT(MAX(ROW(E$2:E833)*(E833=E$2:E833)))))-COUNTBLANK(OFFSET(A$1,,,SUMPRODUCT(MAX(ROW(E$1:E832)*(E2=E$1:E832))))))</f>
        <v/>
      </c>
      <c r="K833" s="24" t="str">
        <f>IF(OR(E833="",E833="!!!",F833="NEW"),"",INDEX(J$1:J832,SUMPRODUCT(MAX(ROW(E$1:E832)*(E833=E$1:E832)))))</f>
        <v/>
      </c>
      <c r="L833" s="25"/>
    </row>
    <row r="834" spans="1:12" x14ac:dyDescent="0.3">
      <c r="A834" t="s">
        <v>256</v>
      </c>
      <c r="E834" s="20" t="str">
        <f t="shared" si="67"/>
        <v/>
      </c>
      <c r="F834" s="21" t="str">
        <f>IF(OR(E834="",E834="!!!"),"",IF(NOT(ISNA(VLOOKUP(E834,E$1:E833,1,FALSE()))),"OLD",IF(AND(E834&lt;&gt;"",E834&lt;&gt;"!!!"),"NEW","")))</f>
        <v/>
      </c>
      <c r="G834" s="22" t="str">
        <f>IF(OR(E834="",E834="!!!"),"",IF(OR(J834=0,AND(J834=1,K834=1),AND(J834=1,I834="SBJ"),AND(J834=1,I834=0)),"?IN_FOCUS",IF(J834&lt;=2,"?ACTIVATED",IF(J834&lt;&gt;"","?FAMILIAR",IF(F834="NEW",IF(ISNA(VLOOKUP(E834,#REF!,1,FALSE())),"?TYPE_IDENTIFIABLE","?REFERENTIAL"),"_")))))</f>
        <v/>
      </c>
      <c r="H834" s="23" t="str">
        <f t="shared" ca="1" si="66"/>
        <v/>
      </c>
      <c r="I834" s="24" t="str">
        <f>IF(OR(E834="",E834="!!!",F834="NEW"),"",INDEX(B$2:B833,-1+SUMPRODUCT(MAX(ROW(E$2:E833)*(E834=E$2:E833)))))</f>
        <v/>
      </c>
      <c r="J834" s="24" t="str">
        <f ca="1">IF(OR(E834="",E834="!!!",F834="NEW"),"",COUNTBLANK(OFFSET(A$1,,,SUMPRODUCT(MAX(ROW(E$2:E834)*(E834=E$2:E834)))))-COUNTBLANK(OFFSET(A$1,,,SUMPRODUCT(MAX(ROW(E$1:E833)*(E2=E$1:E833))))))</f>
        <v/>
      </c>
      <c r="K834" s="24" t="str">
        <f>IF(OR(E834="",E834="!!!",F834="NEW"),"",INDEX(J$1:J833,SUMPRODUCT(MAX(ROW(E$1:E833)*(E834=E$1:E833)))))</f>
        <v/>
      </c>
      <c r="L834" s="25"/>
    </row>
    <row r="835" spans="1:12" x14ac:dyDescent="0.3">
      <c r="A835" t="s">
        <v>570</v>
      </c>
      <c r="E835" s="20" t="str">
        <f t="shared" si="67"/>
        <v/>
      </c>
      <c r="F835" s="21" t="str">
        <f>IF(OR(E835="",E835="!!!"),"",IF(NOT(ISNA(VLOOKUP(E835,E$1:E834,1,FALSE()))),"OLD",IF(AND(E835&lt;&gt;"",E835&lt;&gt;"!!!"),"NEW","")))</f>
        <v/>
      </c>
      <c r="G835" s="22" t="str">
        <f>IF(OR(E835="",E835="!!!"),"",IF(OR(J835=0,AND(J835=1,K835=1),AND(J835=1,I835="SBJ"),AND(J835=1,I835=0)),"?IN_FOCUS",IF(J835&lt;=2,"?ACTIVATED",IF(J835&lt;&gt;"","?FAMILIAR",IF(F835="NEW",IF(ISNA(VLOOKUP(E835,#REF!,1,FALSE())),"?TYPE_IDENTIFIABLE","?REFERENTIAL"),"_")))))</f>
        <v/>
      </c>
      <c r="H835" s="23" t="str">
        <f t="shared" ca="1" si="66"/>
        <v/>
      </c>
      <c r="I835" s="24" t="str">
        <f>IF(OR(E835="",E835="!!!",F835="NEW"),"",INDEX(B$2:B834,-1+SUMPRODUCT(MAX(ROW(E$2:E834)*(E835=E$2:E834)))))</f>
        <v/>
      </c>
      <c r="J835" s="24" t="str">
        <f ca="1">IF(OR(E835="",E835="!!!",F835="NEW"),"",COUNTBLANK(OFFSET(A$1,,,SUMPRODUCT(MAX(ROW(E$2:E835)*(E835=E$2:E835)))))-COUNTBLANK(OFFSET(A$1,,,SUMPRODUCT(MAX(ROW(E$1:E834)*(E2=E$1:E834))))))</f>
        <v/>
      </c>
      <c r="K835" s="24" t="str">
        <f>IF(OR(E835="",E835="!!!",F835="NEW"),"",INDEX(J$1:J834,SUMPRODUCT(MAX(ROW(E$1:E834)*(E835=E$1:E834)))))</f>
        <v/>
      </c>
      <c r="L835" s="25"/>
    </row>
    <row r="836" spans="1:12" x14ac:dyDescent="0.3">
      <c r="A836" t="s">
        <v>571</v>
      </c>
      <c r="B836" s="26" t="s">
        <v>185</v>
      </c>
      <c r="C836" s="26" t="s">
        <v>258</v>
      </c>
      <c r="E836" s="20" t="str">
        <f t="shared" si="67"/>
        <v/>
      </c>
      <c r="F836" s="21" t="str">
        <f>IF(OR(E836="",E836="!!!"),"",IF(NOT(ISNA(VLOOKUP(E836,E$1:E835,1,FALSE()))),"OLD",IF(AND(E836&lt;&gt;"",E836&lt;&gt;"!!!"),"NEW","")))</f>
        <v/>
      </c>
      <c r="G836" s="22" t="str">
        <f>IF(OR(E836="",E836="!!!"),"",IF(OR(J836=0,AND(J836=1,K836=1),AND(J836=1,I836="SBJ"),AND(J836=1,I836=0)),"?IN_FOCUS",IF(J836&lt;=2,"?ACTIVATED",IF(J836&lt;&gt;"","?FAMILIAR",IF(F836="NEW",IF(ISNA(VLOOKUP(E836,#REF!,1,FALSE())),"?TYPE_IDENTIFIABLE","?REFERENTIAL"),"_")))))</f>
        <v/>
      </c>
      <c r="H836" s="23" t="str">
        <f t="shared" ca="1" si="66"/>
        <v/>
      </c>
      <c r="I836" s="24" t="str">
        <f>IF(OR(E836="",E836="!!!",F836="NEW"),"",INDEX(B$2:B835,-1+SUMPRODUCT(MAX(ROW(E$2:E835)*(E836=E$2:E835)))))</f>
        <v/>
      </c>
      <c r="J836" s="24" t="str">
        <f ca="1">IF(OR(E836="",E836="!!!",F836="NEW"),"",COUNTBLANK(OFFSET(A$1,,,SUMPRODUCT(MAX(ROW(E$2:E836)*(E836=E$2:E836)))))-COUNTBLANK(OFFSET(A$1,,,SUMPRODUCT(MAX(ROW(E$1:E835)*(E2=E$1:E835))))))</f>
        <v/>
      </c>
      <c r="K836" s="24" t="str">
        <f>IF(OR(E836="",E836="!!!",F836="NEW"),"",INDEX(J$1:J835,SUMPRODUCT(MAX(ROW(E$1:E835)*(E836=E$1:E835)))))</f>
        <v/>
      </c>
      <c r="L836" s="25"/>
    </row>
    <row r="837" spans="1:12" x14ac:dyDescent="0.3">
      <c r="A837" t="s">
        <v>173</v>
      </c>
      <c r="E837" s="20" t="str">
        <f t="shared" si="67"/>
        <v/>
      </c>
      <c r="F837" s="21" t="str">
        <f>IF(OR(E837="",E837="!!!"),"",IF(NOT(ISNA(VLOOKUP(E837,E$1:E836,1,FALSE()))),"OLD",IF(AND(E837&lt;&gt;"",E837&lt;&gt;"!!!"),"NEW","")))</f>
        <v/>
      </c>
      <c r="G837" s="22" t="str">
        <f>IF(OR(E837="",E837="!!!"),"",IF(OR(J837=0,AND(J837=1,K837=1),AND(J837=1,I837="SBJ"),AND(J837=1,I837=0)),"?IN_FOCUS",IF(J837&lt;=2,"?ACTIVATED",IF(J837&lt;&gt;"","?FAMILIAR",IF(F837="NEW",IF(ISNA(VLOOKUP(E837,#REF!,1,FALSE())),"?TYPE_IDENTIFIABLE","?REFERENTIAL"),"_")))))</f>
        <v/>
      </c>
      <c r="H837" s="23" t="str">
        <f t="shared" ca="1" si="66"/>
        <v/>
      </c>
      <c r="I837" s="24" t="str">
        <f>IF(OR(E837="",E837="!!!",F837="NEW"),"",INDEX(B$2:B836,-1+SUMPRODUCT(MAX(ROW(E$2:E836)*(E837=E$2:E836)))))</f>
        <v/>
      </c>
      <c r="J837" s="24" t="str">
        <f ca="1">IF(OR(E837="",E837="!!!",F837="NEW"),"",COUNTBLANK(OFFSET(A$1,,,SUMPRODUCT(MAX(ROW(E$2:E837)*(E837=E$2:E837)))))-COUNTBLANK(OFFSET(A$1,,,SUMPRODUCT(MAX(ROW(E$1:E836)*(E2=E$1:E836))))))</f>
        <v/>
      </c>
      <c r="K837" s="24" t="str">
        <f>IF(OR(E837="",E837="!!!",F837="NEW"),"",INDEX(J$1:J836,SUMPRODUCT(MAX(ROW(E$1:E836)*(E837=E$1:E836)))))</f>
        <v/>
      </c>
      <c r="L837" s="25"/>
    </row>
    <row r="838" spans="1:12" x14ac:dyDescent="0.3">
      <c r="A838" t="s">
        <v>327</v>
      </c>
      <c r="E838" s="20" t="str">
        <f t="shared" si="67"/>
        <v/>
      </c>
      <c r="F838" s="21" t="str">
        <f>IF(OR(E838="",E838="!!!"),"",IF(NOT(ISNA(VLOOKUP(E838,E$1:E837,1,FALSE()))),"OLD",IF(AND(E838&lt;&gt;"",E838&lt;&gt;"!!!"),"NEW","")))</f>
        <v/>
      </c>
      <c r="G838" s="22" t="str">
        <f>IF(OR(E838="",E838="!!!"),"",IF(OR(J838=0,AND(J838=1,K838=1),AND(J838=1,I838="SBJ"),AND(J838=1,I838=0)),"?IN_FOCUS",IF(J838&lt;=2,"?ACTIVATED",IF(J838&lt;&gt;"","?FAMILIAR",IF(F838="NEW",IF(ISNA(VLOOKUP(E838,#REF!,1,FALSE())),"?TYPE_IDENTIFIABLE","?REFERENTIAL"),"_")))))</f>
        <v/>
      </c>
      <c r="H838" s="23" t="str">
        <f t="shared" ca="1" si="66"/>
        <v/>
      </c>
      <c r="I838" s="24" t="str">
        <f>IF(OR(E838="",E838="!!!",F838="NEW"),"",INDEX(B$2:B837,-1+SUMPRODUCT(MAX(ROW(E$2:E837)*(E838=E$2:E837)))))</f>
        <v/>
      </c>
      <c r="J838" s="24" t="str">
        <f ca="1">IF(OR(E838="",E838="!!!",F838="NEW"),"",COUNTBLANK(OFFSET(A$1,,,SUMPRODUCT(MAX(ROW(E$2:E838)*(E838=E$2:E838)))))-COUNTBLANK(OFFSET(A$1,,,SUMPRODUCT(MAX(ROW(E$1:E837)*(E2=E$1:E837))))))</f>
        <v/>
      </c>
      <c r="K838" s="24" t="str">
        <f>IF(OR(E838="",E838="!!!",F838="NEW"),"",INDEX(J$1:J837,SUMPRODUCT(MAX(ROW(E$1:E837)*(E838=E$1:E837)))))</f>
        <v/>
      </c>
      <c r="L838" s="25"/>
    </row>
    <row r="839" spans="1:12" x14ac:dyDescent="0.3">
      <c r="A839" t="s">
        <v>201</v>
      </c>
      <c r="E839" s="20" t="str">
        <f t="shared" si="67"/>
        <v/>
      </c>
      <c r="F839" s="21" t="str">
        <f>IF(OR(E839="",E839="!!!"),"",IF(NOT(ISNA(VLOOKUP(E839,E$1:E838,1,FALSE()))),"OLD",IF(AND(E839&lt;&gt;"",E839&lt;&gt;"!!!"),"NEW","")))</f>
        <v/>
      </c>
      <c r="G839" s="22" t="str">
        <f>IF(OR(E839="",E839="!!!"),"",IF(OR(J839=0,AND(J839=1,K839=1),AND(J839=1,I839="SBJ"),AND(J839=1,I839=0)),"?IN_FOCUS",IF(J839&lt;=2,"?ACTIVATED",IF(J839&lt;&gt;"","?FAMILIAR",IF(F839="NEW",IF(ISNA(VLOOKUP(E839,#REF!,1,FALSE())),"?TYPE_IDENTIFIABLE","?REFERENTIAL"),"_")))))</f>
        <v/>
      </c>
      <c r="H839" s="23" t="str">
        <f t="shared" ca="1" si="66"/>
        <v/>
      </c>
      <c r="I839" s="24" t="str">
        <f>IF(OR(E839="",E839="!!!",F839="NEW"),"",INDEX(B$2:B838,-1+SUMPRODUCT(MAX(ROW(E$2:E838)*(E839=E$2:E838)))))</f>
        <v/>
      </c>
      <c r="J839" s="24" t="str">
        <f ca="1">IF(OR(E839="",E839="!!!",F839="NEW"),"",COUNTBLANK(OFFSET(A$1,,,SUMPRODUCT(MAX(ROW(E$2:E839)*(E839=E$2:E839)))))-COUNTBLANK(OFFSET(A$1,,,SUMPRODUCT(MAX(ROW(E$1:E838)*(E2=E$1:E838))))))</f>
        <v/>
      </c>
      <c r="K839" s="24" t="str">
        <f>IF(OR(E839="",E839="!!!",F839="NEW"),"",INDEX(J$1:J838,SUMPRODUCT(MAX(ROW(E$1:E838)*(E839=E$1:E838)))))</f>
        <v/>
      </c>
      <c r="L839" s="25"/>
    </row>
    <row r="841" spans="1:12" x14ac:dyDescent="0.3">
      <c r="A841" t="s">
        <v>572</v>
      </c>
    </row>
    <row r="842" spans="1:12" x14ac:dyDescent="0.3">
      <c r="A842" t="s">
        <v>306</v>
      </c>
      <c r="E842" s="20" t="str">
        <f t="shared" ref="E842:E860" si="68">IF(D842="?OLD","!!!","")</f>
        <v/>
      </c>
      <c r="F842" s="21" t="str">
        <f>IF(OR(E842="",E842="!!!"),"",IF(NOT(ISNA(VLOOKUP(E842,E$1:E841,1,FALSE()))),"OLD",IF(AND(E842&lt;&gt;"",E842&lt;&gt;"!!!"),"NEW","")))</f>
        <v/>
      </c>
      <c r="G842" s="22" t="str">
        <f>IF(OR(E842="",E842="!!!"),"",IF(OR(J842=0,AND(J842=1,K842=1),AND(J842=1,I842="SBJ"),AND(J842=1,I842=0)),"?IN_FOCUS",IF(J842&lt;=2,"?ACTIVATED",IF(J842&lt;&gt;"","?FAMILIAR",IF(F842="NEW",IF(ISNA(VLOOKUP(E842,#REF!,1,FALSE())),"?TYPE_IDENTIFIABLE","?REFERENTIAL"),"_")))))</f>
        <v/>
      </c>
      <c r="H842" s="23" t="str">
        <f t="shared" ref="H842:H860" ca="1" si="69">IF(J842&lt;&gt;1,"",IF(I842="SBJ","CB","?"))</f>
        <v/>
      </c>
      <c r="I842" s="24" t="str">
        <f>IF(OR(E842="",E842="!!!",F842="NEW"),"",INDEX(B$2:B841,-1+SUMPRODUCT(MAX(ROW(E$2:E841)*(E842=E$2:E841)))))</f>
        <v/>
      </c>
      <c r="J842" s="24" t="str">
        <f ca="1">IF(OR(E842="",E842="!!!",F842="NEW"),"",COUNTBLANK(OFFSET(A$1,,,SUMPRODUCT(MAX(ROW(E$2:E842)*(E842=E$2:E842)))))-COUNTBLANK(OFFSET(A$1,,,SUMPRODUCT(MAX(ROW(E$1:E841)*(E2=E$1:E841))))))</f>
        <v/>
      </c>
      <c r="K842" s="24" t="str">
        <f>IF(OR(E842="",E842="!!!",F842="NEW"),"",INDEX(J$1:J841,SUMPRODUCT(MAX(ROW(E$1:E841)*(E842=E$1:E841)))))</f>
        <v/>
      </c>
      <c r="L842" s="25"/>
    </row>
    <row r="843" spans="1:12" x14ac:dyDescent="0.3">
      <c r="A843" t="s">
        <v>573</v>
      </c>
      <c r="B843" s="26" t="s">
        <v>165</v>
      </c>
      <c r="C843" s="26" t="s">
        <v>180</v>
      </c>
      <c r="D843" s="26" t="s">
        <v>181</v>
      </c>
      <c r="E843" s="20" t="s">
        <v>643</v>
      </c>
      <c r="F843" s="21" t="str">
        <f>IF(OR(E843="",E843="!!!"),"",IF(NOT(ISNA(VLOOKUP(E843,E$1:E842,1,FALSE()))),"OLD",IF(AND(E843&lt;&gt;"",E843&lt;&gt;"!!!"),"NEW","")))</f>
        <v>OLD</v>
      </c>
      <c r="G843" s="22" t="s">
        <v>696</v>
      </c>
      <c r="H843" s="23" t="str">
        <f t="shared" ca="1" si="69"/>
        <v/>
      </c>
      <c r="I843" s="24" t="str">
        <f>IF(OR(E843="",E843="!!!",F843="NEW"),"",INDEX(B$2:B842,-1+SUMPRODUCT(MAX(ROW(E$2:E842)*(E843=E$2:E842)))))</f>
        <v>other_3</v>
      </c>
      <c r="J843" s="24">
        <f ca="1">IF(OR(E843="",E843="!!!",F843="NEW"),"",COUNTBLANK(OFFSET(A$1,,,SUMPRODUCT(MAX(ROW(E$2:E843)*(E843=E$2:E843)))))-COUNTBLANK(OFFSET(A$1,,,SUMPRODUCT(MAX(ROW(E$1:E842)*(E2=E$1:E842))))))</f>
        <v>0</v>
      </c>
      <c r="K843" s="24">
        <f ca="1">IF(OR(E843="",E843="!!!",F843="NEW"),"",INDEX(J$1:J842,SUMPRODUCT(MAX(ROW(E$1:E842)*(E843=E$1:E842)))))</f>
        <v>0</v>
      </c>
      <c r="L843" s="25"/>
    </row>
    <row r="844" spans="1:12" x14ac:dyDescent="0.3">
      <c r="A844" t="s">
        <v>278</v>
      </c>
      <c r="E844" s="20" t="str">
        <f t="shared" si="68"/>
        <v/>
      </c>
      <c r="F844" s="21" t="str">
        <f>IF(OR(E844="",E844="!!!"),"",IF(NOT(ISNA(VLOOKUP(E844,E$1:E843,1,FALSE()))),"OLD",IF(AND(E844&lt;&gt;"",E844&lt;&gt;"!!!"),"NEW","")))</f>
        <v/>
      </c>
      <c r="G844" s="22" t="str">
        <f>IF(OR(E844="",E844="!!!"),"",IF(OR(J844=0,AND(J844=1,K844=1),AND(J844=1,I844="SBJ"),AND(J844=1,I844=0)),"?IN_FOCUS",IF(J844&lt;=2,"?ACTIVATED",IF(J844&lt;&gt;"","?FAMILIAR",IF(F844="NEW",IF(ISNA(VLOOKUP(E844,#REF!,1,FALSE())),"?TYPE_IDENTIFIABLE","?REFERENTIAL"),"_")))))</f>
        <v/>
      </c>
      <c r="H844" s="23" t="str">
        <f t="shared" ca="1" si="69"/>
        <v/>
      </c>
      <c r="I844" s="24" t="str">
        <f>IF(OR(E844="",E844="!!!",F844="NEW"),"",INDEX(B$2:B843,-1+SUMPRODUCT(MAX(ROW(E$2:E843)*(E844=E$2:E843)))))</f>
        <v/>
      </c>
      <c r="J844" s="24" t="str">
        <f ca="1">IF(OR(E844="",E844="!!!",F844="NEW"),"",COUNTBLANK(OFFSET(A$1,,,SUMPRODUCT(MAX(ROW(E$2:E844)*(E844=E$2:E844)))))-COUNTBLANK(OFFSET(A$1,,,SUMPRODUCT(MAX(ROW(E$1:E843)*(E2=E$1:E843))))))</f>
        <v/>
      </c>
      <c r="K844" s="24" t="str">
        <f>IF(OR(E844="",E844="!!!",F844="NEW"),"",INDEX(J$1:J843,SUMPRODUCT(MAX(ROW(E$1:E843)*(E844=E$1:E843)))))</f>
        <v/>
      </c>
      <c r="L844" s="25"/>
    </row>
    <row r="845" spans="1:12" x14ac:dyDescent="0.3">
      <c r="A845" t="s">
        <v>230</v>
      </c>
      <c r="E845" s="20" t="str">
        <f t="shared" si="68"/>
        <v/>
      </c>
      <c r="F845" s="21" t="str">
        <f>IF(OR(E845="",E845="!!!"),"",IF(NOT(ISNA(VLOOKUP(E845,E$1:E844,1,FALSE()))),"OLD",IF(AND(E845&lt;&gt;"",E845&lt;&gt;"!!!"),"NEW","")))</f>
        <v/>
      </c>
      <c r="G845" s="22" t="str">
        <f>IF(OR(E845="",E845="!!!"),"",IF(OR(J845=0,AND(J845=1,K845=1),AND(J845=1,I845="SBJ"),AND(J845=1,I845=0)),"?IN_FOCUS",IF(J845&lt;=2,"?ACTIVATED",IF(J845&lt;&gt;"","?FAMILIAR",IF(F845="NEW",IF(ISNA(VLOOKUP(E845,#REF!,1,FALSE())),"?TYPE_IDENTIFIABLE","?REFERENTIAL"),"_")))))</f>
        <v/>
      </c>
      <c r="H845" s="23" t="str">
        <f t="shared" ca="1" si="69"/>
        <v/>
      </c>
      <c r="I845" s="24" t="str">
        <f>IF(OR(E845="",E845="!!!",F845="NEW"),"",INDEX(B$2:B844,-1+SUMPRODUCT(MAX(ROW(E$2:E844)*(E845=E$2:E844)))))</f>
        <v/>
      </c>
      <c r="J845" s="24" t="str">
        <f ca="1">IF(OR(E845="",E845="!!!",F845="NEW"),"",COUNTBLANK(OFFSET(A$1,,,SUMPRODUCT(MAX(ROW(E$2:E845)*(E845=E$2:E845)))))-COUNTBLANK(OFFSET(A$1,,,SUMPRODUCT(MAX(ROW(E$1:E844)*(E2=E$1:E844))))))</f>
        <v/>
      </c>
      <c r="K845" s="24" t="str">
        <f>IF(OR(E845="",E845="!!!",F845="NEW"),"",INDEX(J$1:J844,SUMPRODUCT(MAX(ROW(E$1:E844)*(E845=E$1:E844)))))</f>
        <v/>
      </c>
      <c r="L845" s="25"/>
    </row>
    <row r="846" spans="1:12" x14ac:dyDescent="0.3">
      <c r="A846" t="s">
        <v>574</v>
      </c>
      <c r="B846" s="26" t="s">
        <v>185</v>
      </c>
      <c r="C846" s="26" t="s">
        <v>290</v>
      </c>
      <c r="D846" s="26" t="s">
        <v>181</v>
      </c>
      <c r="E846" s="20"/>
      <c r="F846" s="21" t="s">
        <v>615</v>
      </c>
      <c r="G846" s="22" t="str">
        <f>IF(OR(E846="",E846="!!!"),"",IF(OR(J846=0,AND(J846=1,K846=1),AND(J846=1,I846="SBJ"),AND(J846=1,I846=0)),"?IN_FOCUS",IF(J846&lt;=2,"?ACTIVATED",IF(J846&lt;&gt;"","?FAMILIAR",IF(F846="NEW",IF(ISNA(VLOOKUP(E846,#REF!,1,FALSE())),"?TYPE_IDENTIFIABLE","?REFERENTIAL"),"_")))))</f>
        <v/>
      </c>
      <c r="H846" s="23" t="str">
        <f t="shared" ca="1" si="69"/>
        <v/>
      </c>
      <c r="I846" s="24" t="str">
        <f>IF(OR(E846="",E846="!!!",F846="NEW"),"",INDEX(B$2:B845,-1+SUMPRODUCT(MAX(ROW(E$2:E845)*(E846=E$2:E845)))))</f>
        <v/>
      </c>
      <c r="J846" s="24" t="str">
        <f ca="1">IF(OR(E846="",E846="!!!",F846="NEW"),"",COUNTBLANK(OFFSET(A$1,,,SUMPRODUCT(MAX(ROW(E$2:E846)*(E846=E$2:E846)))))-COUNTBLANK(OFFSET(A$1,,,SUMPRODUCT(MAX(ROW(E$1:E845)*(E2=E$1:E845))))))</f>
        <v/>
      </c>
      <c r="K846" s="24" t="str">
        <f>IF(OR(E846="",E846="!!!",F846="NEW"),"",INDEX(J$1:J845,SUMPRODUCT(MAX(ROW(E$1:E845)*(E846=E$1:E845)))))</f>
        <v/>
      </c>
      <c r="L846" s="25"/>
    </row>
    <row r="847" spans="1:12" x14ac:dyDescent="0.3">
      <c r="A847" t="s">
        <v>575</v>
      </c>
      <c r="B847" s="26" t="s">
        <v>189</v>
      </c>
      <c r="C847" s="26" t="s">
        <v>180</v>
      </c>
      <c r="D847" s="26" t="s">
        <v>181</v>
      </c>
      <c r="E847" s="20" t="s">
        <v>672</v>
      </c>
      <c r="F847" s="21" t="str">
        <f>IF(OR(E847="",E847="!!!"),"",IF(NOT(ISNA(VLOOKUP(E847,E$1:E846,1,FALSE()))),"OLD",IF(AND(E847&lt;&gt;"",E847&lt;&gt;"!!!"),"NEW","")))</f>
        <v>NEW</v>
      </c>
      <c r="G847" s="22" t="s">
        <v>699</v>
      </c>
      <c r="H847" s="23" t="str">
        <f t="shared" ca="1" si="69"/>
        <v/>
      </c>
      <c r="I847" s="24" t="str">
        <f>IF(OR(E847="",E847="!!!",F847="NEW"),"",INDEX(B$2:B846,-1+SUMPRODUCT(MAX(ROW(E$2:E846)*(E847=E$2:E846)))))</f>
        <v/>
      </c>
      <c r="J847" s="24" t="str">
        <f ca="1">IF(OR(E847="",E847="!!!",F847="NEW"),"",COUNTBLANK(OFFSET(A$1,,,SUMPRODUCT(MAX(ROW(E$2:E847)*(E847=E$2:E847)))))-COUNTBLANK(OFFSET(A$1,,,SUMPRODUCT(MAX(ROW(E$1:E846)*(E2=E$1:E846))))))</f>
        <v/>
      </c>
      <c r="K847" s="24" t="str">
        <f>IF(OR(E847="",E847="!!!",F847="NEW"),"",INDEX(J$1:J846,SUMPRODUCT(MAX(ROW(E$1:E846)*(E847=E$1:E846)))))</f>
        <v/>
      </c>
      <c r="L847" s="25"/>
    </row>
    <row r="848" spans="1:12" x14ac:dyDescent="0.3">
      <c r="A848" t="s">
        <v>565</v>
      </c>
      <c r="E848" s="20" t="str">
        <f t="shared" si="68"/>
        <v/>
      </c>
      <c r="F848" s="21" t="str">
        <f>IF(OR(E848="",E848="!!!"),"",IF(NOT(ISNA(VLOOKUP(E848,E$1:E847,1,FALSE()))),"OLD",IF(AND(E848&lt;&gt;"",E848&lt;&gt;"!!!"),"NEW","")))</f>
        <v/>
      </c>
      <c r="G848" s="22" t="str">
        <f>IF(OR(E848="",E848="!!!"),"",IF(OR(J848=0,AND(J848=1,K848=1),AND(J848=1,I848="SBJ"),AND(J848=1,I848=0)),"?IN_FOCUS",IF(J848&lt;=2,"?ACTIVATED",IF(J848&lt;&gt;"","?FAMILIAR",IF(F848="NEW",IF(ISNA(VLOOKUP(E848,#REF!,1,FALSE())),"?TYPE_IDENTIFIABLE","?REFERENTIAL"),"_")))))</f>
        <v/>
      </c>
      <c r="H848" s="23" t="str">
        <f t="shared" ca="1" si="69"/>
        <v/>
      </c>
      <c r="I848" s="24" t="str">
        <f>IF(OR(E848="",E848="!!!",F848="NEW"),"",INDEX(B$2:B847,-1+SUMPRODUCT(MAX(ROW(E$2:E847)*(E848=E$2:E847)))))</f>
        <v/>
      </c>
      <c r="J848" s="24" t="str">
        <f ca="1">IF(OR(E848="",E848="!!!",F848="NEW"),"",COUNTBLANK(OFFSET(A$1,,,SUMPRODUCT(MAX(ROW(E$2:E848)*(E848=E$2:E848)))))-COUNTBLANK(OFFSET(A$1,,,SUMPRODUCT(MAX(ROW(E$1:E847)*(E2=E$1:E847))))))</f>
        <v/>
      </c>
      <c r="K848" s="24" t="str">
        <f>IF(OR(E848="",E848="!!!",F848="NEW"),"",INDEX(J$1:J847,SUMPRODUCT(MAX(ROW(E$1:E847)*(E848=E$1:E847)))))</f>
        <v/>
      </c>
      <c r="L848" s="25"/>
    </row>
    <row r="849" spans="1:12" x14ac:dyDescent="0.3">
      <c r="A849" t="s">
        <v>219</v>
      </c>
      <c r="E849" s="20" t="str">
        <f t="shared" si="68"/>
        <v/>
      </c>
      <c r="F849" s="21" t="str">
        <f>IF(OR(E849="",E849="!!!"),"",IF(NOT(ISNA(VLOOKUP(E849,E$1:E848,1,FALSE()))),"OLD",IF(AND(E849&lt;&gt;"",E849&lt;&gt;"!!!"),"NEW","")))</f>
        <v/>
      </c>
      <c r="G849" s="22" t="str">
        <f>IF(OR(E849="",E849="!!!"),"",IF(OR(J849=0,AND(J849=1,K849=1),AND(J849=1,I849="SBJ"),AND(J849=1,I849=0)),"?IN_FOCUS",IF(J849&lt;=2,"?ACTIVATED",IF(J849&lt;&gt;"","?FAMILIAR",IF(F849="NEW",IF(ISNA(VLOOKUP(E849,#REF!,1,FALSE())),"?TYPE_IDENTIFIABLE","?REFERENTIAL"),"_")))))</f>
        <v/>
      </c>
      <c r="H849" s="23" t="str">
        <f t="shared" ca="1" si="69"/>
        <v/>
      </c>
      <c r="I849" s="24" t="str">
        <f>IF(OR(E849="",E849="!!!",F849="NEW"),"",INDEX(B$2:B848,-1+SUMPRODUCT(MAX(ROW(E$2:E848)*(E849=E$2:E848)))))</f>
        <v/>
      </c>
      <c r="J849" s="24" t="str">
        <f ca="1">IF(OR(E849="",E849="!!!",F849="NEW"),"",COUNTBLANK(OFFSET(A$1,,,SUMPRODUCT(MAX(ROW(E$2:E849)*(E849=E$2:E849)))))-COUNTBLANK(OFFSET(A$1,,,SUMPRODUCT(MAX(ROW(E$1:E848)*(E2=E$1:E848))))))</f>
        <v/>
      </c>
      <c r="K849" s="24" t="str">
        <f>IF(OR(E849="",E849="!!!",F849="NEW"),"",INDEX(J$1:J848,SUMPRODUCT(MAX(ROW(E$1:E848)*(E849=E$1:E848)))))</f>
        <v/>
      </c>
      <c r="L849" s="25"/>
    </row>
    <row r="850" spans="1:12" x14ac:dyDescent="0.3">
      <c r="A850" t="s">
        <v>576</v>
      </c>
      <c r="B850" s="26" t="s">
        <v>189</v>
      </c>
      <c r="C850" s="26" t="s">
        <v>180</v>
      </c>
      <c r="D850" s="26" t="s">
        <v>181</v>
      </c>
      <c r="E850" s="20" t="s">
        <v>673</v>
      </c>
      <c r="F850" s="21" t="str">
        <f>IF(OR(E850="",E850="!!!"),"",IF(NOT(ISNA(VLOOKUP(E850,E$1:E849,1,FALSE()))),"OLD",IF(AND(E850&lt;&gt;"",E850&lt;&gt;"!!!"),"NEW","")))</f>
        <v>NEW</v>
      </c>
      <c r="G850" s="22" t="s">
        <v>699</v>
      </c>
      <c r="H850" s="23" t="str">
        <f t="shared" ca="1" si="69"/>
        <v/>
      </c>
      <c r="I850" s="24" t="str">
        <f>IF(OR(E850="",E850="!!!",F850="NEW"),"",INDEX(B$2:B849,-1+SUMPRODUCT(MAX(ROW(E$2:E849)*(E850=E$2:E849)))))</f>
        <v/>
      </c>
      <c r="J850" s="24" t="str">
        <f ca="1">IF(OR(E850="",E850="!!!",F850="NEW"),"",COUNTBLANK(OFFSET(A$1,,,SUMPRODUCT(MAX(ROW(E$2:E850)*(E850=E$2:E850)))))-COUNTBLANK(OFFSET(A$1,,,SUMPRODUCT(MAX(ROW(E$1:E849)*(E2=E$1:E849))))))</f>
        <v/>
      </c>
      <c r="K850" s="24" t="str">
        <f>IF(OR(E850="",E850="!!!",F850="NEW"),"",INDEX(J$1:J849,SUMPRODUCT(MAX(ROW(E$1:E849)*(E850=E$1:E849)))))</f>
        <v/>
      </c>
      <c r="L850" s="25"/>
    </row>
    <row r="851" spans="1:12" x14ac:dyDescent="0.3">
      <c r="A851" t="s">
        <v>577</v>
      </c>
      <c r="E851" s="20" t="str">
        <f t="shared" si="68"/>
        <v/>
      </c>
      <c r="F851" s="21" t="str">
        <f>IF(OR(E851="",E851="!!!"),"",IF(NOT(ISNA(VLOOKUP(E851,E$1:E850,1,FALSE()))),"OLD",IF(AND(E851&lt;&gt;"",E851&lt;&gt;"!!!"),"NEW","")))</f>
        <v/>
      </c>
      <c r="G851" s="22" t="str">
        <f>IF(OR(E851="",E851="!!!"),"",IF(OR(J851=0,AND(J851=1,K851=1),AND(J851=1,I851="SBJ"),AND(J851=1,I851=0)),"?IN_FOCUS",IF(J851&lt;=2,"?ACTIVATED",IF(J851&lt;&gt;"","?FAMILIAR",IF(F851="NEW",IF(ISNA(VLOOKUP(E851,#REF!,1,FALSE())),"?TYPE_IDENTIFIABLE","?REFERENTIAL"),"_")))))</f>
        <v/>
      </c>
      <c r="H851" s="23" t="str">
        <f t="shared" ca="1" si="69"/>
        <v/>
      </c>
      <c r="I851" s="24" t="str">
        <f>IF(OR(E851="",E851="!!!",F851="NEW"),"",INDEX(B$2:B850,-1+SUMPRODUCT(MAX(ROW(E$2:E850)*(E851=E$2:E850)))))</f>
        <v/>
      </c>
      <c r="J851" s="24" t="str">
        <f ca="1">IF(OR(E851="",E851="!!!",F851="NEW"),"",COUNTBLANK(OFFSET(A$1,,,SUMPRODUCT(MAX(ROW(E$2:E851)*(E851=E$2:E851)))))-COUNTBLANK(OFFSET(A$1,,,SUMPRODUCT(MAX(ROW(E$1:E850)*(E2=E$1:E850))))))</f>
        <v/>
      </c>
      <c r="K851" s="24" t="str">
        <f>IF(OR(E851="",E851="!!!",F851="NEW"),"",INDEX(J$1:J850,SUMPRODUCT(MAX(ROW(E$1:E850)*(E851=E$1:E850)))))</f>
        <v/>
      </c>
      <c r="L851" s="25"/>
    </row>
    <row r="852" spans="1:12" x14ac:dyDescent="0.3">
      <c r="A852" t="s">
        <v>167</v>
      </c>
      <c r="E852" s="20" t="str">
        <f t="shared" si="68"/>
        <v/>
      </c>
      <c r="F852" s="21" t="str">
        <f>IF(OR(E852="",E852="!!!"),"",IF(NOT(ISNA(VLOOKUP(E852,E$1:E851,1,FALSE()))),"OLD",IF(AND(E852&lt;&gt;"",E852&lt;&gt;"!!!"),"NEW","")))</f>
        <v/>
      </c>
      <c r="G852" s="22" t="str">
        <f>IF(OR(E852="",E852="!!!"),"",IF(OR(J852=0,AND(J852=1,K852=1),AND(J852=1,I852="SBJ"),AND(J852=1,I852=0)),"?IN_FOCUS",IF(J852&lt;=2,"?ACTIVATED",IF(J852&lt;&gt;"","?FAMILIAR",IF(F852="NEW",IF(ISNA(VLOOKUP(E852,#REF!,1,FALSE())),"?TYPE_IDENTIFIABLE","?REFERENTIAL"),"_")))))</f>
        <v/>
      </c>
      <c r="H852" s="23" t="str">
        <f t="shared" ca="1" si="69"/>
        <v/>
      </c>
      <c r="I852" s="24" t="str">
        <f>IF(OR(E852="",E852="!!!",F852="NEW"),"",INDEX(B$2:B851,-1+SUMPRODUCT(MAX(ROW(E$2:E851)*(E852=E$2:E851)))))</f>
        <v/>
      </c>
      <c r="J852" s="24" t="str">
        <f ca="1">IF(OR(E852="",E852="!!!",F852="NEW"),"",COUNTBLANK(OFFSET(A$1,,,SUMPRODUCT(MAX(ROW(E$2:E852)*(E852=E$2:E852)))))-COUNTBLANK(OFFSET(A$1,,,SUMPRODUCT(MAX(ROW(E$1:E851)*(E2=E$1:E851))))))</f>
        <v/>
      </c>
      <c r="K852" s="24" t="str">
        <f>IF(OR(E852="",E852="!!!",F852="NEW"),"",INDEX(J$1:J851,SUMPRODUCT(MAX(ROW(E$1:E851)*(E852=E$1:E851)))))</f>
        <v/>
      </c>
      <c r="L852" s="25"/>
    </row>
    <row r="853" spans="1:12" x14ac:dyDescent="0.3">
      <c r="A853" t="s">
        <v>240</v>
      </c>
      <c r="E853" s="20" t="str">
        <f t="shared" si="68"/>
        <v/>
      </c>
      <c r="F853" s="21" t="str">
        <f>IF(OR(E853="",E853="!!!"),"",IF(NOT(ISNA(VLOOKUP(E853,E$1:E852,1,FALSE()))),"OLD",IF(AND(E853&lt;&gt;"",E853&lt;&gt;"!!!"),"NEW","")))</f>
        <v/>
      </c>
      <c r="G853" s="22" t="str">
        <f>IF(OR(E853="",E853="!!!"),"",IF(OR(J853=0,AND(J853=1,K853=1),AND(J853=1,I853="SBJ"),AND(J853=1,I853=0)),"?IN_FOCUS",IF(J853&lt;=2,"?ACTIVATED",IF(J853&lt;&gt;"","?FAMILIAR",IF(F853="NEW",IF(ISNA(VLOOKUP(E853,#REF!,1,FALSE())),"?TYPE_IDENTIFIABLE","?REFERENTIAL"),"_")))))</f>
        <v/>
      </c>
      <c r="H853" s="23" t="str">
        <f t="shared" ca="1" si="69"/>
        <v/>
      </c>
      <c r="I853" s="24" t="str">
        <f>IF(OR(E853="",E853="!!!",F853="NEW"),"",INDEX(B$2:B852,-1+SUMPRODUCT(MAX(ROW(E$2:E852)*(E853=E$2:E852)))))</f>
        <v/>
      </c>
      <c r="J853" s="24" t="str">
        <f ca="1">IF(OR(E853="",E853="!!!",F853="NEW"),"",COUNTBLANK(OFFSET(A$1,,,SUMPRODUCT(MAX(ROW(E$2:E853)*(E853=E$2:E853)))))-COUNTBLANK(OFFSET(A$1,,,SUMPRODUCT(MAX(ROW(E$1:E852)*(E2=E$1:E852))))))</f>
        <v/>
      </c>
      <c r="K853" s="24" t="str">
        <f>IF(OR(E853="",E853="!!!",F853="NEW"),"",INDEX(J$1:J852,SUMPRODUCT(MAX(ROW(E$1:E852)*(E853=E$1:E852)))))</f>
        <v/>
      </c>
      <c r="L853" s="25"/>
    </row>
    <row r="854" spans="1:12" x14ac:dyDescent="0.3">
      <c r="A854" t="s">
        <v>311</v>
      </c>
      <c r="B854" s="26" t="s">
        <v>169</v>
      </c>
      <c r="C854" s="26" t="s">
        <v>312</v>
      </c>
      <c r="D854" s="26" t="s">
        <v>181</v>
      </c>
      <c r="E854" s="20"/>
      <c r="F854" s="21" t="s">
        <v>628</v>
      </c>
      <c r="G854" s="22" t="str">
        <f>IF(OR(E854="",E854="!!!"),"",IF(OR(J854=0,AND(J854=1,K854=1),AND(J854=1,I854="SBJ"),AND(J854=1,I854=0)),"?IN_FOCUS",IF(J854&lt;=2,"?ACTIVATED",IF(J854&lt;&gt;"","?FAMILIAR",IF(F854="NEW",IF(ISNA(VLOOKUP(E854,#REF!,1,FALSE())),"?TYPE_IDENTIFIABLE","?REFERENTIAL"),"_")))))</f>
        <v/>
      </c>
      <c r="H854" s="23" t="str">
        <f t="shared" ca="1" si="69"/>
        <v/>
      </c>
      <c r="I854" s="24" t="str">
        <f>IF(OR(E854="",E854="!!!",F854="NEW"),"",INDEX(B$2:B853,-1+SUMPRODUCT(MAX(ROW(E$2:E853)*(E854=E$2:E853)))))</f>
        <v/>
      </c>
      <c r="J854" s="24" t="str">
        <f ca="1">IF(OR(E854="",E854="!!!",F854="NEW"),"",COUNTBLANK(OFFSET(A$1,,,SUMPRODUCT(MAX(ROW(E$2:E854)*(E854=E$2:E854)))))-COUNTBLANK(OFFSET(A$1,,,SUMPRODUCT(MAX(ROW(E$1:E853)*(E2=E$1:E853))))))</f>
        <v/>
      </c>
      <c r="K854" s="24" t="str">
        <f>IF(OR(E854="",E854="!!!",F854="NEW"),"",INDEX(J$1:J853,SUMPRODUCT(MAX(ROW(E$1:E853)*(E854=E$1:E853)))))</f>
        <v/>
      </c>
      <c r="L854" s="25"/>
    </row>
    <row r="855" spans="1:12" x14ac:dyDescent="0.3">
      <c r="A855" t="s">
        <v>196</v>
      </c>
      <c r="E855" s="20" t="str">
        <f t="shared" si="68"/>
        <v/>
      </c>
      <c r="F855" s="21" t="str">
        <f>IF(OR(E855="",E855="!!!"),"",IF(NOT(ISNA(VLOOKUP(E855,E$1:E854,1,FALSE()))),"OLD",IF(AND(E855&lt;&gt;"",E855&lt;&gt;"!!!"),"NEW","")))</f>
        <v/>
      </c>
      <c r="G855" s="22" t="str">
        <f>IF(OR(E855="",E855="!!!"),"",IF(OR(J855=0,AND(J855=1,K855=1),AND(J855=1,I855="SBJ"),AND(J855=1,I855=0)),"?IN_FOCUS",IF(J855&lt;=2,"?ACTIVATED",IF(J855&lt;&gt;"","?FAMILIAR",IF(F855="NEW",IF(ISNA(VLOOKUP(E855,#REF!,1,FALSE())),"?TYPE_IDENTIFIABLE","?REFERENTIAL"),"_")))))</f>
        <v/>
      </c>
      <c r="H855" s="23" t="str">
        <f t="shared" ca="1" si="69"/>
        <v/>
      </c>
      <c r="I855" s="24" t="str">
        <f>IF(OR(E855="",E855="!!!",F855="NEW"),"",INDEX(B$2:B854,-1+SUMPRODUCT(MAX(ROW(E$2:E854)*(E855=E$2:E854)))))</f>
        <v/>
      </c>
      <c r="J855" s="24" t="str">
        <f ca="1">IF(OR(E855="",E855="!!!",F855="NEW"),"",COUNTBLANK(OFFSET(A$1,,,SUMPRODUCT(MAX(ROW(E$2:E855)*(E855=E$2:E855)))))-COUNTBLANK(OFFSET(A$1,,,SUMPRODUCT(MAX(ROW(E$1:E854)*(E2=E$1:E854))))))</f>
        <v/>
      </c>
      <c r="K855" s="24" t="str">
        <f>IF(OR(E855="",E855="!!!",F855="NEW"),"",INDEX(J$1:J854,SUMPRODUCT(MAX(ROW(E$1:E854)*(E855=E$1:E854)))))</f>
        <v/>
      </c>
      <c r="L855" s="25"/>
    </row>
    <row r="856" spans="1:12" x14ac:dyDescent="0.3">
      <c r="A856" t="s">
        <v>230</v>
      </c>
      <c r="E856" s="20" t="str">
        <f t="shared" si="68"/>
        <v/>
      </c>
      <c r="F856" s="21" t="str">
        <f>IF(OR(E856="",E856="!!!"),"",IF(NOT(ISNA(VLOOKUP(E856,E$1:E855,1,FALSE()))),"OLD",IF(AND(E856&lt;&gt;"",E856&lt;&gt;"!!!"),"NEW","")))</f>
        <v/>
      </c>
      <c r="G856" s="22" t="str">
        <f>IF(OR(E856="",E856="!!!"),"",IF(OR(J856=0,AND(J856=1,K856=1),AND(J856=1,I856="SBJ"),AND(J856=1,I856=0)),"?IN_FOCUS",IF(J856&lt;=2,"?ACTIVATED",IF(J856&lt;&gt;"","?FAMILIAR",IF(F856="NEW",IF(ISNA(VLOOKUP(E856,#REF!,1,FALSE())),"?TYPE_IDENTIFIABLE","?REFERENTIAL"),"_")))))</f>
        <v/>
      </c>
      <c r="H856" s="23" t="str">
        <f t="shared" ca="1" si="69"/>
        <v/>
      </c>
      <c r="I856" s="24" t="str">
        <f>IF(OR(E856="",E856="!!!",F856="NEW"),"",INDEX(B$2:B855,-1+SUMPRODUCT(MAX(ROW(E$2:E855)*(E856=E$2:E855)))))</f>
        <v/>
      </c>
      <c r="J856" s="24" t="str">
        <f ca="1">IF(OR(E856="",E856="!!!",F856="NEW"),"",COUNTBLANK(OFFSET(A$1,,,SUMPRODUCT(MAX(ROW(E$2:E856)*(E856=E$2:E856)))))-COUNTBLANK(OFFSET(A$1,,,SUMPRODUCT(MAX(ROW(E$1:E855)*(E2=E$1:E855))))))</f>
        <v/>
      </c>
      <c r="K856" s="24" t="str">
        <f>IF(OR(E856="",E856="!!!",F856="NEW"),"",INDEX(J$1:J855,SUMPRODUCT(MAX(ROW(E$1:E855)*(E856=E$1:E855)))))</f>
        <v/>
      </c>
      <c r="L856" s="25"/>
    </row>
    <row r="857" spans="1:12" x14ac:dyDescent="0.3">
      <c r="A857" t="s">
        <v>578</v>
      </c>
      <c r="B857" s="26" t="s">
        <v>189</v>
      </c>
      <c r="C857" s="26" t="s">
        <v>194</v>
      </c>
      <c r="D857" s="26" t="s">
        <v>181</v>
      </c>
      <c r="E857" s="20" t="s">
        <v>674</v>
      </c>
      <c r="F857" s="21" t="str">
        <f>IF(OR(E857="",E857="!!!"),"",IF(NOT(ISNA(VLOOKUP(E857,E$1:E856,1,FALSE()))),"OLD",IF(AND(E857&lt;&gt;"",E857&lt;&gt;"!!!"),"NEW","")))</f>
        <v>NEW</v>
      </c>
      <c r="G857" s="22" t="s">
        <v>696</v>
      </c>
      <c r="H857" s="23" t="str">
        <f t="shared" ca="1" si="69"/>
        <v/>
      </c>
      <c r="I857" s="24" t="str">
        <f>IF(OR(E857="",E857="!!!",F857="NEW"),"",INDEX(B$2:B856,-1+SUMPRODUCT(MAX(ROW(E$2:E856)*(E857=E$2:E856)))))</f>
        <v/>
      </c>
      <c r="J857" s="24" t="str">
        <f ca="1">IF(OR(E857="",E857="!!!",F857="NEW"),"",COUNTBLANK(OFFSET(A$1,,,SUMPRODUCT(MAX(ROW(E$2:E857)*(E857=E$2:E857)))))-COUNTBLANK(OFFSET(A$1,,,SUMPRODUCT(MAX(ROW(E$1:E856)*(E2=E$1:E856))))))</f>
        <v/>
      </c>
      <c r="K857" s="24" t="str">
        <f>IF(OR(E857="",E857="!!!",F857="NEW"),"",INDEX(J$1:J856,SUMPRODUCT(MAX(ROW(E$1:E856)*(E857=E$1:E856)))))</f>
        <v/>
      </c>
      <c r="L857" s="25"/>
    </row>
    <row r="858" spans="1:12" x14ac:dyDescent="0.3">
      <c r="A858" t="s">
        <v>314</v>
      </c>
      <c r="E858" s="20" t="str">
        <f t="shared" si="68"/>
        <v/>
      </c>
      <c r="F858" s="21" t="str">
        <f>IF(OR(E858="",E858="!!!"),"",IF(NOT(ISNA(VLOOKUP(E858,E$1:E857,1,FALSE()))),"OLD",IF(AND(E858&lt;&gt;"",E858&lt;&gt;"!!!"),"NEW","")))</f>
        <v/>
      </c>
      <c r="G858" s="22" t="str">
        <f>IF(OR(E858="",E858="!!!"),"",IF(OR(J858=0,AND(J858=1,K858=1),AND(J858=1,I858="SBJ"),AND(J858=1,I858=0)),"?IN_FOCUS",IF(J858&lt;=2,"?ACTIVATED",IF(J858&lt;&gt;"","?FAMILIAR",IF(F858="NEW",IF(ISNA(VLOOKUP(E858,#REF!,1,FALSE())),"?TYPE_IDENTIFIABLE","?REFERENTIAL"),"_")))))</f>
        <v/>
      </c>
      <c r="H858" s="23" t="str">
        <f t="shared" ca="1" si="69"/>
        <v/>
      </c>
      <c r="I858" s="24" t="str">
        <f>IF(OR(E858="",E858="!!!",F858="NEW"),"",INDEX(B$2:B857,-1+SUMPRODUCT(MAX(ROW(E$2:E857)*(E858=E$2:E857)))))</f>
        <v/>
      </c>
      <c r="J858" s="24" t="str">
        <f ca="1">IF(OR(E858="",E858="!!!",F858="NEW"),"",COUNTBLANK(OFFSET(A$1,,,SUMPRODUCT(MAX(ROW(E$2:E858)*(E858=E$2:E858)))))-COUNTBLANK(OFFSET(A$1,,,SUMPRODUCT(MAX(ROW(E$1:E857)*(E2=E$1:E857))))))</f>
        <v/>
      </c>
      <c r="K858" s="24" t="str">
        <f>IF(OR(E858="",E858="!!!",F858="NEW"),"",INDEX(J$1:J857,SUMPRODUCT(MAX(ROW(E$1:E857)*(E858=E$1:E857)))))</f>
        <v/>
      </c>
      <c r="L858" s="25"/>
    </row>
    <row r="859" spans="1:12" x14ac:dyDescent="0.3">
      <c r="A859" t="s">
        <v>315</v>
      </c>
      <c r="E859" s="20" t="str">
        <f t="shared" si="68"/>
        <v/>
      </c>
      <c r="F859" s="21" t="str">
        <f>IF(OR(E859="",E859="!!!"),"",IF(NOT(ISNA(VLOOKUP(E859,E$1:E858,1,FALSE()))),"OLD",IF(AND(E859&lt;&gt;"",E859&lt;&gt;"!!!"),"NEW","")))</f>
        <v/>
      </c>
      <c r="G859" s="22" t="str">
        <f>IF(OR(E859="",E859="!!!"),"",IF(OR(J859=0,AND(J859=1,K859=1),AND(J859=1,I859="SBJ"),AND(J859=1,I859=0)),"?IN_FOCUS",IF(J859&lt;=2,"?ACTIVATED",IF(J859&lt;&gt;"","?FAMILIAR",IF(F859="NEW",IF(ISNA(VLOOKUP(E859,#REF!,1,FALSE())),"?TYPE_IDENTIFIABLE","?REFERENTIAL"),"_")))))</f>
        <v/>
      </c>
      <c r="H859" s="23" t="str">
        <f t="shared" ca="1" si="69"/>
        <v/>
      </c>
      <c r="I859" s="24" t="str">
        <f>IF(OR(E859="",E859="!!!",F859="NEW"),"",INDEX(B$2:B858,-1+SUMPRODUCT(MAX(ROW(E$2:E858)*(E859=E$2:E858)))))</f>
        <v/>
      </c>
      <c r="J859" s="24" t="str">
        <f ca="1">IF(OR(E859="",E859="!!!",F859="NEW"),"",COUNTBLANK(OFFSET(A$1,,,SUMPRODUCT(MAX(ROW(E$2:E859)*(E859=E$2:E859)))))-COUNTBLANK(OFFSET(A$1,,,SUMPRODUCT(MAX(ROW(E$1:E858)*(E2=E$1:E858))))))</f>
        <v/>
      </c>
      <c r="K859" s="24" t="str">
        <f>IF(OR(E859="",E859="!!!",F859="NEW"),"",INDEX(J$1:J858,SUMPRODUCT(MAX(ROW(E$1:E858)*(E859=E$1:E858)))))</f>
        <v/>
      </c>
      <c r="L859" s="25"/>
    </row>
    <row r="860" spans="1:12" x14ac:dyDescent="0.3">
      <c r="A860" t="s">
        <v>201</v>
      </c>
      <c r="E860" s="20" t="str">
        <f t="shared" si="68"/>
        <v/>
      </c>
      <c r="F860" s="21" t="str">
        <f>IF(OR(E860="",E860="!!!"),"",IF(NOT(ISNA(VLOOKUP(E860,E$1:E859,1,FALSE()))),"OLD",IF(AND(E860&lt;&gt;"",E860&lt;&gt;"!!!"),"NEW","")))</f>
        <v/>
      </c>
      <c r="G860" s="22" t="str">
        <f>IF(OR(E860="",E860="!!!"),"",IF(OR(J860=0,AND(J860=1,K860=1),AND(J860=1,I860="SBJ"),AND(J860=1,I860=0)),"?IN_FOCUS",IF(J860&lt;=2,"?ACTIVATED",IF(J860&lt;&gt;"","?FAMILIAR",IF(F860="NEW",IF(ISNA(VLOOKUP(E860,#REF!,1,FALSE())),"?TYPE_IDENTIFIABLE","?REFERENTIAL"),"_")))))</f>
        <v/>
      </c>
      <c r="H860" s="23" t="str">
        <f t="shared" ca="1" si="69"/>
        <v/>
      </c>
      <c r="I860" s="24" t="str">
        <f>IF(OR(E860="",E860="!!!",F860="NEW"),"",INDEX(B$2:B859,-1+SUMPRODUCT(MAX(ROW(E$2:E859)*(E860=E$2:E859)))))</f>
        <v/>
      </c>
      <c r="J860" s="24" t="str">
        <f ca="1">IF(OR(E860="",E860="!!!",F860="NEW"),"",COUNTBLANK(OFFSET(A$1,,,SUMPRODUCT(MAX(ROW(E$2:E860)*(E860=E$2:E860)))))-COUNTBLANK(OFFSET(A$1,,,SUMPRODUCT(MAX(ROW(E$1:E859)*(E2=E$1:E859))))))</f>
        <v/>
      </c>
      <c r="K860" s="24" t="str">
        <f>IF(OR(E860="",E860="!!!",F860="NEW"),"",INDEX(J$1:J859,SUMPRODUCT(MAX(ROW(E$1:E859)*(E860=E$1:E859)))))</f>
        <v/>
      </c>
      <c r="L860" s="25"/>
    </row>
    <row r="862" spans="1:12" x14ac:dyDescent="0.3">
      <c r="A862" t="s">
        <v>579</v>
      </c>
    </row>
    <row r="863" spans="1:12" x14ac:dyDescent="0.3">
      <c r="A863" t="s">
        <v>479</v>
      </c>
      <c r="E863" s="20" t="str">
        <f t="shared" ref="E863:E888" si="70">IF(D863="?OLD","!!!","")</f>
        <v/>
      </c>
      <c r="F863" s="21" t="str">
        <f>IF(OR(E863="",E863="!!!"),"",IF(NOT(ISNA(VLOOKUP(E863,E$1:E862,1,FALSE()))),"OLD",IF(AND(E863&lt;&gt;"",E863&lt;&gt;"!!!"),"NEW","")))</f>
        <v/>
      </c>
      <c r="G863" s="22" t="str">
        <f>IF(OR(E863="",E863="!!!"),"",IF(OR(J863=0,AND(J863=1,K863=1),AND(J863=1,I863="SBJ"),AND(J863=1,I863=0)),"?IN_FOCUS",IF(J863&lt;=2,"?ACTIVATED",IF(J863&lt;&gt;"","?FAMILIAR",IF(F863="NEW",IF(ISNA(VLOOKUP(E863,#REF!,1,FALSE())),"?TYPE_IDENTIFIABLE","?REFERENTIAL"),"_")))))</f>
        <v/>
      </c>
      <c r="H863" s="23" t="str">
        <f t="shared" ref="H863:H888" ca="1" si="71">IF(J863&lt;&gt;1,"",IF(I863="SBJ","CB","?"))</f>
        <v/>
      </c>
      <c r="I863" s="24" t="str">
        <f>IF(OR(E863="",E863="!!!",F863="NEW"),"",INDEX(B$2:B862,-1+SUMPRODUCT(MAX(ROW(E$2:E862)*(E863=E$2:E862)))))</f>
        <v/>
      </c>
      <c r="J863" s="24" t="str">
        <f ca="1">IF(OR(E863="",E863="!!!",F863="NEW"),"",COUNTBLANK(OFFSET(A$1,,,SUMPRODUCT(MAX(ROW(E$2:E863)*(E863=E$2:E863)))))-COUNTBLANK(OFFSET(A$1,,,SUMPRODUCT(MAX(ROW(E$1:E862)*(E2=E$1:E862))))))</f>
        <v/>
      </c>
      <c r="K863" s="24" t="str">
        <f>IF(OR(E863="",E863="!!!",F863="NEW"),"",INDEX(J$1:J862,SUMPRODUCT(MAX(ROW(E$1:E862)*(E863=E$1:E862)))))</f>
        <v/>
      </c>
      <c r="L863" s="25"/>
    </row>
    <row r="864" spans="1:12" x14ac:dyDescent="0.3">
      <c r="A864" t="s">
        <v>580</v>
      </c>
      <c r="E864" s="20" t="s">
        <v>672</v>
      </c>
      <c r="F864" s="21" t="str">
        <f>IF(OR(E864="",E864="!!!"),"",IF(NOT(ISNA(VLOOKUP(E864,E$1:E863,1,FALSE()))),"OLD",IF(AND(E864&lt;&gt;"",E864&lt;&gt;"!!!"),"NEW","")))</f>
        <v>OLD</v>
      </c>
      <c r="G864" s="22" t="s">
        <v>697</v>
      </c>
      <c r="H864" s="23" t="s">
        <v>158</v>
      </c>
      <c r="I864" s="24" t="str">
        <f>IF(OR(E864="",E864="!!!",F864="NEW"),"",INDEX(B$2:B863,-1+SUMPRODUCT(MAX(ROW(E$2:E863)*(E864=E$2:E863)))))</f>
        <v>other_2</v>
      </c>
      <c r="J864" s="24">
        <f ca="1">IF(OR(E864="",E864="!!!",F864="NEW"),"",COUNTBLANK(OFFSET(A$1,,,SUMPRODUCT(MAX(ROW(E$2:E864)*(E864=E$2:E864)))))-COUNTBLANK(OFFSET(A$1,,,SUMPRODUCT(MAX(ROW(E$1:E863)*(E2=E$1:E863))))))</f>
        <v>0</v>
      </c>
      <c r="K864" s="24" t="str">
        <f ca="1">IF(OR(E864="",E864="!!!",F864="NEW"),"",INDEX(J$1:J863,SUMPRODUCT(MAX(ROW(E$1:E863)*(E864=E$1:E863)))))</f>
        <v/>
      </c>
      <c r="L864" s="25"/>
    </row>
    <row r="865" spans="1:12" x14ac:dyDescent="0.3">
      <c r="A865" t="s">
        <v>581</v>
      </c>
      <c r="B865" s="26" t="s">
        <v>165</v>
      </c>
      <c r="C865" s="26" t="s">
        <v>224</v>
      </c>
      <c r="E865" s="20" t="s">
        <v>675</v>
      </c>
      <c r="F865" s="21" t="str">
        <f>IF(OR(E865="",E865="!!!"),"",IF(NOT(ISNA(VLOOKUP(E865,E$1:E864,1,FALSE()))),"OLD",IF(AND(E865&lt;&gt;"",E865&lt;&gt;"!!!"),"NEW","")))</f>
        <v>NEW</v>
      </c>
      <c r="G865" s="22" t="s">
        <v>699</v>
      </c>
      <c r="H865" s="23" t="str">
        <f t="shared" ca="1" si="71"/>
        <v/>
      </c>
      <c r="I865" s="24" t="str">
        <f>IF(OR(E865="",E865="!!!",F865="NEW"),"",INDEX(B$2:B864,-1+SUMPRODUCT(MAX(ROW(E$2:E864)*(E865=E$2:E864)))))</f>
        <v/>
      </c>
      <c r="J865" s="24" t="str">
        <f ca="1">IF(OR(E865="",E865="!!!",F865="NEW"),"",COUNTBLANK(OFFSET(A$1,,,SUMPRODUCT(MAX(ROW(E$2:E865)*(E865=E$2:E865)))))-COUNTBLANK(OFFSET(A$1,,,SUMPRODUCT(MAX(ROW(E$1:E864)*(E2=E$1:E864))))))</f>
        <v/>
      </c>
      <c r="K865" s="24" t="str">
        <f>IF(OR(E865="",E865="!!!",F865="NEW"),"",INDEX(J$1:J864,SUMPRODUCT(MAX(ROW(E$1:E864)*(E865=E$1:E864)))))</f>
        <v/>
      </c>
      <c r="L865" s="25"/>
    </row>
    <row r="866" spans="1:12" x14ac:dyDescent="0.3">
      <c r="A866" t="s">
        <v>582</v>
      </c>
      <c r="E866" s="20" t="str">
        <f t="shared" si="70"/>
        <v/>
      </c>
      <c r="F866" s="21" t="str">
        <f>IF(OR(E866="",E866="!!!"),"",IF(NOT(ISNA(VLOOKUP(E866,E$1:E865,1,FALSE()))),"OLD",IF(AND(E866&lt;&gt;"",E866&lt;&gt;"!!!"),"NEW","")))</f>
        <v/>
      </c>
      <c r="G866" s="22" t="str">
        <f>IF(OR(E866="",E866="!!!"),"",IF(OR(J866=0,AND(J866=1,K866=1),AND(J866=1,I866="SBJ"),AND(J866=1,I866=0)),"?IN_FOCUS",IF(J866&lt;=2,"?ACTIVATED",IF(J866&lt;&gt;"","?FAMILIAR",IF(F866="NEW",IF(ISNA(VLOOKUP(E866,#REF!,1,FALSE())),"?TYPE_IDENTIFIABLE","?REFERENTIAL"),"_")))))</f>
        <v/>
      </c>
      <c r="H866" s="23" t="str">
        <f t="shared" ca="1" si="71"/>
        <v/>
      </c>
      <c r="I866" s="24" t="str">
        <f>IF(OR(E866="",E866="!!!",F866="NEW"),"",INDEX(B$2:B865,-1+SUMPRODUCT(MAX(ROW(E$2:E865)*(E866=E$2:E865)))))</f>
        <v/>
      </c>
      <c r="J866" s="24" t="str">
        <f ca="1">IF(OR(E866="",E866="!!!",F866="NEW"),"",COUNTBLANK(OFFSET(A$1,,,SUMPRODUCT(MAX(ROW(E$2:E866)*(E866=E$2:E866)))))-COUNTBLANK(OFFSET(A$1,,,SUMPRODUCT(MAX(ROW(E$1:E865)*(E2=E$1:E865))))))</f>
        <v/>
      </c>
      <c r="K866" s="24" t="str">
        <f>IF(OR(E866="",E866="!!!",F866="NEW"),"",INDEX(J$1:J865,SUMPRODUCT(MAX(ROW(E$1:E865)*(E866=E$1:E865)))))</f>
        <v/>
      </c>
      <c r="L866" s="25"/>
    </row>
    <row r="867" spans="1:12" x14ac:dyDescent="0.3">
      <c r="A867" t="s">
        <v>347</v>
      </c>
      <c r="E867" s="20" t="str">
        <f t="shared" si="70"/>
        <v/>
      </c>
      <c r="F867" s="21" t="str">
        <f>IF(OR(E867="",E867="!!!"),"",IF(NOT(ISNA(VLOOKUP(E867,E$1:E866,1,FALSE()))),"OLD",IF(AND(E867&lt;&gt;"",E867&lt;&gt;"!!!"),"NEW","")))</f>
        <v/>
      </c>
      <c r="G867" s="22" t="str">
        <f>IF(OR(E867="",E867="!!!"),"",IF(OR(J867=0,AND(J867=1,K867=1),AND(J867=1,I867="SBJ"),AND(J867=1,I867=0)),"?IN_FOCUS",IF(J867&lt;=2,"?ACTIVATED",IF(J867&lt;&gt;"","?FAMILIAR",IF(F867="NEW",IF(ISNA(VLOOKUP(E867,#REF!,1,FALSE())),"?TYPE_IDENTIFIABLE","?REFERENTIAL"),"_")))))</f>
        <v/>
      </c>
      <c r="H867" s="23" t="str">
        <f t="shared" ca="1" si="71"/>
        <v/>
      </c>
      <c r="I867" s="24" t="str">
        <f>IF(OR(E867="",E867="!!!",F867="NEW"),"",INDEX(B$2:B866,-1+SUMPRODUCT(MAX(ROW(E$2:E866)*(E867=E$2:E866)))))</f>
        <v/>
      </c>
      <c r="J867" s="24" t="str">
        <f ca="1">IF(OR(E867="",E867="!!!",F867="NEW"),"",COUNTBLANK(OFFSET(A$1,,,SUMPRODUCT(MAX(ROW(E$2:E867)*(E867=E$2:E867)))))-COUNTBLANK(OFFSET(A$1,,,SUMPRODUCT(MAX(ROW(E$1:E866)*(E2=E$1:E866))))))</f>
        <v/>
      </c>
      <c r="K867" s="24" t="str">
        <f>IF(OR(E867="",E867="!!!",F867="NEW"),"",INDEX(J$1:J866,SUMPRODUCT(MAX(ROW(E$1:E866)*(E867=E$1:E866)))))</f>
        <v/>
      </c>
      <c r="L867" s="25"/>
    </row>
    <row r="868" spans="1:12" x14ac:dyDescent="0.3">
      <c r="A868" t="s">
        <v>583</v>
      </c>
      <c r="E868" s="20" t="str">
        <f t="shared" si="70"/>
        <v/>
      </c>
      <c r="F868" s="21" t="str">
        <f>IF(OR(E868="",E868="!!!"),"",IF(NOT(ISNA(VLOOKUP(E868,E$1:E867,1,FALSE()))),"OLD",IF(AND(E868&lt;&gt;"",E868&lt;&gt;"!!!"),"NEW","")))</f>
        <v/>
      </c>
      <c r="G868" s="22" t="str">
        <f>IF(OR(E868="",E868="!!!"),"",IF(OR(J868=0,AND(J868=1,K868=1),AND(J868=1,I868="SBJ"),AND(J868=1,I868=0)),"?IN_FOCUS",IF(J868&lt;=2,"?ACTIVATED",IF(J868&lt;&gt;"","?FAMILIAR",IF(F868="NEW",IF(ISNA(VLOOKUP(E868,#REF!,1,FALSE())),"?TYPE_IDENTIFIABLE","?REFERENTIAL"),"_")))))</f>
        <v/>
      </c>
      <c r="H868" s="23" t="str">
        <f t="shared" ca="1" si="71"/>
        <v/>
      </c>
      <c r="I868" s="24" t="str">
        <f>IF(OR(E868="",E868="!!!",F868="NEW"),"",INDEX(B$2:B867,-1+SUMPRODUCT(MAX(ROW(E$2:E867)*(E868=E$2:E867)))))</f>
        <v/>
      </c>
      <c r="J868" s="24" t="str">
        <f ca="1">IF(OR(E868="",E868="!!!",F868="NEW"),"",COUNTBLANK(OFFSET(A$1,,,SUMPRODUCT(MAX(ROW(E$2:E868)*(E868=E$2:E868)))))-COUNTBLANK(OFFSET(A$1,,,SUMPRODUCT(MAX(ROW(E$1:E867)*(E2=E$1:E867))))))</f>
        <v/>
      </c>
      <c r="K868" s="24" t="str">
        <f>IF(OR(E868="",E868="!!!",F868="NEW"),"",INDEX(J$1:J867,SUMPRODUCT(MAX(ROW(E$1:E867)*(E868=E$1:E867)))))</f>
        <v/>
      </c>
      <c r="L868" s="25"/>
    </row>
    <row r="869" spans="1:12" x14ac:dyDescent="0.3">
      <c r="A869" t="s">
        <v>339</v>
      </c>
      <c r="B869" s="26" t="s">
        <v>185</v>
      </c>
      <c r="C869" s="26" t="s">
        <v>258</v>
      </c>
      <c r="E869" s="20" t="str">
        <f t="shared" si="70"/>
        <v/>
      </c>
      <c r="F869" s="21" t="str">
        <f>IF(OR(E869="",E869="!!!"),"",IF(NOT(ISNA(VLOOKUP(E869,E$1:E868,1,FALSE()))),"OLD",IF(AND(E869&lt;&gt;"",E869&lt;&gt;"!!!"),"NEW","")))</f>
        <v/>
      </c>
      <c r="G869" s="22" t="str">
        <f>IF(OR(E869="",E869="!!!"),"",IF(OR(J869=0,AND(J869=1,K869=1),AND(J869=1,I869="SBJ"),AND(J869=1,I869=0)),"?IN_FOCUS",IF(J869&lt;=2,"?ACTIVATED",IF(J869&lt;&gt;"","?FAMILIAR",IF(F869="NEW",IF(ISNA(VLOOKUP(E869,#REF!,1,FALSE())),"?TYPE_IDENTIFIABLE","?REFERENTIAL"),"_")))))</f>
        <v/>
      </c>
      <c r="H869" s="23" t="str">
        <f t="shared" ca="1" si="71"/>
        <v/>
      </c>
      <c r="I869" s="24" t="str">
        <f>IF(OR(E869="",E869="!!!",F869="NEW"),"",INDEX(B$2:B868,-1+SUMPRODUCT(MAX(ROW(E$2:E868)*(E869=E$2:E868)))))</f>
        <v/>
      </c>
      <c r="J869" s="24" t="str">
        <f ca="1">IF(OR(E869="",E869="!!!",F869="NEW"),"",COUNTBLANK(OFFSET(A$1,,,SUMPRODUCT(MAX(ROW(E$2:E869)*(E869=E$2:E869)))))-COUNTBLANK(OFFSET(A$1,,,SUMPRODUCT(MAX(ROW(E$1:E868)*(E2=E$1:E868))))))</f>
        <v/>
      </c>
      <c r="K869" s="24" t="str">
        <f>IF(OR(E869="",E869="!!!",F869="NEW"),"",INDEX(J$1:J868,SUMPRODUCT(MAX(ROW(E$1:E868)*(E869=E$1:E868)))))</f>
        <v/>
      </c>
      <c r="L869" s="25"/>
    </row>
    <row r="870" spans="1:12" x14ac:dyDescent="0.3">
      <c r="A870" t="s">
        <v>196</v>
      </c>
      <c r="E870" s="20" t="str">
        <f t="shared" si="70"/>
        <v/>
      </c>
      <c r="F870" s="21" t="str">
        <f>IF(OR(E870="",E870="!!!"),"",IF(NOT(ISNA(VLOOKUP(E870,E$1:E869,1,FALSE()))),"OLD",IF(AND(E870&lt;&gt;"",E870&lt;&gt;"!!!"),"NEW","")))</f>
        <v/>
      </c>
      <c r="G870" s="22" t="str">
        <f>IF(OR(E870="",E870="!!!"),"",IF(OR(J870=0,AND(J870=1,K870=1),AND(J870=1,I870="SBJ"),AND(J870=1,I870=0)),"?IN_FOCUS",IF(J870&lt;=2,"?ACTIVATED",IF(J870&lt;&gt;"","?FAMILIAR",IF(F870="NEW",IF(ISNA(VLOOKUP(E870,#REF!,1,FALSE())),"?TYPE_IDENTIFIABLE","?REFERENTIAL"),"_")))))</f>
        <v/>
      </c>
      <c r="H870" s="23" t="str">
        <f t="shared" ca="1" si="71"/>
        <v/>
      </c>
      <c r="I870" s="24" t="str">
        <f>IF(OR(E870="",E870="!!!",F870="NEW"),"",INDEX(B$2:B869,-1+SUMPRODUCT(MAX(ROW(E$2:E869)*(E870=E$2:E869)))))</f>
        <v/>
      </c>
      <c r="J870" s="24" t="str">
        <f ca="1">IF(OR(E870="",E870="!!!",F870="NEW"),"",COUNTBLANK(OFFSET(A$1,,,SUMPRODUCT(MAX(ROW(E$2:E870)*(E870=E$2:E870)))))-COUNTBLANK(OFFSET(A$1,,,SUMPRODUCT(MAX(ROW(E$1:E869)*(E2=E$1:E869))))))</f>
        <v/>
      </c>
      <c r="K870" s="24" t="str">
        <f>IF(OR(E870="",E870="!!!",F870="NEW"),"",INDEX(J$1:J869,SUMPRODUCT(MAX(ROW(E$1:E869)*(E870=E$1:E869)))))</f>
        <v/>
      </c>
      <c r="L870" s="25"/>
    </row>
    <row r="871" spans="1:12" x14ac:dyDescent="0.3">
      <c r="A871" t="s">
        <v>197</v>
      </c>
      <c r="E871" s="20" t="str">
        <f t="shared" si="70"/>
        <v/>
      </c>
      <c r="F871" s="21" t="str">
        <f>IF(OR(E871="",E871="!!!"),"",IF(NOT(ISNA(VLOOKUP(E871,E$1:E870,1,FALSE()))),"OLD",IF(AND(E871&lt;&gt;"",E871&lt;&gt;"!!!"),"NEW","")))</f>
        <v/>
      </c>
      <c r="G871" s="22" t="str">
        <f>IF(OR(E871="",E871="!!!"),"",IF(OR(J871=0,AND(J871=1,K871=1),AND(J871=1,I871="SBJ"),AND(J871=1,I871=0)),"?IN_FOCUS",IF(J871&lt;=2,"?ACTIVATED",IF(J871&lt;&gt;"","?FAMILIAR",IF(F871="NEW",IF(ISNA(VLOOKUP(E871,#REF!,1,FALSE())),"?TYPE_IDENTIFIABLE","?REFERENTIAL"),"_")))))</f>
        <v/>
      </c>
      <c r="H871" s="23" t="str">
        <f t="shared" ca="1" si="71"/>
        <v/>
      </c>
      <c r="I871" s="24" t="str">
        <f>IF(OR(E871="",E871="!!!",F871="NEW"),"",INDEX(B$2:B870,-1+SUMPRODUCT(MAX(ROW(E$2:E870)*(E871=E$2:E870)))))</f>
        <v/>
      </c>
      <c r="J871" s="24" t="str">
        <f ca="1">IF(OR(E871="",E871="!!!",F871="NEW"),"",COUNTBLANK(OFFSET(A$1,,,SUMPRODUCT(MAX(ROW(E$2:E871)*(E871=E$2:E871)))))-COUNTBLANK(OFFSET(A$1,,,SUMPRODUCT(MAX(ROW(E$1:E870)*(E2=E$1:E870))))))</f>
        <v/>
      </c>
      <c r="K871" s="24" t="str">
        <f>IF(OR(E871="",E871="!!!",F871="NEW"),"",INDEX(J$1:J870,SUMPRODUCT(MAX(ROW(E$1:E870)*(E871=E$1:E870)))))</f>
        <v/>
      </c>
      <c r="L871" s="25"/>
    </row>
    <row r="872" spans="1:12" x14ac:dyDescent="0.3">
      <c r="A872" t="s">
        <v>584</v>
      </c>
      <c r="B872" s="26" t="s">
        <v>189</v>
      </c>
      <c r="C872" s="26" t="s">
        <v>180</v>
      </c>
      <c r="D872" s="26" t="s">
        <v>181</v>
      </c>
      <c r="E872" s="20" t="s">
        <v>676</v>
      </c>
      <c r="F872" s="21" t="s">
        <v>608</v>
      </c>
      <c r="G872" s="22"/>
      <c r="H872" s="23" t="str">
        <f t="shared" ca="1" si="71"/>
        <v/>
      </c>
      <c r="I872" s="24" t="e">
        <f>IF(OR(E872="",E872="!!!",F872="NEW"),"",INDEX(B$2:B871,-1+SUMPRODUCT(MAX(ROW(E$2:E871)*(E872=E$2:E871)))))</f>
        <v>#VALUE!</v>
      </c>
      <c r="J872" s="24">
        <f ca="1">IF(OR(E872="",E872="!!!",F872="NEW"),"",COUNTBLANK(OFFSET(A$1,,,SUMPRODUCT(MAX(ROW(E$2:E872)*(E872=E$2:E872)))))-COUNTBLANK(OFFSET(A$1,,,SUMPRODUCT(MAX(ROW(E$1:E871)*(E2=E$1:E871))))))</f>
        <v>0</v>
      </c>
      <c r="K872" s="24" t="e">
        <f>IF(OR(E872="",E872="!!!",F872="NEW"),"",INDEX(J$1:J871,SUMPRODUCT(MAX(ROW(E$1:E871)*(E872=E$1:E871)))))</f>
        <v>#VALUE!</v>
      </c>
      <c r="L872" s="25"/>
    </row>
    <row r="873" spans="1:12" x14ac:dyDescent="0.3">
      <c r="A873" t="s">
        <v>406</v>
      </c>
      <c r="E873" s="20" t="str">
        <f t="shared" si="70"/>
        <v/>
      </c>
      <c r="F873" s="21" t="str">
        <f>IF(OR(E873="",E873="!!!"),"",IF(NOT(ISNA(VLOOKUP(E873,E$1:E872,1,FALSE()))),"OLD",IF(AND(E873&lt;&gt;"",E873&lt;&gt;"!!!"),"NEW","")))</f>
        <v/>
      </c>
      <c r="G873" s="22" t="str">
        <f>IF(OR(E873="",E873="!!!"),"",IF(OR(J873=0,AND(J873=1,K873=1),AND(J873=1,I873="SBJ"),AND(J873=1,I873=0)),"?IN_FOCUS",IF(J873&lt;=2,"?ACTIVATED",IF(J873&lt;&gt;"","?FAMILIAR",IF(F873="NEW",IF(ISNA(VLOOKUP(E873,#REF!,1,FALSE())),"?TYPE_IDENTIFIABLE","?REFERENTIAL"),"_")))))</f>
        <v/>
      </c>
      <c r="H873" s="23" t="str">
        <f t="shared" ca="1" si="71"/>
        <v/>
      </c>
      <c r="I873" s="24" t="str">
        <f>IF(OR(E873="",E873="!!!",F873="NEW"),"",INDEX(B$2:B872,-1+SUMPRODUCT(MAX(ROW(E$2:E872)*(E873=E$2:E872)))))</f>
        <v/>
      </c>
      <c r="J873" s="24" t="str">
        <f ca="1">IF(OR(E873="",E873="!!!",F873="NEW"),"",COUNTBLANK(OFFSET(A$1,,,SUMPRODUCT(MAX(ROW(E$2:E873)*(E873=E$2:E873)))))-COUNTBLANK(OFFSET(A$1,,,SUMPRODUCT(MAX(ROW(E$1:E872)*(E2=E$1:E872))))))</f>
        <v/>
      </c>
      <c r="K873" s="24" t="str">
        <f>IF(OR(E873="",E873="!!!",F873="NEW"),"",INDEX(J$1:J872,SUMPRODUCT(MAX(ROW(E$1:E872)*(E873=E$1:E872)))))</f>
        <v/>
      </c>
      <c r="L873" s="25"/>
    </row>
    <row r="874" spans="1:12" x14ac:dyDescent="0.3">
      <c r="A874" t="s">
        <v>520</v>
      </c>
      <c r="E874" s="20" t="str">
        <f t="shared" si="70"/>
        <v/>
      </c>
      <c r="F874" s="21" t="str">
        <f>IF(OR(E874="",E874="!!!"),"",IF(NOT(ISNA(VLOOKUP(E874,E$1:E873,1,FALSE()))),"OLD",IF(AND(E874&lt;&gt;"",E874&lt;&gt;"!!!"),"NEW","")))</f>
        <v/>
      </c>
      <c r="G874" s="22" t="str">
        <f>IF(OR(E874="",E874="!!!"),"",IF(OR(J874=0,AND(J874=1,K874=1),AND(J874=1,I874="SBJ"),AND(J874=1,I874=0)),"?IN_FOCUS",IF(J874&lt;=2,"?ACTIVATED",IF(J874&lt;&gt;"","?FAMILIAR",IF(F874="NEW",IF(ISNA(VLOOKUP(E874,#REF!,1,FALSE())),"?TYPE_IDENTIFIABLE","?REFERENTIAL"),"_")))))</f>
        <v/>
      </c>
      <c r="H874" s="23" t="str">
        <f t="shared" ca="1" si="71"/>
        <v/>
      </c>
      <c r="I874" s="24" t="str">
        <f>IF(OR(E874="",E874="!!!",F874="NEW"),"",INDEX(B$2:B873,-1+SUMPRODUCT(MAX(ROW(E$2:E873)*(E874=E$2:E873)))))</f>
        <v/>
      </c>
      <c r="J874" s="24" t="str">
        <f ca="1">IF(OR(E874="",E874="!!!",F874="NEW"),"",COUNTBLANK(OFFSET(A$1,,,SUMPRODUCT(MAX(ROW(E$2:E874)*(E874=E$2:E874)))))-COUNTBLANK(OFFSET(A$1,,,SUMPRODUCT(MAX(ROW(E$1:E873)*(E2=E$1:E873))))))</f>
        <v/>
      </c>
      <c r="K874" s="24" t="str">
        <f>IF(OR(E874="",E874="!!!",F874="NEW"),"",INDEX(J$1:J873,SUMPRODUCT(MAX(ROW(E$1:E873)*(E874=E$1:E873)))))</f>
        <v/>
      </c>
      <c r="L874" s="25"/>
    </row>
    <row r="875" spans="1:12" x14ac:dyDescent="0.3">
      <c r="A875" t="s">
        <v>585</v>
      </c>
      <c r="E875" s="20" t="str">
        <f t="shared" si="70"/>
        <v/>
      </c>
      <c r="F875" s="21" t="str">
        <f>IF(OR(E875="",E875="!!!"),"",IF(NOT(ISNA(VLOOKUP(E875,E$1:E874,1,FALSE()))),"OLD",IF(AND(E875&lt;&gt;"",E875&lt;&gt;"!!!"),"NEW","")))</f>
        <v/>
      </c>
      <c r="G875" s="22" t="str">
        <f>IF(OR(E875="",E875="!!!"),"",IF(OR(J875=0,AND(J875=1,K875=1),AND(J875=1,I875="SBJ"),AND(J875=1,I875=0)),"?IN_FOCUS",IF(J875&lt;=2,"?ACTIVATED",IF(J875&lt;&gt;"","?FAMILIAR",IF(F875="NEW",IF(ISNA(VLOOKUP(E875,#REF!,1,FALSE())),"?TYPE_IDENTIFIABLE","?REFERENTIAL"),"_")))))</f>
        <v/>
      </c>
      <c r="H875" s="23" t="str">
        <f t="shared" ca="1" si="71"/>
        <v/>
      </c>
      <c r="I875" s="24" t="str">
        <f>IF(OR(E875="",E875="!!!",F875="NEW"),"",INDEX(B$2:B874,-1+SUMPRODUCT(MAX(ROW(E$2:E874)*(E875=E$2:E874)))))</f>
        <v/>
      </c>
      <c r="J875" s="24" t="str">
        <f ca="1">IF(OR(E875="",E875="!!!",F875="NEW"),"",COUNTBLANK(OFFSET(A$1,,,SUMPRODUCT(MAX(ROW(E$2:E875)*(E875=E$2:E875)))))-COUNTBLANK(OFFSET(A$1,,,SUMPRODUCT(MAX(ROW(E$1:E874)*(E2=E$1:E874))))))</f>
        <v/>
      </c>
      <c r="K875" s="24" t="str">
        <f>IF(OR(E875="",E875="!!!",F875="NEW"),"",INDEX(J$1:J874,SUMPRODUCT(MAX(ROW(E$1:E874)*(E875=E$1:E874)))))</f>
        <v/>
      </c>
      <c r="L875" s="25"/>
    </row>
    <row r="876" spans="1:12" x14ac:dyDescent="0.3">
      <c r="A876" t="s">
        <v>586</v>
      </c>
      <c r="E876" s="20" t="str">
        <f t="shared" si="70"/>
        <v/>
      </c>
      <c r="F876" s="21" t="str">
        <f>IF(OR(E876="",E876="!!!"),"",IF(NOT(ISNA(VLOOKUP(E876,E$1:E875,1,FALSE()))),"OLD",IF(AND(E876&lt;&gt;"",E876&lt;&gt;"!!!"),"NEW","")))</f>
        <v/>
      </c>
      <c r="G876" s="22" t="str">
        <f>IF(OR(E876="",E876="!!!"),"",IF(OR(J876=0,AND(J876=1,K876=1),AND(J876=1,I876="SBJ"),AND(J876=1,I876=0)),"?IN_FOCUS",IF(J876&lt;=2,"?ACTIVATED",IF(J876&lt;&gt;"","?FAMILIAR",IF(F876="NEW",IF(ISNA(VLOOKUP(E876,#REF!,1,FALSE())),"?TYPE_IDENTIFIABLE","?REFERENTIAL"),"_")))))</f>
        <v/>
      </c>
      <c r="H876" s="23" t="str">
        <f t="shared" ca="1" si="71"/>
        <v/>
      </c>
      <c r="I876" s="24" t="str">
        <f>IF(OR(E876="",E876="!!!",F876="NEW"),"",INDEX(B$2:B875,-1+SUMPRODUCT(MAX(ROW(E$2:E875)*(E876=E$2:E875)))))</f>
        <v/>
      </c>
      <c r="J876" s="24" t="str">
        <f ca="1">IF(OR(E876="",E876="!!!",F876="NEW"),"",COUNTBLANK(OFFSET(A$1,,,SUMPRODUCT(MAX(ROW(E$2:E876)*(E876=E$2:E876)))))-COUNTBLANK(OFFSET(A$1,,,SUMPRODUCT(MAX(ROW(E$1:E875)*(E2=E$1:E875))))))</f>
        <v/>
      </c>
      <c r="K876" s="24" t="str">
        <f>IF(OR(E876="",E876="!!!",F876="NEW"),"",INDEX(J$1:J875,SUMPRODUCT(MAX(ROW(E$1:E875)*(E876=E$1:E875)))))</f>
        <v/>
      </c>
      <c r="L876" s="25"/>
    </row>
    <row r="877" spans="1:12" x14ac:dyDescent="0.3">
      <c r="A877" t="s">
        <v>391</v>
      </c>
      <c r="E877" s="20" t="str">
        <f t="shared" si="70"/>
        <v/>
      </c>
      <c r="F877" s="21" t="str">
        <f>IF(OR(E877="",E877="!!!"),"",IF(NOT(ISNA(VLOOKUP(E877,E$1:E876,1,FALSE()))),"OLD",IF(AND(E877&lt;&gt;"",E877&lt;&gt;"!!!"),"NEW","")))</f>
        <v/>
      </c>
      <c r="G877" s="22" t="str">
        <f>IF(OR(E877="",E877="!!!"),"",IF(OR(J877=0,AND(J877=1,K877=1),AND(J877=1,I877="SBJ"),AND(J877=1,I877=0)),"?IN_FOCUS",IF(J877&lt;=2,"?ACTIVATED",IF(J877&lt;&gt;"","?FAMILIAR",IF(F877="NEW",IF(ISNA(VLOOKUP(E877,#REF!,1,FALSE())),"?TYPE_IDENTIFIABLE","?REFERENTIAL"),"_")))))</f>
        <v/>
      </c>
      <c r="H877" s="23" t="str">
        <f t="shared" ca="1" si="71"/>
        <v/>
      </c>
      <c r="I877" s="24" t="str">
        <f>IF(OR(E877="",E877="!!!",F877="NEW"),"",INDEX(B$2:B876,-1+SUMPRODUCT(MAX(ROW(E$2:E876)*(E877=E$2:E876)))))</f>
        <v/>
      </c>
      <c r="J877" s="24" t="str">
        <f ca="1">IF(OR(E877="",E877="!!!",F877="NEW"),"",COUNTBLANK(OFFSET(A$1,,,SUMPRODUCT(MAX(ROW(E$2:E877)*(E877=E$2:E877)))))-COUNTBLANK(OFFSET(A$1,,,SUMPRODUCT(MAX(ROW(E$1:E876)*(E2=E$1:E876))))))</f>
        <v/>
      </c>
      <c r="K877" s="24" t="str">
        <f>IF(OR(E877="",E877="!!!",F877="NEW"),"",INDEX(J$1:J876,SUMPRODUCT(MAX(ROW(E$1:E876)*(E877=E$1:E876)))))</f>
        <v/>
      </c>
      <c r="L877" s="25"/>
    </row>
    <row r="878" spans="1:12" x14ac:dyDescent="0.3">
      <c r="A878" t="s">
        <v>167</v>
      </c>
      <c r="E878" s="20" t="str">
        <f t="shared" si="70"/>
        <v/>
      </c>
      <c r="F878" s="21" t="str">
        <f>IF(OR(E878="",E878="!!!"),"",IF(NOT(ISNA(VLOOKUP(E878,E$1:E877,1,FALSE()))),"OLD",IF(AND(E878&lt;&gt;"",E878&lt;&gt;"!!!"),"NEW","")))</f>
        <v/>
      </c>
      <c r="G878" s="22" t="str">
        <f>IF(OR(E878="",E878="!!!"),"",IF(OR(J878=0,AND(J878=1,K878=1),AND(J878=1,I878="SBJ"),AND(J878=1,I878=0)),"?IN_FOCUS",IF(J878&lt;=2,"?ACTIVATED",IF(J878&lt;&gt;"","?FAMILIAR",IF(F878="NEW",IF(ISNA(VLOOKUP(E878,#REF!,1,FALSE())),"?TYPE_IDENTIFIABLE","?REFERENTIAL"),"_")))))</f>
        <v/>
      </c>
      <c r="H878" s="23" t="str">
        <f t="shared" ca="1" si="71"/>
        <v/>
      </c>
      <c r="I878" s="24" t="str">
        <f>IF(OR(E878="",E878="!!!",F878="NEW"),"",INDEX(B$2:B877,-1+SUMPRODUCT(MAX(ROW(E$2:E877)*(E878=E$2:E877)))))</f>
        <v/>
      </c>
      <c r="J878" s="24" t="str">
        <f ca="1">IF(OR(E878="",E878="!!!",F878="NEW"),"",COUNTBLANK(OFFSET(A$1,,,SUMPRODUCT(MAX(ROW(E$2:E878)*(E878=E$2:E878)))))-COUNTBLANK(OFFSET(A$1,,,SUMPRODUCT(MAX(ROW(E$1:E877)*(E2=E$1:E877))))))</f>
        <v/>
      </c>
      <c r="K878" s="24" t="str">
        <f>IF(OR(E878="",E878="!!!",F878="NEW"),"",INDEX(J$1:J877,SUMPRODUCT(MAX(ROW(E$1:E877)*(E878=E$1:E877)))))</f>
        <v/>
      </c>
      <c r="L878" s="25"/>
    </row>
    <row r="879" spans="1:12" x14ac:dyDescent="0.3">
      <c r="A879" t="s">
        <v>587</v>
      </c>
      <c r="E879" s="20" t="str">
        <f t="shared" si="70"/>
        <v/>
      </c>
      <c r="F879" s="21" t="str">
        <f>IF(OR(E879="",E879="!!!"),"",IF(NOT(ISNA(VLOOKUP(E879,E$1:E878,1,FALSE()))),"OLD",IF(AND(E879&lt;&gt;"",E879&lt;&gt;"!!!"),"NEW","")))</f>
        <v/>
      </c>
      <c r="G879" s="22" t="str">
        <f>IF(OR(E879="",E879="!!!"),"",IF(OR(J879=0,AND(J879=1,K879=1),AND(J879=1,I879="SBJ"),AND(J879=1,I879=0)),"?IN_FOCUS",IF(J879&lt;=2,"?ACTIVATED",IF(J879&lt;&gt;"","?FAMILIAR",IF(F879="NEW",IF(ISNA(VLOOKUP(E879,#REF!,1,FALSE())),"?TYPE_IDENTIFIABLE","?REFERENTIAL"),"_")))))</f>
        <v/>
      </c>
      <c r="H879" s="23" t="str">
        <f t="shared" ca="1" si="71"/>
        <v/>
      </c>
      <c r="I879" s="24" t="str">
        <f>IF(OR(E879="",E879="!!!",F879="NEW"),"",INDEX(B$2:B878,-1+SUMPRODUCT(MAX(ROW(E$2:E878)*(E879=E$2:E878)))))</f>
        <v/>
      </c>
      <c r="J879" s="24" t="str">
        <f ca="1">IF(OR(E879="",E879="!!!",F879="NEW"),"",COUNTBLANK(OFFSET(A$1,,,SUMPRODUCT(MAX(ROW(E$2:E879)*(E879=E$2:E879)))))-COUNTBLANK(OFFSET(A$1,,,SUMPRODUCT(MAX(ROW(E$1:E878)*(E2=E$1:E878))))))</f>
        <v/>
      </c>
      <c r="K879" s="24" t="str">
        <f>IF(OR(E879="",E879="!!!",F879="NEW"),"",INDEX(J$1:J878,SUMPRODUCT(MAX(ROW(E$1:E878)*(E879=E$1:E878)))))</f>
        <v/>
      </c>
      <c r="L879" s="25"/>
    </row>
    <row r="880" spans="1:12" x14ac:dyDescent="0.3">
      <c r="A880" t="s">
        <v>196</v>
      </c>
      <c r="E880" s="20" t="str">
        <f t="shared" si="70"/>
        <v/>
      </c>
      <c r="F880" s="21" t="str">
        <f>IF(OR(E880="",E880="!!!"),"",IF(NOT(ISNA(VLOOKUP(E880,E$1:E879,1,FALSE()))),"OLD",IF(AND(E880&lt;&gt;"",E880&lt;&gt;"!!!"),"NEW","")))</f>
        <v/>
      </c>
      <c r="G880" s="22" t="str">
        <f>IF(OR(E880="",E880="!!!"),"",IF(OR(J880=0,AND(J880=1,K880=1),AND(J880=1,I880="SBJ"),AND(J880=1,I880=0)),"?IN_FOCUS",IF(J880&lt;=2,"?ACTIVATED",IF(J880&lt;&gt;"","?FAMILIAR",IF(F880="NEW",IF(ISNA(VLOOKUP(E880,#REF!,1,FALSE())),"?TYPE_IDENTIFIABLE","?REFERENTIAL"),"_")))))</f>
        <v/>
      </c>
      <c r="H880" s="23" t="str">
        <f t="shared" ca="1" si="71"/>
        <v/>
      </c>
      <c r="I880" s="24" t="str">
        <f>IF(OR(E880="",E880="!!!",F880="NEW"),"",INDEX(B$2:B879,-1+SUMPRODUCT(MAX(ROW(E$2:E879)*(E880=E$2:E879)))))</f>
        <v/>
      </c>
      <c r="J880" s="24" t="str">
        <f ca="1">IF(OR(E880="",E880="!!!",F880="NEW"),"",COUNTBLANK(OFFSET(A$1,,,SUMPRODUCT(MAX(ROW(E$2:E880)*(E880=E$2:E880)))))-COUNTBLANK(OFFSET(A$1,,,SUMPRODUCT(MAX(ROW(E$1:E879)*(E2=E$1:E879))))))</f>
        <v/>
      </c>
      <c r="K880" s="24" t="str">
        <f>IF(OR(E880="",E880="!!!",F880="NEW"),"",INDEX(J$1:J879,SUMPRODUCT(MAX(ROW(E$1:E879)*(E880=E$1:E879)))))</f>
        <v/>
      </c>
      <c r="L880" s="25"/>
    </row>
    <row r="881" spans="1:12" x14ac:dyDescent="0.3">
      <c r="A881" t="s">
        <v>197</v>
      </c>
      <c r="E881" s="20" t="str">
        <f t="shared" si="70"/>
        <v/>
      </c>
      <c r="F881" s="21" t="str">
        <f>IF(OR(E881="",E881="!!!"),"",IF(NOT(ISNA(VLOOKUP(E881,E$1:E880,1,FALSE()))),"OLD",IF(AND(E881&lt;&gt;"",E881&lt;&gt;"!!!"),"NEW","")))</f>
        <v/>
      </c>
      <c r="G881" s="22" t="str">
        <f>IF(OR(E881="",E881="!!!"),"",IF(OR(J881=0,AND(J881=1,K881=1),AND(J881=1,I881="SBJ"),AND(J881=1,I881=0)),"?IN_FOCUS",IF(J881&lt;=2,"?ACTIVATED",IF(J881&lt;&gt;"","?FAMILIAR",IF(F881="NEW",IF(ISNA(VLOOKUP(E881,#REF!,1,FALSE())),"?TYPE_IDENTIFIABLE","?REFERENTIAL"),"_")))))</f>
        <v/>
      </c>
      <c r="H881" s="23" t="str">
        <f t="shared" ca="1" si="71"/>
        <v/>
      </c>
      <c r="I881" s="24" t="str">
        <f>IF(OR(E881="",E881="!!!",F881="NEW"),"",INDEX(B$2:B880,-1+SUMPRODUCT(MAX(ROW(E$2:E880)*(E881=E$2:E880)))))</f>
        <v/>
      </c>
      <c r="J881" s="24" t="str">
        <f ca="1">IF(OR(E881="",E881="!!!",F881="NEW"),"",COUNTBLANK(OFFSET(A$1,,,SUMPRODUCT(MAX(ROW(E$2:E881)*(E881=E$2:E881)))))-COUNTBLANK(OFFSET(A$1,,,SUMPRODUCT(MAX(ROW(E$1:E880)*(E2=E$1:E880))))))</f>
        <v/>
      </c>
      <c r="K881" s="24" t="str">
        <f>IF(OR(E881="",E881="!!!",F881="NEW"),"",INDEX(J$1:J880,SUMPRODUCT(MAX(ROW(E$1:E880)*(E881=E$1:E880)))))</f>
        <v/>
      </c>
      <c r="L881" s="25"/>
    </row>
    <row r="882" spans="1:12" x14ac:dyDescent="0.3">
      <c r="A882" t="s">
        <v>198</v>
      </c>
      <c r="B882" s="26" t="s">
        <v>189</v>
      </c>
      <c r="C882" s="26" t="s">
        <v>194</v>
      </c>
      <c r="D882" s="26" t="s">
        <v>181</v>
      </c>
      <c r="E882" s="20" t="s">
        <v>609</v>
      </c>
      <c r="F882" s="21" t="str">
        <f>IF(OR(E882="",E882="!!!"),"",IF(NOT(ISNA(VLOOKUP(E882,E$1:E881,1,FALSE()))),"OLD",IF(AND(E882&lt;&gt;"",E882&lt;&gt;"!!!"),"NEW","")))</f>
        <v>OLD</v>
      </c>
      <c r="G882" s="22" t="s">
        <v>696</v>
      </c>
      <c r="H882" s="23" t="str">
        <f t="shared" ca="1" si="71"/>
        <v/>
      </c>
      <c r="I882" s="24" t="str">
        <f>IF(OR(E882="",E882="!!!",F882="NEW"),"",INDEX(B$2:B881,-1+SUMPRODUCT(MAX(ROW(E$2:E881)*(E882=E$2:E881)))))</f>
        <v>other</v>
      </c>
      <c r="J882" s="24">
        <f ca="1">IF(OR(E882="",E882="!!!",F882="NEW"),"",COUNTBLANK(OFFSET(A$1,,,SUMPRODUCT(MAX(ROW(E$2:E882)*(E882=E$2:E882)))))-COUNTBLANK(OFFSET(A$1,,,SUMPRODUCT(MAX(ROW(E$1:E881)*(E2=E$1:E881))))))</f>
        <v>0</v>
      </c>
      <c r="K882" s="24">
        <f ca="1">IF(OR(E882="",E882="!!!",F882="NEW"),"",INDEX(J$1:J881,SUMPRODUCT(MAX(ROW(E$1:E881)*(E882=E$1:E881)))))</f>
        <v>0</v>
      </c>
      <c r="L882" s="25"/>
    </row>
    <row r="883" spans="1:12" x14ac:dyDescent="0.3">
      <c r="A883" t="s">
        <v>398</v>
      </c>
      <c r="E883" s="20" t="str">
        <f t="shared" si="70"/>
        <v/>
      </c>
      <c r="F883" s="21" t="str">
        <f>IF(OR(E883="",E883="!!!"),"",IF(NOT(ISNA(VLOOKUP(E883,E$1:E882,1,FALSE()))),"OLD",IF(AND(E883&lt;&gt;"",E883&lt;&gt;"!!!"),"NEW","")))</f>
        <v/>
      </c>
      <c r="G883" s="22" t="str">
        <f>IF(OR(E883="",E883="!!!"),"",IF(OR(J883=0,AND(J883=1,K883=1),AND(J883=1,I883="SBJ"),AND(J883=1,I883=0)),"?IN_FOCUS",IF(J883&lt;=2,"?ACTIVATED",IF(J883&lt;&gt;"","?FAMILIAR",IF(F883="NEW",IF(ISNA(VLOOKUP(E883,#REF!,1,FALSE())),"?TYPE_IDENTIFIABLE","?REFERENTIAL"),"_")))))</f>
        <v/>
      </c>
      <c r="H883" s="23" t="str">
        <f t="shared" ca="1" si="71"/>
        <v/>
      </c>
      <c r="I883" s="24" t="str">
        <f>IF(OR(E883="",E883="!!!",F883="NEW"),"",INDEX(B$2:B882,-1+SUMPRODUCT(MAX(ROW(E$2:E882)*(E883=E$2:E882)))))</f>
        <v/>
      </c>
      <c r="J883" s="24" t="str">
        <f ca="1">IF(OR(E883="",E883="!!!",F883="NEW"),"",COUNTBLANK(OFFSET(A$1,,,SUMPRODUCT(MAX(ROW(E$2:E883)*(E883=E$2:E883)))))-COUNTBLANK(OFFSET(A$1,,,SUMPRODUCT(MAX(ROW(E$1:E882)*(E2=E$1:E882))))))</f>
        <v/>
      </c>
      <c r="K883" s="24" t="str">
        <f>IF(OR(E883="",E883="!!!",F883="NEW"),"",INDEX(J$1:J882,SUMPRODUCT(MAX(ROW(E$1:E882)*(E883=E$1:E882)))))</f>
        <v/>
      </c>
      <c r="L883" s="25"/>
    </row>
    <row r="884" spans="1:12" x14ac:dyDescent="0.3">
      <c r="A884" t="s">
        <v>291</v>
      </c>
      <c r="E884" s="20" t="str">
        <f t="shared" si="70"/>
        <v/>
      </c>
      <c r="F884" s="21" t="str">
        <f>IF(OR(E884="",E884="!!!"),"",IF(NOT(ISNA(VLOOKUP(E884,E$1:E883,1,FALSE()))),"OLD",IF(AND(E884&lt;&gt;"",E884&lt;&gt;"!!!"),"NEW","")))</f>
        <v/>
      </c>
      <c r="G884" s="22" t="str">
        <f>IF(OR(E884="",E884="!!!"),"",IF(OR(J884=0,AND(J884=1,K884=1),AND(J884=1,I884="SBJ"),AND(J884=1,I884=0)),"?IN_FOCUS",IF(J884&lt;=2,"?ACTIVATED",IF(J884&lt;&gt;"","?FAMILIAR",IF(F884="NEW",IF(ISNA(VLOOKUP(E884,#REF!,1,FALSE())),"?TYPE_IDENTIFIABLE","?REFERENTIAL"),"_")))))</f>
        <v/>
      </c>
      <c r="H884" s="23" t="str">
        <f t="shared" ca="1" si="71"/>
        <v/>
      </c>
      <c r="I884" s="24" t="str">
        <f>IF(OR(E884="",E884="!!!",F884="NEW"),"",INDEX(B$2:B883,-1+SUMPRODUCT(MAX(ROW(E$2:E883)*(E884=E$2:E883)))))</f>
        <v/>
      </c>
      <c r="J884" s="24" t="str">
        <f ca="1">IF(OR(E884="",E884="!!!",F884="NEW"),"",COUNTBLANK(OFFSET(A$1,,,SUMPRODUCT(MAX(ROW(E$2:E884)*(E884=E$2:E884)))))-COUNTBLANK(OFFSET(A$1,,,SUMPRODUCT(MAX(ROW(E$1:E883)*(E2=E$1:E883))))))</f>
        <v/>
      </c>
      <c r="K884" s="24" t="str">
        <f>IF(OR(E884="",E884="!!!",F884="NEW"),"",INDEX(J$1:J883,SUMPRODUCT(MAX(ROW(E$1:E883)*(E884=E$1:E883)))))</f>
        <v/>
      </c>
      <c r="L884" s="25"/>
    </row>
    <row r="885" spans="1:12" x14ac:dyDescent="0.3">
      <c r="A885" t="s">
        <v>519</v>
      </c>
      <c r="E885" s="20" t="str">
        <f t="shared" si="70"/>
        <v/>
      </c>
      <c r="F885" s="21" t="str">
        <f>IF(OR(E885="",E885="!!!"),"",IF(NOT(ISNA(VLOOKUP(E885,E$1:E884,1,FALSE()))),"OLD",IF(AND(E885&lt;&gt;"",E885&lt;&gt;"!!!"),"NEW","")))</f>
        <v/>
      </c>
      <c r="G885" s="22" t="str">
        <f>IF(OR(E885="",E885="!!!"),"",IF(OR(J885=0,AND(J885=1,K885=1),AND(J885=1,I885="SBJ"),AND(J885=1,I885=0)),"?IN_FOCUS",IF(J885&lt;=2,"?ACTIVATED",IF(J885&lt;&gt;"","?FAMILIAR",IF(F885="NEW",IF(ISNA(VLOOKUP(E885,#REF!,1,FALSE())),"?TYPE_IDENTIFIABLE","?REFERENTIAL"),"_")))))</f>
        <v/>
      </c>
      <c r="H885" s="23" t="str">
        <f t="shared" ca="1" si="71"/>
        <v/>
      </c>
      <c r="I885" s="24" t="str">
        <f>IF(OR(E885="",E885="!!!",F885="NEW"),"",INDEX(B$2:B884,-1+SUMPRODUCT(MAX(ROW(E$2:E884)*(E885=E$2:E884)))))</f>
        <v/>
      </c>
      <c r="J885" s="24" t="str">
        <f ca="1">IF(OR(E885="",E885="!!!",F885="NEW"),"",COUNTBLANK(OFFSET(A$1,,,SUMPRODUCT(MAX(ROW(E$2:E885)*(E885=E$2:E885)))))-COUNTBLANK(OFFSET(A$1,,,SUMPRODUCT(MAX(ROW(E$1:E884)*(E2=E$1:E884))))))</f>
        <v/>
      </c>
      <c r="K885" s="24" t="str">
        <f>IF(OR(E885="",E885="!!!",F885="NEW"),"",INDEX(J$1:J884,SUMPRODUCT(MAX(ROW(E$1:E884)*(E885=E$1:E884)))))</f>
        <v/>
      </c>
      <c r="L885" s="25"/>
    </row>
    <row r="886" spans="1:12" x14ac:dyDescent="0.3">
      <c r="A886" t="s">
        <v>588</v>
      </c>
      <c r="B886" s="26" t="s">
        <v>189</v>
      </c>
      <c r="C886" s="26" t="s">
        <v>277</v>
      </c>
      <c r="D886" s="26" t="s">
        <v>181</v>
      </c>
      <c r="E886" s="20" t="s">
        <v>679</v>
      </c>
      <c r="F886" s="21" t="str">
        <f>IF(OR(E886="",E886="!!!"),"",IF(NOT(ISNA(VLOOKUP(E886,E$1:E885,1,FALSE()))),"OLD",IF(AND(E886&lt;&gt;"",E886&lt;&gt;"!!!"),"NEW","")))</f>
        <v>OLD</v>
      </c>
      <c r="G886" s="22" t="s">
        <v>698</v>
      </c>
      <c r="H886" s="23" t="str">
        <f t="shared" ca="1" si="71"/>
        <v/>
      </c>
      <c r="I886" s="24" t="str">
        <f>IF(OR(E886="",E886="!!!",F886="NEW"),"",INDEX(B$2:B885,-1+SUMPRODUCT(MAX(ROW(E$2:E885)*(E886=E$2:E885)))))</f>
        <v>SBJ</v>
      </c>
      <c r="J886" s="24">
        <f ca="1">IF(OR(E886="",E886="!!!",F886="NEW"),"",COUNTBLANK(OFFSET(A$1,,,SUMPRODUCT(MAX(ROW(E$2:E886)*(E886=E$2:E886)))))-COUNTBLANK(OFFSET(A$1,,,SUMPRODUCT(MAX(ROW(E$1:E885)*(E2=E$1:E885))))))</f>
        <v>0</v>
      </c>
      <c r="K886" s="24">
        <f ca="1">IF(OR(E886="",E886="!!!",F886="NEW"),"",INDEX(J$1:J885,SUMPRODUCT(MAX(ROW(E$1:E885)*(E886=E$1:E885)))))</f>
        <v>0</v>
      </c>
      <c r="L886" s="25"/>
    </row>
    <row r="887" spans="1:12" x14ac:dyDescent="0.3">
      <c r="A887" t="s">
        <v>585</v>
      </c>
      <c r="E887" s="20" t="str">
        <f t="shared" si="70"/>
        <v/>
      </c>
      <c r="F887" s="21" t="str">
        <f>IF(OR(E887="",E887="!!!"),"",IF(NOT(ISNA(VLOOKUP(E887,E$1:E886,1,FALSE()))),"OLD",IF(AND(E887&lt;&gt;"",E887&lt;&gt;"!!!"),"NEW","")))</f>
        <v/>
      </c>
      <c r="G887" s="22" t="str">
        <f>IF(OR(E887="",E887="!!!"),"",IF(OR(J887=0,AND(J887=1,K887=1),AND(J887=1,I887="SBJ"),AND(J887=1,I887=0)),"?IN_FOCUS",IF(J887&lt;=2,"?ACTIVATED",IF(J887&lt;&gt;"","?FAMILIAR",IF(F887="NEW",IF(ISNA(VLOOKUP(E887,#REF!,1,FALSE())),"?TYPE_IDENTIFIABLE","?REFERENTIAL"),"_")))))</f>
        <v/>
      </c>
      <c r="H887" s="23" t="str">
        <f t="shared" ca="1" si="71"/>
        <v/>
      </c>
      <c r="I887" s="24" t="str">
        <f>IF(OR(E887="",E887="!!!",F887="NEW"),"",INDEX(B$2:B886,-1+SUMPRODUCT(MAX(ROW(E$2:E886)*(E887=E$2:E886)))))</f>
        <v/>
      </c>
      <c r="J887" s="24" t="str">
        <f ca="1">IF(OR(E887="",E887="!!!",F887="NEW"),"",COUNTBLANK(OFFSET(A$1,,,SUMPRODUCT(MAX(ROW(E$2:E887)*(E887=E$2:E887)))))-COUNTBLANK(OFFSET(A$1,,,SUMPRODUCT(MAX(ROW(E$1:E886)*(E2=E$1:E886))))))</f>
        <v/>
      </c>
      <c r="K887" s="24" t="str">
        <f>IF(OR(E887="",E887="!!!",F887="NEW"),"",INDEX(J$1:J886,SUMPRODUCT(MAX(ROW(E$1:E886)*(E887=E$1:E886)))))</f>
        <v/>
      </c>
      <c r="L887" s="25"/>
    </row>
    <row r="888" spans="1:12" x14ac:dyDescent="0.3">
      <c r="A888" t="s">
        <v>201</v>
      </c>
      <c r="E888" s="20" t="str">
        <f t="shared" si="70"/>
        <v/>
      </c>
      <c r="F888" s="21" t="str">
        <f>IF(OR(E888="",E888="!!!"),"",IF(NOT(ISNA(VLOOKUP(E888,E$1:E887,1,FALSE()))),"OLD",IF(AND(E888&lt;&gt;"",E888&lt;&gt;"!!!"),"NEW","")))</f>
        <v/>
      </c>
      <c r="G888" s="22" t="str">
        <f>IF(OR(E888="",E888="!!!"),"",IF(OR(J888=0,AND(J888=1,K888=1),AND(J888=1,I888="SBJ"),AND(J888=1,I888=0)),"?IN_FOCUS",IF(J888&lt;=2,"?ACTIVATED",IF(J888&lt;&gt;"","?FAMILIAR",IF(F888="NEW",IF(ISNA(VLOOKUP(E888,#REF!,1,FALSE())),"?TYPE_IDENTIFIABLE","?REFERENTIAL"),"_")))))</f>
        <v/>
      </c>
      <c r="H888" s="23" t="str">
        <f t="shared" ca="1" si="71"/>
        <v/>
      </c>
      <c r="I888" s="24" t="str">
        <f>IF(OR(E888="",E888="!!!",F888="NEW"),"",INDEX(B$2:B887,-1+SUMPRODUCT(MAX(ROW(E$2:E887)*(E888=E$2:E887)))))</f>
        <v/>
      </c>
      <c r="J888" s="24" t="str">
        <f ca="1">IF(OR(E888="",E888="!!!",F888="NEW"),"",COUNTBLANK(OFFSET(A$1,,,SUMPRODUCT(MAX(ROW(E$2:E888)*(E888=E$2:E888)))))-COUNTBLANK(OFFSET(A$1,,,SUMPRODUCT(MAX(ROW(E$1:E887)*(E2=E$1:E887))))))</f>
        <v/>
      </c>
      <c r="K888" s="24" t="str">
        <f>IF(OR(E888="",E888="!!!",F888="NEW"),"",INDEX(J$1:J887,SUMPRODUCT(MAX(ROW(E$1:E887)*(E888=E$1:E887)))))</f>
        <v/>
      </c>
      <c r="L888" s="25"/>
    </row>
    <row r="890" spans="1:12" x14ac:dyDescent="0.3">
      <c r="A890" t="s">
        <v>589</v>
      </c>
    </row>
    <row r="891" spans="1:12" x14ac:dyDescent="0.3">
      <c r="A891" t="s">
        <v>590</v>
      </c>
      <c r="B891" s="26" t="s">
        <v>185</v>
      </c>
      <c r="C891" s="26" t="s">
        <v>180</v>
      </c>
      <c r="D891" s="26" t="s">
        <v>181</v>
      </c>
      <c r="E891" s="20" t="s">
        <v>677</v>
      </c>
      <c r="F891" s="21" t="str">
        <f>IF(OR(E891="",E891="!!!"),"",IF(NOT(ISNA(VLOOKUP(E891,E$1:E890,1,FALSE()))),"OLD",IF(AND(E891&lt;&gt;"",E891&lt;&gt;"!!!"),"NEW","")))</f>
        <v>NEW</v>
      </c>
      <c r="G891" s="22" t="s">
        <v>699</v>
      </c>
      <c r="H891" s="23" t="str">
        <f t="shared" ref="H891:H910" ca="1" si="72">IF(J891&lt;&gt;1,"",IF(I891="SBJ","CB","?"))</f>
        <v/>
      </c>
      <c r="I891" s="24" t="str">
        <f>IF(OR(E891="",E891="!!!",F891="NEW"),"",INDEX(B$2:B890,-1+SUMPRODUCT(MAX(ROW(E$2:E890)*(E891=E$2:E890)))))</f>
        <v/>
      </c>
      <c r="J891" s="24" t="str">
        <f ca="1">IF(OR(E891="",E891="!!!",F891="NEW"),"",COUNTBLANK(OFFSET(A$1,,,SUMPRODUCT(MAX(ROW(E$2:E891)*(E891=E$2:E891)))))-COUNTBLANK(OFFSET(A$1,,,SUMPRODUCT(MAX(ROW(E$1:E890)*(E2=E$1:E890))))))</f>
        <v/>
      </c>
      <c r="K891" s="24" t="str">
        <f>IF(OR(E891="",E891="!!!",F891="NEW"),"",INDEX(J$1:J890,SUMPRODUCT(MAX(ROW(E$1:E890)*(E891=E$1:E890)))))</f>
        <v/>
      </c>
      <c r="L891" s="25"/>
    </row>
    <row r="892" spans="1:12" x14ac:dyDescent="0.3">
      <c r="A892" t="s">
        <v>591</v>
      </c>
      <c r="E892" s="20" t="str">
        <f t="shared" ref="E892:E910" si="73">IF(D892="?OLD","!!!","")</f>
        <v/>
      </c>
      <c r="F892" s="21" t="str">
        <f>IF(OR(E892="",E892="!!!"),"",IF(NOT(ISNA(VLOOKUP(E892,E$1:E891,1,FALSE()))),"OLD",IF(AND(E892&lt;&gt;"",E892&lt;&gt;"!!!"),"NEW","")))</f>
        <v/>
      </c>
      <c r="G892" s="22" t="str">
        <f>IF(OR(E892="",E892="!!!"),"",IF(OR(J892=0,AND(J892=1,K892=1),AND(J892=1,I892="SBJ"),AND(J892=1,I892=0)),"?IN_FOCUS",IF(J892&lt;=2,"?ACTIVATED",IF(J892&lt;&gt;"","?FAMILIAR",IF(F892="NEW",IF(ISNA(VLOOKUP(E892,#REF!,1,FALSE())),"?TYPE_IDENTIFIABLE","?REFERENTIAL"),"_")))))</f>
        <v/>
      </c>
      <c r="H892" s="23" t="str">
        <f t="shared" ca="1" si="72"/>
        <v/>
      </c>
      <c r="I892" s="24" t="str">
        <f>IF(OR(E892="",E892="!!!",F892="NEW"),"",INDEX(B$2:B891,-1+SUMPRODUCT(MAX(ROW(E$2:E891)*(E892=E$2:E891)))))</f>
        <v/>
      </c>
      <c r="J892" s="24" t="str">
        <f ca="1">IF(OR(E892="",E892="!!!",F892="NEW"),"",COUNTBLANK(OFFSET(A$1,,,SUMPRODUCT(MAX(ROW(E$2:E892)*(E892=E$2:E892)))))-COUNTBLANK(OFFSET(A$1,,,SUMPRODUCT(MAX(ROW(E$1:E891)*(E2=E$1:E891))))))</f>
        <v/>
      </c>
      <c r="K892" s="24" t="str">
        <f>IF(OR(E892="",E892="!!!",F892="NEW"),"",INDEX(J$1:J891,SUMPRODUCT(MAX(ROW(E$1:E891)*(E892=E$1:E891)))))</f>
        <v/>
      </c>
      <c r="L892" s="25"/>
    </row>
    <row r="893" spans="1:12" x14ac:dyDescent="0.3">
      <c r="A893" t="s">
        <v>167</v>
      </c>
      <c r="E893" s="20" t="str">
        <f t="shared" si="73"/>
        <v/>
      </c>
      <c r="F893" s="21" t="str">
        <f>IF(OR(E893="",E893="!!!"),"",IF(NOT(ISNA(VLOOKUP(E893,E$1:E892,1,FALSE()))),"OLD",IF(AND(E893&lt;&gt;"",E893&lt;&gt;"!!!"),"NEW","")))</f>
        <v/>
      </c>
      <c r="G893" s="22" t="str">
        <f>IF(OR(E893="",E893="!!!"),"",IF(OR(J893=0,AND(J893=1,K893=1),AND(J893=1,I893="SBJ"),AND(J893=1,I893=0)),"?IN_FOCUS",IF(J893&lt;=2,"?ACTIVATED",IF(J893&lt;&gt;"","?FAMILIAR",IF(F893="NEW",IF(ISNA(VLOOKUP(E893,#REF!,1,FALSE())),"?TYPE_IDENTIFIABLE","?REFERENTIAL"),"_")))))</f>
        <v/>
      </c>
      <c r="H893" s="23" t="str">
        <f t="shared" ca="1" si="72"/>
        <v/>
      </c>
      <c r="I893" s="24" t="str">
        <f>IF(OR(E893="",E893="!!!",F893="NEW"),"",INDEX(B$2:B892,-1+SUMPRODUCT(MAX(ROW(E$2:E892)*(E893=E$2:E892)))))</f>
        <v/>
      </c>
      <c r="J893" s="24" t="str">
        <f ca="1">IF(OR(E893="",E893="!!!",F893="NEW"),"",COUNTBLANK(OFFSET(A$1,,,SUMPRODUCT(MAX(ROW(E$2:E893)*(E893=E$2:E893)))))-COUNTBLANK(OFFSET(A$1,,,SUMPRODUCT(MAX(ROW(E$1:E892)*(E2=E$1:E892))))))</f>
        <v/>
      </c>
      <c r="K893" s="24" t="str">
        <f>IF(OR(E893="",E893="!!!",F893="NEW"),"",INDEX(J$1:J892,SUMPRODUCT(MAX(ROW(E$1:E892)*(E893=E$1:E892)))))</f>
        <v/>
      </c>
      <c r="L893" s="25"/>
    </row>
    <row r="894" spans="1:12" x14ac:dyDescent="0.3">
      <c r="A894" t="s">
        <v>592</v>
      </c>
      <c r="B894" s="26" t="s">
        <v>189</v>
      </c>
      <c r="C894" s="26" t="s">
        <v>166</v>
      </c>
      <c r="E894" s="20" t="str">
        <f t="shared" si="73"/>
        <v/>
      </c>
      <c r="F894" s="21" t="str">
        <f>IF(OR(E894="",E894="!!!"),"",IF(NOT(ISNA(VLOOKUP(E894,E$1:E893,1,FALSE()))),"OLD",IF(AND(E894&lt;&gt;"",E894&lt;&gt;"!!!"),"NEW","")))</f>
        <v/>
      </c>
      <c r="G894" s="22" t="str">
        <f>IF(OR(E894="",E894="!!!"),"",IF(OR(J894=0,AND(J894=1,K894=1),AND(J894=1,I894="SBJ"),AND(J894=1,I894=0)),"?IN_FOCUS",IF(J894&lt;=2,"?ACTIVATED",IF(J894&lt;&gt;"","?FAMILIAR",IF(F894="NEW",IF(ISNA(VLOOKUP(E894,#REF!,1,FALSE())),"?TYPE_IDENTIFIABLE","?REFERENTIAL"),"_")))))</f>
        <v/>
      </c>
      <c r="H894" s="23" t="str">
        <f t="shared" ca="1" si="72"/>
        <v/>
      </c>
      <c r="I894" s="24" t="str">
        <f>IF(OR(E894="",E894="!!!",F894="NEW"),"",INDEX(B$2:B893,-1+SUMPRODUCT(MAX(ROW(E$2:E893)*(E894=E$2:E893)))))</f>
        <v/>
      </c>
      <c r="J894" s="24" t="str">
        <f ca="1">IF(OR(E894="",E894="!!!",F894="NEW"),"",COUNTBLANK(OFFSET(A$1,,,SUMPRODUCT(MAX(ROW(E$2:E894)*(E894=E$2:E894)))))-COUNTBLANK(OFFSET(A$1,,,SUMPRODUCT(MAX(ROW(E$1:E893)*(E2=E$1:E893))))))</f>
        <v/>
      </c>
      <c r="K894" s="24" t="str">
        <f>IF(OR(E894="",E894="!!!",F894="NEW"),"",INDEX(J$1:J893,SUMPRODUCT(MAX(ROW(E$1:E893)*(E894=E$1:E893)))))</f>
        <v/>
      </c>
      <c r="L894" s="25"/>
    </row>
    <row r="895" spans="1:12" x14ac:dyDescent="0.3">
      <c r="A895" t="s">
        <v>593</v>
      </c>
      <c r="E895" s="20" t="str">
        <f t="shared" si="73"/>
        <v/>
      </c>
      <c r="F895" s="21" t="str">
        <f>IF(OR(E895="",E895="!!!"),"",IF(NOT(ISNA(VLOOKUP(E895,E$1:E894,1,FALSE()))),"OLD",IF(AND(E895&lt;&gt;"",E895&lt;&gt;"!!!"),"NEW","")))</f>
        <v/>
      </c>
      <c r="G895" s="22" t="str">
        <f>IF(OR(E895="",E895="!!!"),"",IF(OR(J895=0,AND(J895=1,K895=1),AND(J895=1,I895="SBJ"),AND(J895=1,I895=0)),"?IN_FOCUS",IF(J895&lt;=2,"?ACTIVATED",IF(J895&lt;&gt;"","?FAMILIAR",IF(F895="NEW",IF(ISNA(VLOOKUP(E895,#REF!,1,FALSE())),"?TYPE_IDENTIFIABLE","?REFERENTIAL"),"_")))))</f>
        <v/>
      </c>
      <c r="H895" s="23" t="str">
        <f t="shared" ca="1" si="72"/>
        <v/>
      </c>
      <c r="I895" s="24" t="str">
        <f>IF(OR(E895="",E895="!!!",F895="NEW"),"",INDEX(B$2:B894,-1+SUMPRODUCT(MAX(ROW(E$2:E894)*(E895=E$2:E894)))))</f>
        <v/>
      </c>
      <c r="J895" s="24" t="str">
        <f ca="1">IF(OR(E895="",E895="!!!",F895="NEW"),"",COUNTBLANK(OFFSET(A$1,,,SUMPRODUCT(MAX(ROW(E$2:E895)*(E895=E$2:E895)))))-COUNTBLANK(OFFSET(A$1,,,SUMPRODUCT(MAX(ROW(E$1:E894)*(E2=E$1:E894))))))</f>
        <v/>
      </c>
      <c r="K895" s="24" t="str">
        <f>IF(OR(E895="",E895="!!!",F895="NEW"),"",INDEX(J$1:J894,SUMPRODUCT(MAX(ROW(E$1:E894)*(E895=E$1:E894)))))</f>
        <v/>
      </c>
      <c r="L895" s="25"/>
    </row>
    <row r="896" spans="1:12" x14ac:dyDescent="0.3">
      <c r="A896" t="s">
        <v>594</v>
      </c>
      <c r="B896" s="26" t="s">
        <v>177</v>
      </c>
      <c r="C896" s="26" t="s">
        <v>180</v>
      </c>
      <c r="D896" s="26" t="s">
        <v>181</v>
      </c>
      <c r="E896" s="20" t="s">
        <v>678</v>
      </c>
      <c r="F896" s="21" t="str">
        <f>IF(OR(E896="",E896="!!!"),"",IF(NOT(ISNA(VLOOKUP(E896,E$1:E895,1,FALSE()))),"OLD",IF(AND(E896&lt;&gt;"",E896&lt;&gt;"!!!"),"NEW","")))</f>
        <v>NEW</v>
      </c>
      <c r="G896" s="22" t="s">
        <v>700</v>
      </c>
      <c r="H896" s="23" t="str">
        <f t="shared" ca="1" si="72"/>
        <v/>
      </c>
      <c r="I896" s="24" t="str">
        <f>IF(OR(E896="",E896="!!!",F896="NEW"),"",INDEX(B$2:B895,-1+SUMPRODUCT(MAX(ROW(E$2:E895)*(E896=E$2:E895)))))</f>
        <v/>
      </c>
      <c r="J896" s="24" t="str">
        <f ca="1">IF(OR(E896="",E896="!!!",F896="NEW"),"",COUNTBLANK(OFFSET(A$1,,,SUMPRODUCT(MAX(ROW(E$2:E896)*(E896=E$2:E896)))))-COUNTBLANK(OFFSET(A$1,,,SUMPRODUCT(MAX(ROW(E$1:E895)*(E2=E$1:E895))))))</f>
        <v/>
      </c>
      <c r="K896" s="24" t="str">
        <f>IF(OR(E896="",E896="!!!",F896="NEW"),"",INDEX(J$1:J895,SUMPRODUCT(MAX(ROW(E$1:E895)*(E896=E$1:E895)))))</f>
        <v/>
      </c>
      <c r="L896" s="25"/>
    </row>
    <row r="897" spans="1:12" x14ac:dyDescent="0.3">
      <c r="A897" t="s">
        <v>595</v>
      </c>
      <c r="E897" s="20" t="str">
        <f t="shared" si="73"/>
        <v/>
      </c>
      <c r="F897" s="21" t="str">
        <f>IF(OR(E897="",E897="!!!"),"",IF(NOT(ISNA(VLOOKUP(E897,E$1:E896,1,FALSE()))),"OLD",IF(AND(E897&lt;&gt;"",E897&lt;&gt;"!!!"),"NEW","")))</f>
        <v/>
      </c>
      <c r="G897" s="22" t="str">
        <f>IF(OR(E897="",E897="!!!"),"",IF(OR(J897=0,AND(J897=1,K897=1),AND(J897=1,I897="SBJ"),AND(J897=1,I897=0)),"?IN_FOCUS",IF(J897&lt;=2,"?ACTIVATED",IF(J897&lt;&gt;"","?FAMILIAR",IF(F897="NEW",IF(ISNA(VLOOKUP(E897,#REF!,1,FALSE())),"?TYPE_IDENTIFIABLE","?REFERENTIAL"),"_")))))</f>
        <v/>
      </c>
      <c r="H897" s="23" t="str">
        <f t="shared" ca="1" si="72"/>
        <v/>
      </c>
      <c r="I897" s="24" t="str">
        <f>IF(OR(E897="",E897="!!!",F897="NEW"),"",INDEX(B$2:B896,-1+SUMPRODUCT(MAX(ROW(E$2:E896)*(E897=E$2:E896)))))</f>
        <v/>
      </c>
      <c r="J897" s="24" t="str">
        <f ca="1">IF(OR(E897="",E897="!!!",F897="NEW"),"",COUNTBLANK(OFFSET(A$1,,,SUMPRODUCT(MAX(ROW(E$2:E897)*(E897=E$2:E897)))))-COUNTBLANK(OFFSET(A$1,,,SUMPRODUCT(MAX(ROW(E$1:E896)*(E2=E$1:E896))))))</f>
        <v/>
      </c>
      <c r="K897" s="24" t="str">
        <f>IF(OR(E897="",E897="!!!",F897="NEW"),"",INDEX(J$1:J896,SUMPRODUCT(MAX(ROW(E$1:E896)*(E897=E$1:E896)))))</f>
        <v/>
      </c>
      <c r="L897" s="25"/>
    </row>
    <row r="898" spans="1:12" x14ac:dyDescent="0.3">
      <c r="A898" t="s">
        <v>596</v>
      </c>
      <c r="E898" s="20" t="str">
        <f t="shared" si="73"/>
        <v/>
      </c>
      <c r="F898" s="21" t="str">
        <f>IF(OR(E898="",E898="!!!"),"",IF(NOT(ISNA(VLOOKUP(E898,E$1:E897,1,FALSE()))),"OLD",IF(AND(E898&lt;&gt;"",E898&lt;&gt;"!!!"),"NEW","")))</f>
        <v/>
      </c>
      <c r="G898" s="22" t="str">
        <f>IF(OR(E898="",E898="!!!"),"",IF(OR(J898=0,AND(J898=1,K898=1),AND(J898=1,I898="SBJ"),AND(J898=1,I898=0)),"?IN_FOCUS",IF(J898&lt;=2,"?ACTIVATED",IF(J898&lt;&gt;"","?FAMILIAR",IF(F898="NEW",IF(ISNA(VLOOKUP(E898,#REF!,1,FALSE())),"?TYPE_IDENTIFIABLE","?REFERENTIAL"),"_")))))</f>
        <v/>
      </c>
      <c r="H898" s="23" t="str">
        <f t="shared" ca="1" si="72"/>
        <v/>
      </c>
      <c r="I898" s="24" t="str">
        <f>IF(OR(E898="",E898="!!!",F898="NEW"),"",INDEX(B$2:B897,-1+SUMPRODUCT(MAX(ROW(E$2:E897)*(E898=E$2:E897)))))</f>
        <v/>
      </c>
      <c r="J898" s="24" t="str">
        <f ca="1">IF(OR(E898="",E898="!!!",F898="NEW"),"",COUNTBLANK(OFFSET(A$1,,,SUMPRODUCT(MAX(ROW(E$2:E898)*(E898=E$2:E898)))))-COUNTBLANK(OFFSET(A$1,,,SUMPRODUCT(MAX(ROW(E$1:E897)*(E2=E$1:E897))))))</f>
        <v/>
      </c>
      <c r="K898" s="24" t="str">
        <f>IF(OR(E898="",E898="!!!",F898="NEW"),"",INDEX(J$1:J897,SUMPRODUCT(MAX(ROW(E$1:E897)*(E898=E$1:E897)))))</f>
        <v/>
      </c>
      <c r="L898" s="25"/>
    </row>
    <row r="899" spans="1:12" x14ac:dyDescent="0.3">
      <c r="A899" t="s">
        <v>178</v>
      </c>
      <c r="E899" s="20" t="str">
        <f t="shared" si="73"/>
        <v/>
      </c>
      <c r="F899" s="21" t="str">
        <f>IF(OR(E899="",E899="!!!"),"",IF(NOT(ISNA(VLOOKUP(E899,E$1:E898,1,FALSE()))),"OLD",IF(AND(E899&lt;&gt;"",E899&lt;&gt;"!!!"),"NEW","")))</f>
        <v/>
      </c>
      <c r="G899" s="22" t="str">
        <f>IF(OR(E899="",E899="!!!"),"",IF(OR(J899=0,AND(J899=1,K899=1),AND(J899=1,I899="SBJ"),AND(J899=1,I899=0)),"?IN_FOCUS",IF(J899&lt;=2,"?ACTIVATED",IF(J899&lt;&gt;"","?FAMILIAR",IF(F899="NEW",IF(ISNA(VLOOKUP(E899,#REF!,1,FALSE())),"?TYPE_IDENTIFIABLE","?REFERENTIAL"),"_")))))</f>
        <v/>
      </c>
      <c r="H899" s="23" t="str">
        <f t="shared" ca="1" si="72"/>
        <v/>
      </c>
      <c r="I899" s="24" t="str">
        <f>IF(OR(E899="",E899="!!!",F899="NEW"),"",INDEX(B$2:B898,-1+SUMPRODUCT(MAX(ROW(E$2:E898)*(E899=E$2:E898)))))</f>
        <v/>
      </c>
      <c r="J899" s="24" t="str">
        <f ca="1">IF(OR(E899="",E899="!!!",F899="NEW"),"",COUNTBLANK(OFFSET(A$1,,,SUMPRODUCT(MAX(ROW(E$2:E899)*(E899=E$2:E899)))))-COUNTBLANK(OFFSET(A$1,,,SUMPRODUCT(MAX(ROW(E$1:E898)*(E2=E$1:E898))))))</f>
        <v/>
      </c>
      <c r="K899" s="24" t="str">
        <f>IF(OR(E899="",E899="!!!",F899="NEW"),"",INDEX(J$1:J898,SUMPRODUCT(MAX(ROW(E$1:E898)*(E899=E$1:E898)))))</f>
        <v/>
      </c>
      <c r="L899" s="25"/>
    </row>
    <row r="900" spans="1:12" x14ac:dyDescent="0.3">
      <c r="A900" t="s">
        <v>322</v>
      </c>
      <c r="B900" s="26" t="s">
        <v>174</v>
      </c>
      <c r="C900" s="26" t="s">
        <v>180</v>
      </c>
      <c r="D900" s="26" t="s">
        <v>181</v>
      </c>
      <c r="E900" s="20" t="s">
        <v>685</v>
      </c>
      <c r="F900" s="21" t="str">
        <f>IF(OR(E900="",E900="!!!"),"",IF(NOT(ISNA(VLOOKUP(E900,E$1:E899,1,FALSE()))),"OLD",IF(AND(E900&lt;&gt;"",E900&lt;&gt;"!!!"),"NEW","")))</f>
        <v>OLD</v>
      </c>
      <c r="G900" s="22" t="s">
        <v>696</v>
      </c>
      <c r="H900" s="23" t="str">
        <f t="shared" ca="1" si="72"/>
        <v/>
      </c>
      <c r="I900" s="24" t="str">
        <f>IF(OR(E900="",E900="!!!",F900="NEW"),"",INDEX(B$2:B899,-1+SUMPRODUCT(MAX(ROW(E$2:E899)*(E900=E$2:E899)))))</f>
        <v>other_2</v>
      </c>
      <c r="J900" s="24">
        <f ca="1">IF(OR(E900="",E900="!!!",F900="NEW"),"",COUNTBLANK(OFFSET(A$1,,,SUMPRODUCT(MAX(ROW(E$2:E900)*(E900=E$2:E900)))))-COUNTBLANK(OFFSET(A$1,,,SUMPRODUCT(MAX(ROW(E$1:E899)*(E2=E$1:E899))))))</f>
        <v>0</v>
      </c>
      <c r="K900" s="24">
        <f ca="1">IF(OR(E900="",E900="!!!",F900="NEW"),"",INDEX(J$1:J899,SUMPRODUCT(MAX(ROW(E$1:E899)*(E900=E$1:E899)))))</f>
        <v>0</v>
      </c>
      <c r="L900" s="25"/>
    </row>
    <row r="901" spans="1:12" x14ac:dyDescent="0.3">
      <c r="A901" t="s">
        <v>167</v>
      </c>
      <c r="E901" s="20" t="str">
        <f t="shared" si="73"/>
        <v/>
      </c>
      <c r="F901" s="21" t="str">
        <f>IF(OR(E901="",E901="!!!"),"",IF(NOT(ISNA(VLOOKUP(E901,E$1:E900,1,FALSE()))),"OLD",IF(AND(E901&lt;&gt;"",E901&lt;&gt;"!!!"),"NEW","")))</f>
        <v/>
      </c>
      <c r="G901" s="22" t="str">
        <f>IF(OR(E901="",E901="!!!"),"",IF(OR(J901=0,AND(J901=1,K901=1),AND(J901=1,I901="SBJ"),AND(J901=1,I901=0)),"?IN_FOCUS",IF(J901&lt;=2,"?ACTIVATED",IF(J901&lt;&gt;"","?FAMILIAR",IF(F901="NEW",IF(ISNA(VLOOKUP(E901,#REF!,1,FALSE())),"?TYPE_IDENTIFIABLE","?REFERENTIAL"),"_")))))</f>
        <v/>
      </c>
      <c r="H901" s="23" t="str">
        <f t="shared" ca="1" si="72"/>
        <v/>
      </c>
      <c r="I901" s="24" t="str">
        <f>IF(OR(E901="",E901="!!!",F901="NEW"),"",INDEX(B$2:B900,-1+SUMPRODUCT(MAX(ROW(E$2:E900)*(E901=E$2:E900)))))</f>
        <v/>
      </c>
      <c r="J901" s="24" t="str">
        <f ca="1">IF(OR(E901="",E901="!!!",F901="NEW"),"",COUNTBLANK(OFFSET(A$1,,,SUMPRODUCT(MAX(ROW(E$2:E901)*(E901=E$2:E901)))))-COUNTBLANK(OFFSET(A$1,,,SUMPRODUCT(MAX(ROW(E$1:E900)*(E2=E$1:E900))))))</f>
        <v/>
      </c>
      <c r="K901" s="24" t="str">
        <f>IF(OR(E901="",E901="!!!",F901="NEW"),"",INDEX(J$1:J900,SUMPRODUCT(MAX(ROW(E$1:E900)*(E901=E$1:E900)))))</f>
        <v/>
      </c>
      <c r="L901" s="25"/>
    </row>
    <row r="902" spans="1:12" x14ac:dyDescent="0.3">
      <c r="A902" t="s">
        <v>597</v>
      </c>
      <c r="E902" s="20" t="str">
        <f t="shared" si="73"/>
        <v/>
      </c>
      <c r="F902" s="21" t="str">
        <f>IF(OR(E902="",E902="!!!"),"",IF(NOT(ISNA(VLOOKUP(E902,E$1:E901,1,FALSE()))),"OLD",IF(AND(E902&lt;&gt;"",E902&lt;&gt;"!!!"),"NEW","")))</f>
        <v/>
      </c>
      <c r="G902" s="22" t="str">
        <f>IF(OR(E902="",E902="!!!"),"",IF(OR(J902=0,AND(J902=1,K902=1),AND(J902=1,I902="SBJ"),AND(J902=1,I902=0)),"?IN_FOCUS",IF(J902&lt;=2,"?ACTIVATED",IF(J902&lt;&gt;"","?FAMILIAR",IF(F902="NEW",IF(ISNA(VLOOKUP(E902,#REF!,1,FALSE())),"?TYPE_IDENTIFIABLE","?REFERENTIAL"),"_")))))</f>
        <v/>
      </c>
      <c r="H902" s="23" t="str">
        <f t="shared" ca="1" si="72"/>
        <v/>
      </c>
      <c r="I902" s="24" t="str">
        <f>IF(OR(E902="",E902="!!!",F902="NEW"),"",INDEX(B$2:B901,-1+SUMPRODUCT(MAX(ROW(E$2:E901)*(E902=E$2:E901)))))</f>
        <v/>
      </c>
      <c r="J902" s="24" t="str">
        <f ca="1">IF(OR(E902="",E902="!!!",F902="NEW"),"",COUNTBLANK(OFFSET(A$1,,,SUMPRODUCT(MAX(ROW(E$2:E902)*(E902=E$2:E902)))))-COUNTBLANK(OFFSET(A$1,,,SUMPRODUCT(MAX(ROW(E$1:E901)*(E2=E$1:E901))))))</f>
        <v/>
      </c>
      <c r="K902" s="24" t="str">
        <f>IF(OR(E902="",E902="!!!",F902="NEW"),"",INDEX(J$1:J901,SUMPRODUCT(MAX(ROW(E$1:E901)*(E902=E$1:E901)))))</f>
        <v/>
      </c>
      <c r="L902" s="25"/>
    </row>
    <row r="903" spans="1:12" x14ac:dyDescent="0.3">
      <c r="A903" t="s">
        <v>250</v>
      </c>
      <c r="E903" s="20" t="str">
        <f t="shared" si="73"/>
        <v/>
      </c>
      <c r="F903" s="21" t="str">
        <f>IF(OR(E903="",E903="!!!"),"",IF(NOT(ISNA(VLOOKUP(E903,E$1:E902,1,FALSE()))),"OLD",IF(AND(E903&lt;&gt;"",E903&lt;&gt;"!!!"),"NEW","")))</f>
        <v/>
      </c>
      <c r="G903" s="22" t="str">
        <f>IF(OR(E903="",E903="!!!"),"",IF(OR(J903=0,AND(J903=1,K903=1),AND(J903=1,I903="SBJ"),AND(J903=1,I903=0)),"?IN_FOCUS",IF(J903&lt;=2,"?ACTIVATED",IF(J903&lt;&gt;"","?FAMILIAR",IF(F903="NEW",IF(ISNA(VLOOKUP(E903,#REF!,1,FALSE())),"?TYPE_IDENTIFIABLE","?REFERENTIAL"),"_")))))</f>
        <v/>
      </c>
      <c r="H903" s="23" t="str">
        <f t="shared" ca="1" si="72"/>
        <v/>
      </c>
      <c r="I903" s="24" t="str">
        <f>IF(OR(E903="",E903="!!!",F903="NEW"),"",INDEX(B$2:B902,-1+SUMPRODUCT(MAX(ROW(E$2:E902)*(E903=E$2:E902)))))</f>
        <v/>
      </c>
      <c r="J903" s="24" t="str">
        <f ca="1">IF(OR(E903="",E903="!!!",F903="NEW"),"",COUNTBLANK(OFFSET(A$1,,,SUMPRODUCT(MAX(ROW(E$2:E903)*(E903=E$2:E903)))))-COUNTBLANK(OFFSET(A$1,,,SUMPRODUCT(MAX(ROW(E$1:E902)*(E2=E$1:E902))))))</f>
        <v/>
      </c>
      <c r="K903" s="24" t="str">
        <f>IF(OR(E903="",E903="!!!",F903="NEW"),"",INDEX(J$1:J902,SUMPRODUCT(MAX(ROW(E$1:E902)*(E903=E$1:E902)))))</f>
        <v/>
      </c>
      <c r="L903" s="25"/>
    </row>
    <row r="904" spans="1:12" x14ac:dyDescent="0.3">
      <c r="A904" t="s">
        <v>489</v>
      </c>
      <c r="E904" s="20" t="str">
        <f t="shared" si="73"/>
        <v/>
      </c>
      <c r="F904" s="21" t="str">
        <f>IF(OR(E904="",E904="!!!"),"",IF(NOT(ISNA(VLOOKUP(E904,E$1:E903,1,FALSE()))),"OLD",IF(AND(E904&lt;&gt;"",E904&lt;&gt;"!!!"),"NEW","")))</f>
        <v/>
      </c>
      <c r="G904" s="22" t="str">
        <f>IF(OR(E904="",E904="!!!"),"",IF(OR(J904=0,AND(J904=1,K904=1),AND(J904=1,I904="SBJ"),AND(J904=1,I904=0)),"?IN_FOCUS",IF(J904&lt;=2,"?ACTIVATED",IF(J904&lt;&gt;"","?FAMILIAR",IF(F904="NEW",IF(ISNA(VLOOKUP(E904,#REF!,1,FALSE())),"?TYPE_IDENTIFIABLE","?REFERENTIAL"),"_")))))</f>
        <v/>
      </c>
      <c r="H904" s="23" t="str">
        <f t="shared" ca="1" si="72"/>
        <v/>
      </c>
      <c r="I904" s="24" t="str">
        <f>IF(OR(E904="",E904="!!!",F904="NEW"),"",INDEX(B$2:B903,-1+SUMPRODUCT(MAX(ROW(E$2:E903)*(E904=E$2:E903)))))</f>
        <v/>
      </c>
      <c r="J904" s="24" t="str">
        <f ca="1">IF(OR(E904="",E904="!!!",F904="NEW"),"",COUNTBLANK(OFFSET(A$1,,,SUMPRODUCT(MAX(ROW(E$2:E904)*(E904=E$2:E904)))))-COUNTBLANK(OFFSET(A$1,,,SUMPRODUCT(MAX(ROW(E$1:E903)*(E2=E$1:E903))))))</f>
        <v/>
      </c>
      <c r="K904" s="24" t="str">
        <f>IF(OR(E904="",E904="!!!",F904="NEW"),"",INDEX(J$1:J903,SUMPRODUCT(MAX(ROW(E$1:E903)*(E904=E$1:E903)))))</f>
        <v/>
      </c>
      <c r="L904" s="25"/>
    </row>
    <row r="905" spans="1:12" x14ac:dyDescent="0.3">
      <c r="A905" t="s">
        <v>598</v>
      </c>
      <c r="E905" s="20" t="str">
        <f t="shared" si="73"/>
        <v/>
      </c>
      <c r="F905" s="21" t="str">
        <f>IF(OR(E905="",E905="!!!"),"",IF(NOT(ISNA(VLOOKUP(E905,E$1:E904,1,FALSE()))),"OLD",IF(AND(E905&lt;&gt;"",E905&lt;&gt;"!!!"),"NEW","")))</f>
        <v/>
      </c>
      <c r="G905" s="22" t="str">
        <f>IF(OR(E905="",E905="!!!"),"",IF(OR(J905=0,AND(J905=1,K905=1),AND(J905=1,I905="SBJ"),AND(J905=1,I905=0)),"?IN_FOCUS",IF(J905&lt;=2,"?ACTIVATED",IF(J905&lt;&gt;"","?FAMILIAR",IF(F905="NEW",IF(ISNA(VLOOKUP(E905,#REF!,1,FALSE())),"?TYPE_IDENTIFIABLE","?REFERENTIAL"),"_")))))</f>
        <v/>
      </c>
      <c r="H905" s="23" t="str">
        <f t="shared" ca="1" si="72"/>
        <v/>
      </c>
      <c r="I905" s="24" t="str">
        <f>IF(OR(E905="",E905="!!!",F905="NEW"),"",INDEX(B$2:B904,-1+SUMPRODUCT(MAX(ROW(E$2:E904)*(E905=E$2:E904)))))</f>
        <v/>
      </c>
      <c r="J905" s="24" t="str">
        <f ca="1">IF(OR(E905="",E905="!!!",F905="NEW"),"",COUNTBLANK(OFFSET(A$1,,,SUMPRODUCT(MAX(ROW(E$2:E905)*(E905=E$2:E905)))))-COUNTBLANK(OFFSET(A$1,,,SUMPRODUCT(MAX(ROW(E$1:E904)*(E2=E$1:E904))))))</f>
        <v/>
      </c>
      <c r="K905" s="24" t="str">
        <f>IF(OR(E905="",E905="!!!",F905="NEW"),"",INDEX(J$1:J904,SUMPRODUCT(MAX(ROW(E$1:E904)*(E905=E$1:E904)))))</f>
        <v/>
      </c>
      <c r="L905" s="25"/>
    </row>
    <row r="906" spans="1:12" x14ac:dyDescent="0.3">
      <c r="A906" t="s">
        <v>437</v>
      </c>
      <c r="B906" s="26" t="s">
        <v>165</v>
      </c>
      <c r="C906" s="26" t="s">
        <v>215</v>
      </c>
      <c r="E906" s="20" t="str">
        <f t="shared" si="73"/>
        <v/>
      </c>
      <c r="F906" s="21" t="str">
        <f>IF(OR(E906="",E906="!!!"),"",IF(NOT(ISNA(VLOOKUP(E906,E$1:E905,1,FALSE()))),"OLD",IF(AND(E906&lt;&gt;"",E906&lt;&gt;"!!!"),"NEW","")))</f>
        <v/>
      </c>
      <c r="G906" s="22" t="str">
        <f>IF(OR(E906="",E906="!!!"),"",IF(OR(J906=0,AND(J906=1,K906=1),AND(J906=1,I906="SBJ"),AND(J906=1,I906=0)),"?IN_FOCUS",IF(J906&lt;=2,"?ACTIVATED",IF(J906&lt;&gt;"","?FAMILIAR",IF(F906="NEW",IF(ISNA(VLOOKUP(E906,#REF!,1,FALSE())),"?TYPE_IDENTIFIABLE","?REFERENTIAL"),"_")))))</f>
        <v/>
      </c>
      <c r="H906" s="23" t="str">
        <f t="shared" ca="1" si="72"/>
        <v/>
      </c>
      <c r="I906" s="24" t="str">
        <f>IF(OR(E906="",E906="!!!",F906="NEW"),"",INDEX(B$2:B905,-1+SUMPRODUCT(MAX(ROW(E$2:E905)*(E906=E$2:E905)))))</f>
        <v/>
      </c>
      <c r="J906" s="24" t="str">
        <f ca="1">IF(OR(E906="",E906="!!!",F906="NEW"),"",COUNTBLANK(OFFSET(A$1,,,SUMPRODUCT(MAX(ROW(E$2:E906)*(E906=E$2:E906)))))-COUNTBLANK(OFFSET(A$1,,,SUMPRODUCT(MAX(ROW(E$1:E905)*(E2=E$1:E905))))))</f>
        <v/>
      </c>
      <c r="K906" s="24" t="str">
        <f>IF(OR(E906="",E906="!!!",F906="NEW"),"",INDEX(J$1:J905,SUMPRODUCT(MAX(ROW(E$1:E905)*(E906=E$1:E905)))))</f>
        <v/>
      </c>
      <c r="L906" s="25"/>
    </row>
    <row r="907" spans="1:12" x14ac:dyDescent="0.3">
      <c r="A907" t="s">
        <v>178</v>
      </c>
      <c r="E907" s="20" t="str">
        <f t="shared" si="73"/>
        <v/>
      </c>
      <c r="F907" s="21" t="str">
        <f>IF(OR(E907="",E907="!!!"),"",IF(NOT(ISNA(VLOOKUP(E907,E$1:E906,1,FALSE()))),"OLD",IF(AND(E907&lt;&gt;"",E907&lt;&gt;"!!!"),"NEW","")))</f>
        <v/>
      </c>
      <c r="G907" s="22" t="str">
        <f>IF(OR(E907="",E907="!!!"),"",IF(OR(J907=0,AND(J907=1,K907=1),AND(J907=1,I907="SBJ"),AND(J907=1,I907=0)),"?IN_FOCUS",IF(J907&lt;=2,"?ACTIVATED",IF(J907&lt;&gt;"","?FAMILIAR",IF(F907="NEW",IF(ISNA(VLOOKUP(E907,#REF!,1,FALSE())),"?TYPE_IDENTIFIABLE","?REFERENTIAL"),"_")))))</f>
        <v/>
      </c>
      <c r="H907" s="23" t="str">
        <f t="shared" ca="1" si="72"/>
        <v/>
      </c>
      <c r="I907" s="24" t="str">
        <f>IF(OR(E907="",E907="!!!",F907="NEW"),"",INDEX(B$2:B906,-1+SUMPRODUCT(MAX(ROW(E$2:E906)*(E907=E$2:E906)))))</f>
        <v/>
      </c>
      <c r="J907" s="24" t="str">
        <f ca="1">IF(OR(E907="",E907="!!!",F907="NEW"),"",COUNTBLANK(OFFSET(A$1,,,SUMPRODUCT(MAX(ROW(E$2:E907)*(E907=E$2:E907)))))-COUNTBLANK(OFFSET(A$1,,,SUMPRODUCT(MAX(ROW(E$1:E906)*(E2=E$1:E906))))))</f>
        <v/>
      </c>
      <c r="K907" s="24" t="str">
        <f>IF(OR(E907="",E907="!!!",F907="NEW"),"",INDEX(J$1:J906,SUMPRODUCT(MAX(ROW(E$1:E906)*(E907=E$1:E906)))))</f>
        <v/>
      </c>
      <c r="L907" s="25"/>
    </row>
    <row r="908" spans="1:12" x14ac:dyDescent="0.3">
      <c r="A908" t="s">
        <v>230</v>
      </c>
      <c r="E908" s="20" t="str">
        <f t="shared" si="73"/>
        <v/>
      </c>
      <c r="F908" s="21" t="str">
        <f>IF(OR(E908="",E908="!!!"),"",IF(NOT(ISNA(VLOOKUP(E908,E$1:E907,1,FALSE()))),"OLD",IF(AND(E908&lt;&gt;"",E908&lt;&gt;"!!!"),"NEW","")))</f>
        <v/>
      </c>
      <c r="G908" s="22" t="str">
        <f>IF(OR(E908="",E908="!!!"),"",IF(OR(J908=0,AND(J908=1,K908=1),AND(J908=1,I908="SBJ"),AND(J908=1,I908=0)),"?IN_FOCUS",IF(J908&lt;=2,"?ACTIVATED",IF(J908&lt;&gt;"","?FAMILIAR",IF(F908="NEW",IF(ISNA(VLOOKUP(E908,#REF!,1,FALSE())),"?TYPE_IDENTIFIABLE","?REFERENTIAL"),"_")))))</f>
        <v/>
      </c>
      <c r="H908" s="23" t="str">
        <f t="shared" ca="1" si="72"/>
        <v/>
      </c>
      <c r="I908" s="24" t="str">
        <f>IF(OR(E908="",E908="!!!",F908="NEW"),"",INDEX(B$2:B907,-1+SUMPRODUCT(MAX(ROW(E$2:E907)*(E908=E$2:E907)))))</f>
        <v/>
      </c>
      <c r="J908" s="24" t="str">
        <f ca="1">IF(OR(E908="",E908="!!!",F908="NEW"),"",COUNTBLANK(OFFSET(A$1,,,SUMPRODUCT(MAX(ROW(E$2:E908)*(E908=E$2:E908)))))-COUNTBLANK(OFFSET(A$1,,,SUMPRODUCT(MAX(ROW(E$1:E907)*(E2=E$1:E907))))))</f>
        <v/>
      </c>
      <c r="K908" s="24" t="str">
        <f>IF(OR(E908="",E908="!!!",F908="NEW"),"",INDEX(J$1:J907,SUMPRODUCT(MAX(ROW(E$1:E907)*(E908=E$1:E907)))))</f>
        <v/>
      </c>
      <c r="L908" s="25"/>
    </row>
    <row r="909" spans="1:12" x14ac:dyDescent="0.3">
      <c r="A909" t="s">
        <v>599</v>
      </c>
      <c r="B909" s="26" t="s">
        <v>165</v>
      </c>
      <c r="C909" s="26" t="s">
        <v>194</v>
      </c>
      <c r="D909" s="26" t="s">
        <v>181</v>
      </c>
      <c r="E909" s="20" t="s">
        <v>622</v>
      </c>
      <c r="F909" s="21" t="str">
        <f>IF(OR(E909="",E909="!!!"),"",IF(NOT(ISNA(VLOOKUP(E909,E$1:E908,1,FALSE()))),"OLD",IF(AND(E909&lt;&gt;"",E909&lt;&gt;"!!!"),"NEW","")))</f>
        <v>OLD</v>
      </c>
      <c r="G909" s="22" t="s">
        <v>696</v>
      </c>
      <c r="H909" s="23" t="str">
        <f t="shared" ca="1" si="72"/>
        <v/>
      </c>
      <c r="I909" s="24" t="str">
        <f>IF(OR(E909="",E909="!!!",F909="NEW"),"",INDEX(B$2:B908,-1+SUMPRODUCT(MAX(ROW(E$2:E908)*(E909=E$2:E908)))))</f>
        <v>other_3</v>
      </c>
      <c r="J909" s="24">
        <f ca="1">IF(OR(E909="",E909="!!!",F909="NEW"),"",COUNTBLANK(OFFSET(A$1,,,SUMPRODUCT(MAX(ROW(E$2:E909)*(E909=E$2:E909)))))-COUNTBLANK(OFFSET(A$1,,,SUMPRODUCT(MAX(ROW(E$1:E908)*(E2=E$1:E908))))))</f>
        <v>0</v>
      </c>
      <c r="K909" s="24">
        <f ca="1">IF(OR(E909="",E909="!!!",F909="NEW"),"",INDEX(J$1:J908,SUMPRODUCT(MAX(ROW(E$1:E908)*(E909=E$1:E908)))))</f>
        <v>0</v>
      </c>
      <c r="L909" s="25"/>
    </row>
    <row r="910" spans="1:12" x14ac:dyDescent="0.3">
      <c r="A910" t="s">
        <v>201</v>
      </c>
      <c r="E910" s="20" t="str">
        <f t="shared" si="73"/>
        <v/>
      </c>
      <c r="F910" s="21" t="str">
        <f>IF(OR(E910="",E910="!!!"),"",IF(NOT(ISNA(VLOOKUP(E910,E$1:E909,1,FALSE()))),"OLD",IF(AND(E910&lt;&gt;"",E910&lt;&gt;"!!!"),"NEW","")))</f>
        <v/>
      </c>
      <c r="G910" s="22" t="str">
        <f>IF(OR(E910="",E910="!!!"),"",IF(OR(J910=0,AND(J910=1,K910=1),AND(J910=1,I910="SBJ"),AND(J910=1,I910=0)),"?IN_FOCUS",IF(J910&lt;=2,"?ACTIVATED",IF(J910&lt;&gt;"","?FAMILIAR",IF(F910="NEW",IF(ISNA(VLOOKUP(E910,#REF!,1,FALSE())),"?TYPE_IDENTIFIABLE","?REFERENTIAL"),"_")))))</f>
        <v/>
      </c>
      <c r="H910" s="23" t="str">
        <f t="shared" ca="1" si="72"/>
        <v/>
      </c>
      <c r="I910" s="24" t="str">
        <f>IF(OR(E910="",E910="!!!",F910="NEW"),"",INDEX(B$2:B909,-1+SUMPRODUCT(MAX(ROW(E$2:E909)*(E910=E$2:E909)))))</f>
        <v/>
      </c>
      <c r="J910" s="24" t="str">
        <f ca="1">IF(OR(E910="",E910="!!!",F910="NEW"),"",COUNTBLANK(OFFSET(A$1,,,SUMPRODUCT(MAX(ROW(E$2:E910)*(E910=E$2:E910)))))-COUNTBLANK(OFFSET(A$1,,,SUMPRODUCT(MAX(ROW(E$1:E909)*(E2=E$1:E909))))))</f>
        <v/>
      </c>
      <c r="K910" s="24" t="str">
        <f>IF(OR(E910="",E910="!!!",F910="NEW"),"",INDEX(J$1:J909,SUMPRODUCT(MAX(ROW(E$1:E909)*(E910=E$1:E909)))))</f>
        <v/>
      </c>
      <c r="L910" s="25"/>
    </row>
    <row r="912" spans="1:12" x14ac:dyDescent="0.3">
      <c r="A912" t="s">
        <v>421</v>
      </c>
      <c r="E912" s="20" t="str">
        <f>IF(D912="?OLD","!!!","")</f>
        <v/>
      </c>
      <c r="F912" s="21" t="str">
        <f>IF(OR(E912="",E912="!!!"),"",IF(NOT(ISNA(VLOOKUP(E912,E$1:E911,1,FALSE()))),"OLD",IF(AND(E912&lt;&gt;"",E912&lt;&gt;"!!!"),"NEW","")))</f>
        <v/>
      </c>
      <c r="G912" s="22" t="str">
        <f>IF(OR(E912="",E912="!!!"),"",IF(OR(J912=0,AND(J912=1,K912=1),AND(J912=1,I912="SBJ"),AND(J912=1,I912=0)),"?IN_FOCUS",IF(J912&lt;=2,"?ACTIVATED",IF(J912&lt;&gt;"","?FAMILIAR",IF(F912="NEW",IF(ISNA(VLOOKUP(E912,#REF!,1,FALSE())),"?TYPE_IDENTIFIABLE","?REFERENTIAL"),"_")))))</f>
        <v/>
      </c>
      <c r="H912" s="23" t="str">
        <f ca="1">IF(J912&lt;&gt;1,"",IF(I912="SBJ","CB","?"))</f>
        <v/>
      </c>
      <c r="I912" s="24" t="str">
        <f>IF(OR(E912="",E912="!!!",F912="NEW"),"",INDEX(B$2:B911,-1+SUMPRODUCT(MAX(ROW(E$2:E911)*(E912=E$2:E911)))))</f>
        <v/>
      </c>
      <c r="J912" s="24" t="str">
        <f ca="1">IF(OR(E912="",E912="!!!",F912="NEW"),"",COUNTBLANK(OFFSET(A$1,,,SUMPRODUCT(MAX(ROW(E$2:E912)*(E912=E$2:E912)))))-COUNTBLANK(OFFSET(A$1,,,SUMPRODUCT(MAX(ROW(E$1:E911)*(E2=E$1:E911))))))</f>
        <v/>
      </c>
      <c r="K912" s="24" t="str">
        <f>IF(OR(E912="",E912="!!!",F912="NEW"),"",INDEX(J$1:J911,SUMPRODUCT(MAX(ROW(E$1:E911)*(E912=E$1:E911)))))</f>
        <v/>
      </c>
      <c r="L912" s="25"/>
    </row>
    <row r="913" spans="1:12" x14ac:dyDescent="0.3">
      <c r="A913" t="s">
        <v>600</v>
      </c>
    </row>
    <row r="914" spans="1:12" x14ac:dyDescent="0.3">
      <c r="A914" t="s">
        <v>423</v>
      </c>
      <c r="E914" s="20" t="str">
        <f t="shared" ref="E914:E942" si="74">IF(D914="?OLD","!!!","")</f>
        <v/>
      </c>
      <c r="F914" s="21" t="str">
        <f>IF(OR(E914="",E914="!!!"),"",IF(NOT(ISNA(VLOOKUP(E914,E$1:E913,1,FALSE()))),"OLD",IF(AND(E914&lt;&gt;"",E914&lt;&gt;"!!!"),"NEW","")))</f>
        <v/>
      </c>
      <c r="G914" s="22" t="str">
        <f>IF(OR(E914="",E914="!!!"),"",IF(OR(J914=0,AND(J914=1,K914=1),AND(J914=1,I914="SBJ"),AND(J914=1,I914=0)),"?IN_FOCUS",IF(J914&lt;=2,"?ACTIVATED",IF(J914&lt;&gt;"","?FAMILIAR",IF(F914="NEW",IF(ISNA(VLOOKUP(E914,#REF!,1,FALSE())),"?TYPE_IDENTIFIABLE","?REFERENTIAL"),"_")))))</f>
        <v/>
      </c>
      <c r="H914" s="23" t="str">
        <f t="shared" ref="H914:H942" ca="1" si="75">IF(J914&lt;&gt;1,"",IF(I914="SBJ","CB","?"))</f>
        <v/>
      </c>
      <c r="I914" s="24" t="str">
        <f>IF(OR(E914="",E914="!!!",F914="NEW"),"",INDEX(B$2:B913,-1+SUMPRODUCT(MAX(ROW(E$2:E913)*(E914=E$2:E913)))))</f>
        <v/>
      </c>
      <c r="J914" s="24" t="str">
        <f ca="1">IF(OR(E914="",E914="!!!",F914="NEW"),"",COUNTBLANK(OFFSET(A$1,,,SUMPRODUCT(MAX(ROW(E$2:E914)*(E914=E$2:E914)))))-COUNTBLANK(OFFSET(A$1,,,SUMPRODUCT(MAX(ROW(E$1:E913)*(E2=E$1:E913))))))</f>
        <v/>
      </c>
      <c r="K914" s="24" t="str">
        <f>IF(OR(E914="",E914="!!!",F914="NEW"),"",INDEX(J$1:J913,SUMPRODUCT(MAX(ROW(E$1:E913)*(E914=E$1:E913)))))</f>
        <v/>
      </c>
      <c r="L914" s="25"/>
    </row>
    <row r="915" spans="1:12" x14ac:dyDescent="0.3">
      <c r="A915" t="s">
        <v>601</v>
      </c>
      <c r="B915" s="26" t="s">
        <v>185</v>
      </c>
      <c r="C915" s="26" t="s">
        <v>312</v>
      </c>
      <c r="D915" s="26" t="s">
        <v>181</v>
      </c>
      <c r="E915" s="20" t="s">
        <v>677</v>
      </c>
      <c r="F915" s="21" t="str">
        <f>IF(OR(E915="",E915="!!!"),"",IF(NOT(ISNA(VLOOKUP(E915,E$1:E914,1,FALSE()))),"OLD",IF(AND(E915&lt;&gt;"",E915&lt;&gt;"!!!"),"NEW","")))</f>
        <v>OLD</v>
      </c>
      <c r="G915" s="22" t="s">
        <v>697</v>
      </c>
      <c r="H915" s="23" t="s">
        <v>158</v>
      </c>
      <c r="I915" s="24" t="str">
        <f>IF(OR(E915="",E915="!!!",F915="NEW"),"",INDEX(B$2:B914,-1+SUMPRODUCT(MAX(ROW(E$2:E914)*(E915=E$2:E914)))))</f>
        <v>SBJ</v>
      </c>
      <c r="J915" s="24">
        <f ca="1">IF(OR(E915="",E915="!!!",F915="NEW"),"",COUNTBLANK(OFFSET(A$1,,,SUMPRODUCT(MAX(ROW(E$2:E915)*(E915=E$2:E915)))))-COUNTBLANK(OFFSET(A$1,,,SUMPRODUCT(MAX(ROW(E$1:E914)*(E2=E$1:E914))))))</f>
        <v>0</v>
      </c>
      <c r="K915" s="24" t="str">
        <f ca="1">IF(OR(E915="",E915="!!!",F915="NEW"),"",INDEX(J$1:J914,SUMPRODUCT(MAX(ROW(E$1:E914)*(E915=E$1:E914)))))</f>
        <v/>
      </c>
      <c r="L915" s="25"/>
    </row>
    <row r="916" spans="1:12" x14ac:dyDescent="0.3">
      <c r="A916" t="s">
        <v>602</v>
      </c>
      <c r="E916" s="20" t="str">
        <f t="shared" si="74"/>
        <v/>
      </c>
      <c r="F916" s="21" t="str">
        <f>IF(OR(E916="",E916="!!!"),"",IF(NOT(ISNA(VLOOKUP(E916,E$1:E915,1,FALSE()))),"OLD",IF(AND(E916&lt;&gt;"",E916&lt;&gt;"!!!"),"NEW","")))</f>
        <v/>
      </c>
      <c r="G916" s="22" t="str">
        <f>IF(OR(E916="",E916="!!!"),"",IF(OR(J916=0,AND(J916=1,K916=1),AND(J916=1,I916="SBJ"),AND(J916=1,I916=0)),"?IN_FOCUS",IF(J916&lt;=2,"?ACTIVATED",IF(J916&lt;&gt;"","?FAMILIAR",IF(F916="NEW",IF(ISNA(VLOOKUP(E916,#REF!,1,FALSE())),"?TYPE_IDENTIFIABLE","?REFERENTIAL"),"_")))))</f>
        <v/>
      </c>
      <c r="H916" s="23" t="str">
        <f t="shared" ca="1" si="75"/>
        <v/>
      </c>
      <c r="I916" s="24" t="str">
        <f>IF(OR(E916="",E916="!!!",F916="NEW"),"",INDEX(B$2:B915,-1+SUMPRODUCT(MAX(ROW(E$2:E915)*(E916=E$2:E915)))))</f>
        <v/>
      </c>
      <c r="J916" s="24" t="str">
        <f ca="1">IF(OR(E916="",E916="!!!",F916="NEW"),"",COUNTBLANK(OFFSET(A$1,,,SUMPRODUCT(MAX(ROW(E$2:E916)*(E916=E$2:E916)))))-COUNTBLANK(OFFSET(A$1,,,SUMPRODUCT(MAX(ROW(E$1:E915)*(E2=E$1:E915))))))</f>
        <v/>
      </c>
      <c r="K916" s="24" t="str">
        <f>IF(OR(E916="",E916="!!!",F916="NEW"),"",INDEX(J$1:J915,SUMPRODUCT(MAX(ROW(E$1:E915)*(E916=E$1:E915)))))</f>
        <v/>
      </c>
      <c r="L916" s="25"/>
    </row>
    <row r="917" spans="1:12" x14ac:dyDescent="0.3">
      <c r="A917" t="s">
        <v>401</v>
      </c>
      <c r="B917" s="26" t="s">
        <v>193</v>
      </c>
      <c r="C917" s="26" t="s">
        <v>166</v>
      </c>
      <c r="E917" s="20" t="s">
        <v>693</v>
      </c>
      <c r="F917" s="21" t="str">
        <f>IF(OR(E917="",E917="!!!"),"",IF(NOT(ISNA(VLOOKUP(E917,E$1:E916,1,FALSE()))),"OLD",IF(AND(E917&lt;&gt;"",E917&lt;&gt;"!!!"),"NEW","")))</f>
        <v>OLD</v>
      </c>
      <c r="G917" s="22" t="s">
        <v>696</v>
      </c>
      <c r="H917" s="23" t="str">
        <f t="shared" ca="1" si="75"/>
        <v/>
      </c>
      <c r="I917" s="24" t="str">
        <f>IF(OR(E917="",E917="!!!",F917="NEW"),"",INDEX(B$2:B916,-1+SUMPRODUCT(MAX(ROW(E$2:E916)*(E917=E$2:E916)))))</f>
        <v>SBJ_3</v>
      </c>
      <c r="J917" s="24">
        <f ca="1">IF(OR(E917="",E917="!!!",F917="NEW"),"",COUNTBLANK(OFFSET(A$1,,,SUMPRODUCT(MAX(ROW(E$2:E917)*(E917=E$2:E917)))))-COUNTBLANK(OFFSET(A$1,,,SUMPRODUCT(MAX(ROW(E$1:E916)*(E2=E$1:E916))))))</f>
        <v>0</v>
      </c>
      <c r="K917" s="24">
        <f ca="1">IF(OR(E917="",E917="!!!",F917="NEW"),"",INDEX(J$1:J916,SUMPRODUCT(MAX(ROW(E$1:E916)*(E917=E$1:E916)))))</f>
        <v>0</v>
      </c>
      <c r="L917" s="25" t="s">
        <v>646</v>
      </c>
    </row>
    <row r="918" spans="1:12" x14ac:dyDescent="0.3">
      <c r="A918" t="s">
        <v>196</v>
      </c>
      <c r="E918" s="20" t="str">
        <f t="shared" si="74"/>
        <v/>
      </c>
      <c r="F918" s="21" t="str">
        <f>IF(OR(E918="",E918="!!!"),"",IF(NOT(ISNA(VLOOKUP(E918,E$1:E917,1,FALSE()))),"OLD",IF(AND(E918&lt;&gt;"",E918&lt;&gt;"!!!"),"NEW","")))</f>
        <v/>
      </c>
      <c r="G918" s="22" t="str">
        <f>IF(OR(E918="",E918="!!!"),"",IF(OR(J918=0,AND(J918=1,K918=1),AND(J918=1,I918="SBJ"),AND(J918=1,I918=0)),"?IN_FOCUS",IF(J918&lt;=2,"?ACTIVATED",IF(J918&lt;&gt;"","?FAMILIAR",IF(F918="NEW",IF(ISNA(VLOOKUP(E918,#REF!,1,FALSE())),"?TYPE_IDENTIFIABLE","?REFERENTIAL"),"_")))))</f>
        <v/>
      </c>
      <c r="H918" s="23" t="str">
        <f t="shared" ca="1" si="75"/>
        <v/>
      </c>
      <c r="I918" s="24" t="str">
        <f>IF(OR(E918="",E918="!!!",F918="NEW"),"",INDEX(B$2:B917,-1+SUMPRODUCT(MAX(ROW(E$2:E917)*(E918=E$2:E917)))))</f>
        <v/>
      </c>
      <c r="J918" s="24" t="str">
        <f ca="1">IF(OR(E918="",E918="!!!",F918="NEW"),"",COUNTBLANK(OFFSET(A$1,,,SUMPRODUCT(MAX(ROW(E$2:E918)*(E918=E$2:E918)))))-COUNTBLANK(OFFSET(A$1,,,SUMPRODUCT(MAX(ROW(E$1:E917)*(E2=E$1:E917))))))</f>
        <v/>
      </c>
      <c r="K918" s="24" t="str">
        <f>IF(OR(E918="",E918="!!!",F918="NEW"),"",INDEX(J$1:J917,SUMPRODUCT(MAX(ROW(E$1:E917)*(E918=E$1:E917)))))</f>
        <v/>
      </c>
      <c r="L918" s="25"/>
    </row>
    <row r="919" spans="1:12" x14ac:dyDescent="0.3">
      <c r="A919" t="s">
        <v>603</v>
      </c>
      <c r="B919" s="26" t="s">
        <v>165</v>
      </c>
      <c r="C919" s="26" t="s">
        <v>166</v>
      </c>
      <c r="E919" s="20" t="str">
        <f t="shared" si="74"/>
        <v/>
      </c>
      <c r="F919" s="21" t="str">
        <f>IF(OR(E919="",E919="!!!"),"",IF(NOT(ISNA(VLOOKUP(E919,E$1:E918,1,FALSE()))),"OLD",IF(AND(E919&lt;&gt;"",E919&lt;&gt;"!!!"),"NEW","")))</f>
        <v/>
      </c>
      <c r="G919" s="22" t="str">
        <f>IF(OR(E919="",E919="!!!"),"",IF(OR(J919=0,AND(J919=1,K919=1),AND(J919=1,I919="SBJ"),AND(J919=1,I919=0)),"?IN_FOCUS",IF(J919&lt;=2,"?ACTIVATED",IF(J919&lt;&gt;"","?FAMILIAR",IF(F919="NEW",IF(ISNA(VLOOKUP(E919,#REF!,1,FALSE())),"?TYPE_IDENTIFIABLE","?REFERENTIAL"),"_")))))</f>
        <v/>
      </c>
      <c r="H919" s="23" t="str">
        <f t="shared" ca="1" si="75"/>
        <v/>
      </c>
      <c r="I919" s="24" t="str">
        <f>IF(OR(E919="",E919="!!!",F919="NEW"),"",INDEX(B$2:B918,-1+SUMPRODUCT(MAX(ROW(E$2:E918)*(E919=E$2:E918)))))</f>
        <v/>
      </c>
      <c r="J919" s="24" t="str">
        <f ca="1">IF(OR(E919="",E919="!!!",F919="NEW"),"",COUNTBLANK(OFFSET(A$1,,,SUMPRODUCT(MAX(ROW(E$2:E919)*(E919=E$2:E919)))))-COUNTBLANK(OFFSET(A$1,,,SUMPRODUCT(MAX(ROW(E$1:E918)*(E2=E$1:E918))))))</f>
        <v/>
      </c>
      <c r="K919" s="24" t="str">
        <f>IF(OR(E919="",E919="!!!",F919="NEW"),"",INDEX(J$1:J918,SUMPRODUCT(MAX(ROW(E$1:E918)*(E919=E$1:E918)))))</f>
        <v/>
      </c>
      <c r="L919" s="25"/>
    </row>
    <row r="920" spans="1:12" x14ac:dyDescent="0.3">
      <c r="A920" t="s">
        <v>446</v>
      </c>
      <c r="E920" s="20" t="str">
        <f t="shared" si="74"/>
        <v/>
      </c>
      <c r="F920" s="21" t="str">
        <f>IF(OR(E920="",E920="!!!"),"",IF(NOT(ISNA(VLOOKUP(E920,E$1:E919,1,FALSE()))),"OLD",IF(AND(E920&lt;&gt;"",E920&lt;&gt;"!!!"),"NEW","")))</f>
        <v/>
      </c>
      <c r="G920" s="22" t="str">
        <f>IF(OR(E920="",E920="!!!"),"",IF(OR(J920=0,AND(J920=1,K920=1),AND(J920=1,I920="SBJ"),AND(J920=1,I920=0)),"?IN_FOCUS",IF(J920&lt;=2,"?ACTIVATED",IF(J920&lt;&gt;"","?FAMILIAR",IF(F920="NEW",IF(ISNA(VLOOKUP(E920,#REF!,1,FALSE())),"?TYPE_IDENTIFIABLE","?REFERENTIAL"),"_")))))</f>
        <v/>
      </c>
      <c r="H920" s="23" t="str">
        <f t="shared" ca="1" si="75"/>
        <v/>
      </c>
      <c r="I920" s="24" t="str">
        <f>IF(OR(E920="",E920="!!!",F920="NEW"),"",INDEX(B$2:B919,-1+SUMPRODUCT(MAX(ROW(E$2:E919)*(E920=E$2:E919)))))</f>
        <v/>
      </c>
      <c r="J920" s="24" t="str">
        <f ca="1">IF(OR(E920="",E920="!!!",F920="NEW"),"",COUNTBLANK(OFFSET(A$1,,,SUMPRODUCT(MAX(ROW(E$2:E920)*(E920=E$2:E920)))))-COUNTBLANK(OFFSET(A$1,,,SUMPRODUCT(MAX(ROW(E$1:E919)*(E2=E$1:E919))))))</f>
        <v/>
      </c>
      <c r="K920" s="24" t="str">
        <f>IF(OR(E920="",E920="!!!",F920="NEW"),"",INDEX(J$1:J919,SUMPRODUCT(MAX(ROW(E$1:E919)*(E920=E$1:E919)))))</f>
        <v/>
      </c>
      <c r="L920" s="25"/>
    </row>
    <row r="921" spans="1:12" x14ac:dyDescent="0.3">
      <c r="A921" t="s">
        <v>167</v>
      </c>
      <c r="E921" s="20" t="str">
        <f t="shared" si="74"/>
        <v/>
      </c>
      <c r="F921" s="21" t="str">
        <f>IF(OR(E921="",E921="!!!"),"",IF(NOT(ISNA(VLOOKUP(E921,E$1:E920,1,FALSE()))),"OLD",IF(AND(E921&lt;&gt;"",E921&lt;&gt;"!!!"),"NEW","")))</f>
        <v/>
      </c>
      <c r="G921" s="22" t="str">
        <f>IF(OR(E921="",E921="!!!"),"",IF(OR(J921=0,AND(J921=1,K921=1),AND(J921=1,I921="SBJ"),AND(J921=1,I921=0)),"?IN_FOCUS",IF(J921&lt;=2,"?ACTIVATED",IF(J921&lt;&gt;"","?FAMILIAR",IF(F921="NEW",IF(ISNA(VLOOKUP(E921,#REF!,1,FALSE())),"?TYPE_IDENTIFIABLE","?REFERENTIAL"),"_")))))</f>
        <v/>
      </c>
      <c r="H921" s="23" t="str">
        <f t="shared" ca="1" si="75"/>
        <v/>
      </c>
      <c r="I921" s="24" t="str">
        <f>IF(OR(E921="",E921="!!!",F921="NEW"),"",INDEX(B$2:B920,-1+SUMPRODUCT(MAX(ROW(E$2:E920)*(E921=E$2:E920)))))</f>
        <v/>
      </c>
      <c r="J921" s="24" t="str">
        <f ca="1">IF(OR(E921="",E921="!!!",F921="NEW"),"",COUNTBLANK(OFFSET(A$1,,,SUMPRODUCT(MAX(ROW(E$2:E921)*(E921=E$2:E921)))))-COUNTBLANK(OFFSET(A$1,,,SUMPRODUCT(MAX(ROW(E$1:E920)*(E2=E$1:E920))))))</f>
        <v/>
      </c>
      <c r="K921" s="24" t="str">
        <f>IF(OR(E921="",E921="!!!",F921="NEW"),"",INDEX(J$1:J920,SUMPRODUCT(MAX(ROW(E$1:E920)*(E921=E$1:E920)))))</f>
        <v/>
      </c>
      <c r="L921" s="25"/>
    </row>
    <row r="922" spans="1:12" x14ac:dyDescent="0.3">
      <c r="A922" t="s">
        <v>196</v>
      </c>
      <c r="E922" s="20" t="str">
        <f t="shared" si="74"/>
        <v/>
      </c>
      <c r="F922" s="21" t="str">
        <f>IF(OR(E922="",E922="!!!"),"",IF(NOT(ISNA(VLOOKUP(E922,E$1:E921,1,FALSE()))),"OLD",IF(AND(E922&lt;&gt;"",E922&lt;&gt;"!!!"),"NEW","")))</f>
        <v/>
      </c>
      <c r="G922" s="22" t="str">
        <f>IF(OR(E922="",E922="!!!"),"",IF(OR(J922=0,AND(J922=1,K922=1),AND(J922=1,I922="SBJ"),AND(J922=1,I922=0)),"?IN_FOCUS",IF(J922&lt;=2,"?ACTIVATED",IF(J922&lt;&gt;"","?FAMILIAR",IF(F922="NEW",IF(ISNA(VLOOKUP(E922,#REF!,1,FALSE())),"?TYPE_IDENTIFIABLE","?REFERENTIAL"),"_")))))</f>
        <v/>
      </c>
      <c r="H922" s="23" t="str">
        <f t="shared" ca="1" si="75"/>
        <v/>
      </c>
      <c r="I922" s="24" t="str">
        <f>IF(OR(E922="",E922="!!!",F922="NEW"),"",INDEX(B$2:B921,-1+SUMPRODUCT(MAX(ROW(E$2:E921)*(E922=E$2:E921)))))</f>
        <v/>
      </c>
      <c r="J922" s="24" t="str">
        <f ca="1">IF(OR(E922="",E922="!!!",F922="NEW"),"",COUNTBLANK(OFFSET(A$1,,,SUMPRODUCT(MAX(ROW(E$2:E922)*(E922=E$2:E922)))))-COUNTBLANK(OFFSET(A$1,,,SUMPRODUCT(MAX(ROW(E$1:E921)*(E2=E$1:E921))))))</f>
        <v/>
      </c>
      <c r="K922" s="24" t="str">
        <f>IF(OR(E922="",E922="!!!",F922="NEW"),"",INDEX(J$1:J921,SUMPRODUCT(MAX(ROW(E$1:E921)*(E922=E$1:E921)))))</f>
        <v/>
      </c>
      <c r="L922" s="25"/>
    </row>
    <row r="923" spans="1:12" x14ac:dyDescent="0.3">
      <c r="A923" t="s">
        <v>438</v>
      </c>
      <c r="E923" s="20" t="str">
        <f t="shared" si="74"/>
        <v/>
      </c>
      <c r="F923" s="21" t="str">
        <f>IF(OR(E923="",E923="!!!"),"",IF(NOT(ISNA(VLOOKUP(E923,E$1:E922,1,FALSE()))),"OLD",IF(AND(E923&lt;&gt;"",E923&lt;&gt;"!!!"),"NEW","")))</f>
        <v/>
      </c>
      <c r="G923" s="22" t="str">
        <f>IF(OR(E923="",E923="!!!"),"",IF(OR(J923=0,AND(J923=1,K923=1),AND(J923=1,I923="SBJ"),AND(J923=1,I923=0)),"?IN_FOCUS",IF(J923&lt;=2,"?ACTIVATED",IF(J923&lt;&gt;"","?FAMILIAR",IF(F923="NEW",IF(ISNA(VLOOKUP(E923,#REF!,1,FALSE())),"?TYPE_IDENTIFIABLE","?REFERENTIAL"),"_")))))</f>
        <v/>
      </c>
      <c r="H923" s="23" t="str">
        <f t="shared" ca="1" si="75"/>
        <v/>
      </c>
      <c r="I923" s="24" t="str">
        <f>IF(OR(E923="",E923="!!!",F923="NEW"),"",INDEX(B$2:B922,-1+SUMPRODUCT(MAX(ROW(E$2:E922)*(E923=E$2:E922)))))</f>
        <v/>
      </c>
      <c r="J923" s="24" t="str">
        <f ca="1">IF(OR(E923="",E923="!!!",F923="NEW"),"",COUNTBLANK(OFFSET(A$1,,,SUMPRODUCT(MAX(ROW(E$2:E923)*(E923=E$2:E923)))))-COUNTBLANK(OFFSET(A$1,,,SUMPRODUCT(MAX(ROW(E$1:E922)*(E2=E$1:E922))))))</f>
        <v/>
      </c>
      <c r="K923" s="24" t="str">
        <f>IF(OR(E923="",E923="!!!",F923="NEW"),"",INDEX(J$1:J922,SUMPRODUCT(MAX(ROW(E$1:E922)*(E923=E$1:E922)))))</f>
        <v/>
      </c>
      <c r="L923" s="25"/>
    </row>
    <row r="924" spans="1:12" x14ac:dyDescent="0.3">
      <c r="A924" t="s">
        <v>604</v>
      </c>
      <c r="B924" s="26" t="s">
        <v>169</v>
      </c>
      <c r="C924" s="26" t="s">
        <v>312</v>
      </c>
      <c r="D924" s="26" t="s">
        <v>181</v>
      </c>
      <c r="E924" s="20" t="s">
        <v>677</v>
      </c>
      <c r="F924" s="21" t="str">
        <f>IF(OR(E924="",E924="!!!"),"",IF(NOT(ISNA(VLOOKUP(E924,E$1:E923,1,FALSE()))),"OLD",IF(AND(E924&lt;&gt;"",E924&lt;&gt;"!!!"),"NEW","")))</f>
        <v>OLD</v>
      </c>
      <c r="G924" s="22" t="s">
        <v>697</v>
      </c>
      <c r="H924" s="23" t="str">
        <f t="shared" ca="1" si="75"/>
        <v/>
      </c>
      <c r="I924" s="24" t="str">
        <f>IF(OR(E924="",E924="!!!",F924="NEW"),"",INDEX(B$2:B923,-1+SUMPRODUCT(MAX(ROW(E$2:E923)*(E924=E$2:E923)))))</f>
        <v>SBJ</v>
      </c>
      <c r="J924" s="24">
        <f ca="1">IF(OR(E924="",E924="!!!",F924="NEW"),"",COUNTBLANK(OFFSET(A$1,,,SUMPRODUCT(MAX(ROW(E$2:E924)*(E924=E$2:E924)))))-COUNTBLANK(OFFSET(A$1,,,SUMPRODUCT(MAX(ROW(E$1:E923)*(E2=E$1:E923))))))</f>
        <v>0</v>
      </c>
      <c r="K924" s="24">
        <f ca="1">IF(OR(E924="",E924="!!!",F924="NEW"),"",INDEX(J$1:J923,SUMPRODUCT(MAX(ROW(E$1:E923)*(E924=E$1:E923)))))</f>
        <v>0</v>
      </c>
      <c r="L924" s="25"/>
    </row>
    <row r="925" spans="1:12" x14ac:dyDescent="0.3">
      <c r="A925" t="s">
        <v>311</v>
      </c>
      <c r="B925" s="26" t="s">
        <v>172</v>
      </c>
      <c r="C925" s="26" t="s">
        <v>312</v>
      </c>
      <c r="D925" s="26" t="s">
        <v>181</v>
      </c>
      <c r="E925" s="20" t="s">
        <v>693</v>
      </c>
      <c r="F925" s="21" t="str">
        <f>IF(OR(E925="",E925="!!!"),"",IF(NOT(ISNA(VLOOKUP(E925,E$1:E924,1,FALSE()))),"OLD",IF(AND(E925&lt;&gt;"",E925&lt;&gt;"!!!"),"NEW","")))</f>
        <v>OLD</v>
      </c>
      <c r="G925" s="22" t="s">
        <v>697</v>
      </c>
      <c r="H925" s="23" t="str">
        <f t="shared" ca="1" si="75"/>
        <v/>
      </c>
      <c r="I925" s="24" t="str">
        <f>IF(OR(E925="",E925="!!!",F925="NEW"),"",INDEX(B$2:B924,-1+SUMPRODUCT(MAX(ROW(E$2:E924)*(E925=E$2:E924)))))</f>
        <v>OBJ</v>
      </c>
      <c r="J925" s="24">
        <f ca="1">IF(OR(E925="",E925="!!!",F925="NEW"),"",COUNTBLANK(OFFSET(A$1,,,SUMPRODUCT(MAX(ROW(E$2:E925)*(E925=E$2:E925)))))-COUNTBLANK(OFFSET(A$1,,,SUMPRODUCT(MAX(ROW(E$1:E924)*(E2=E$1:E924))))))</f>
        <v>0</v>
      </c>
      <c r="K925" s="24">
        <f ca="1">IF(OR(E925="",E925="!!!",F925="NEW"),"",INDEX(J$1:J924,SUMPRODUCT(MAX(ROW(E$1:E924)*(E925=E$1:E924)))))</f>
        <v>0</v>
      </c>
      <c r="L925" s="25"/>
    </row>
    <row r="926" spans="1:12" x14ac:dyDescent="0.3">
      <c r="A926" t="s">
        <v>441</v>
      </c>
      <c r="E926" s="20" t="str">
        <f t="shared" si="74"/>
        <v/>
      </c>
      <c r="F926" s="21" t="str">
        <f>IF(OR(E926="",E926="!!!"),"",IF(NOT(ISNA(VLOOKUP(E926,E$1:E925,1,FALSE()))),"OLD",IF(AND(E926&lt;&gt;"",E926&lt;&gt;"!!!"),"NEW","")))</f>
        <v/>
      </c>
      <c r="G926" s="22" t="str">
        <f>IF(OR(E926="",E926="!!!"),"",IF(OR(J926=0,AND(J926=1,K926=1),AND(J926=1,I926="SBJ"),AND(J926=1,I926=0)),"?IN_FOCUS",IF(J926&lt;=2,"?ACTIVATED",IF(J926&lt;&gt;"","?FAMILIAR",IF(F926="NEW",IF(ISNA(VLOOKUP(E926,#REF!,1,FALSE())),"?TYPE_IDENTIFIABLE","?REFERENTIAL"),"_")))))</f>
        <v/>
      </c>
      <c r="H926" s="23" t="str">
        <f t="shared" ca="1" si="75"/>
        <v/>
      </c>
      <c r="I926" s="24" t="str">
        <f>IF(OR(E926="",E926="!!!",F926="NEW"),"",INDEX(B$2:B925,-1+SUMPRODUCT(MAX(ROW(E$2:E925)*(E926=E$2:E925)))))</f>
        <v/>
      </c>
      <c r="J926" s="24" t="str">
        <f ca="1">IF(OR(E926="",E926="!!!",F926="NEW"),"",COUNTBLANK(OFFSET(A$1,,,SUMPRODUCT(MAX(ROW(E$2:E926)*(E926=E$2:E926)))))-COUNTBLANK(OFFSET(A$1,,,SUMPRODUCT(MAX(ROW(E$1:E925)*(E2=E$1:E925))))))</f>
        <v/>
      </c>
      <c r="K926" s="24" t="str">
        <f>IF(OR(E926="",E926="!!!",F926="NEW"),"",INDEX(J$1:J925,SUMPRODUCT(MAX(ROW(E$1:E925)*(E926=E$1:E925)))))</f>
        <v/>
      </c>
      <c r="L926" s="25"/>
    </row>
    <row r="927" spans="1:12" x14ac:dyDescent="0.3">
      <c r="A927" t="s">
        <v>605</v>
      </c>
      <c r="E927" s="20" t="str">
        <f t="shared" si="74"/>
        <v/>
      </c>
      <c r="F927" s="21" t="str">
        <f>IF(OR(E927="",E927="!!!"),"",IF(NOT(ISNA(VLOOKUP(E927,E$1:E926,1,FALSE()))),"OLD",IF(AND(E927&lt;&gt;"",E927&lt;&gt;"!!!"),"NEW","")))</f>
        <v/>
      </c>
      <c r="G927" s="22" t="str">
        <f>IF(OR(E927="",E927="!!!"),"",IF(OR(J927=0,AND(J927=1,K927=1),AND(J927=1,I927="SBJ"),AND(J927=1,I927=0)),"?IN_FOCUS",IF(J927&lt;=2,"?ACTIVATED",IF(J927&lt;&gt;"","?FAMILIAR",IF(F927="NEW",IF(ISNA(VLOOKUP(E927,#REF!,1,FALSE())),"?TYPE_IDENTIFIABLE","?REFERENTIAL"),"_")))))</f>
        <v/>
      </c>
      <c r="H927" s="23" t="str">
        <f t="shared" ca="1" si="75"/>
        <v/>
      </c>
      <c r="I927" s="24" t="str">
        <f>IF(OR(E927="",E927="!!!",F927="NEW"),"",INDEX(B$2:B926,-1+SUMPRODUCT(MAX(ROW(E$2:E926)*(E927=E$2:E926)))))</f>
        <v/>
      </c>
      <c r="J927" s="24" t="str">
        <f ca="1">IF(OR(E927="",E927="!!!",F927="NEW"),"",COUNTBLANK(OFFSET(A$1,,,SUMPRODUCT(MAX(ROW(E$2:E927)*(E927=E$2:E927)))))-COUNTBLANK(OFFSET(A$1,,,SUMPRODUCT(MAX(ROW(E$1:E926)*(E2=E$1:E926))))))</f>
        <v/>
      </c>
      <c r="K927" s="24" t="str">
        <f>IF(OR(E927="",E927="!!!",F927="NEW"),"",INDEX(J$1:J926,SUMPRODUCT(MAX(ROW(E$1:E926)*(E927=E$1:E926)))))</f>
        <v/>
      </c>
      <c r="L927" s="25"/>
    </row>
    <row r="928" spans="1:12" x14ac:dyDescent="0.3">
      <c r="A928" t="s">
        <v>446</v>
      </c>
      <c r="E928" s="20" t="str">
        <f t="shared" si="74"/>
        <v/>
      </c>
      <c r="F928" s="21" t="str">
        <f>IF(OR(E928="",E928="!!!"),"",IF(NOT(ISNA(VLOOKUP(E928,E$1:E927,1,FALSE()))),"OLD",IF(AND(E928&lt;&gt;"",E928&lt;&gt;"!!!"),"NEW","")))</f>
        <v/>
      </c>
      <c r="G928" s="22" t="str">
        <f>IF(OR(E928="",E928="!!!"),"",IF(OR(J928=0,AND(J928=1,K928=1),AND(J928=1,I928="SBJ"),AND(J928=1,I928=0)),"?IN_FOCUS",IF(J928&lt;=2,"?ACTIVATED",IF(J928&lt;&gt;"","?FAMILIAR",IF(F928="NEW",IF(ISNA(VLOOKUP(E928,#REF!,1,FALSE())),"?TYPE_IDENTIFIABLE","?REFERENTIAL"),"_")))))</f>
        <v/>
      </c>
      <c r="H928" s="23" t="str">
        <f t="shared" ca="1" si="75"/>
        <v/>
      </c>
      <c r="I928" s="24" t="str">
        <f>IF(OR(E928="",E928="!!!",F928="NEW"),"",INDEX(B$2:B927,-1+SUMPRODUCT(MAX(ROW(E$2:E927)*(E928=E$2:E927)))))</f>
        <v/>
      </c>
      <c r="J928" s="24" t="str">
        <f ca="1">IF(OR(E928="",E928="!!!",F928="NEW"),"",COUNTBLANK(OFFSET(A$1,,,SUMPRODUCT(MAX(ROW(E$2:E928)*(E928=E$2:E928)))))-COUNTBLANK(OFFSET(A$1,,,SUMPRODUCT(MAX(ROW(E$1:E927)*(E2=E$1:E927))))))</f>
        <v/>
      </c>
      <c r="K928" s="24" t="str">
        <f>IF(OR(E928="",E928="!!!",F928="NEW"),"",INDEX(J$1:J927,SUMPRODUCT(MAX(ROW(E$1:E927)*(E928=E$1:E927)))))</f>
        <v/>
      </c>
      <c r="L928" s="25"/>
    </row>
    <row r="929" spans="1:12" x14ac:dyDescent="0.3">
      <c r="A929" t="s">
        <v>602</v>
      </c>
      <c r="E929" s="20" t="str">
        <f t="shared" si="74"/>
        <v/>
      </c>
      <c r="F929" s="21" t="str">
        <f>IF(OR(E929="",E929="!!!"),"",IF(NOT(ISNA(VLOOKUP(E929,E$1:E928,1,FALSE()))),"OLD",IF(AND(E929&lt;&gt;"",E929&lt;&gt;"!!!"),"NEW","")))</f>
        <v/>
      </c>
      <c r="G929" s="22" t="str">
        <f>IF(OR(E929="",E929="!!!"),"",IF(OR(J929=0,AND(J929=1,K929=1),AND(J929=1,I929="SBJ"),AND(J929=1,I929=0)),"?IN_FOCUS",IF(J929&lt;=2,"?ACTIVATED",IF(J929&lt;&gt;"","?FAMILIAR",IF(F929="NEW",IF(ISNA(VLOOKUP(E929,#REF!,1,FALSE())),"?TYPE_IDENTIFIABLE","?REFERENTIAL"),"_")))))</f>
        <v/>
      </c>
      <c r="H929" s="23" t="str">
        <f t="shared" ca="1" si="75"/>
        <v/>
      </c>
      <c r="I929" s="24" t="str">
        <f>IF(OR(E929="",E929="!!!",F929="NEW"),"",INDEX(B$2:B928,-1+SUMPRODUCT(MAX(ROW(E$2:E928)*(E929=E$2:E928)))))</f>
        <v/>
      </c>
      <c r="J929" s="24" t="str">
        <f ca="1">IF(OR(E929="",E929="!!!",F929="NEW"),"",COUNTBLANK(OFFSET(A$1,,,SUMPRODUCT(MAX(ROW(E$2:E929)*(E929=E$2:E929)))))-COUNTBLANK(OFFSET(A$1,,,SUMPRODUCT(MAX(ROW(E$1:E928)*(E2=E$1:E928))))))</f>
        <v/>
      </c>
      <c r="K929" s="24" t="str">
        <f>IF(OR(E929="",E929="!!!",F929="NEW"),"",INDEX(J$1:J928,SUMPRODUCT(MAX(ROW(E$1:E928)*(E929=E$1:E928)))))</f>
        <v/>
      </c>
      <c r="L929" s="25"/>
    </row>
    <row r="930" spans="1:12" x14ac:dyDescent="0.3">
      <c r="A930" t="s">
        <v>167</v>
      </c>
      <c r="E930" s="20" t="str">
        <f t="shared" si="74"/>
        <v/>
      </c>
      <c r="F930" s="21" t="str">
        <f>IF(OR(E930="",E930="!!!"),"",IF(NOT(ISNA(VLOOKUP(E930,E$1:E929,1,FALSE()))),"OLD",IF(AND(E930&lt;&gt;"",E930&lt;&gt;"!!!"),"NEW","")))</f>
        <v/>
      </c>
      <c r="G930" s="22" t="str">
        <f>IF(OR(E930="",E930="!!!"),"",IF(OR(J930=0,AND(J930=1,K930=1),AND(J930=1,I930="SBJ"),AND(J930=1,I930=0)),"?IN_FOCUS",IF(J930&lt;=2,"?ACTIVATED",IF(J930&lt;&gt;"","?FAMILIAR",IF(F930="NEW",IF(ISNA(VLOOKUP(E930,#REF!,1,FALSE())),"?TYPE_IDENTIFIABLE","?REFERENTIAL"),"_")))))</f>
        <v/>
      </c>
      <c r="H930" s="23" t="str">
        <f t="shared" ca="1" si="75"/>
        <v/>
      </c>
      <c r="I930" s="24" t="str">
        <f>IF(OR(E930="",E930="!!!",F930="NEW"),"",INDEX(B$2:B929,-1+SUMPRODUCT(MAX(ROW(E$2:E929)*(E930=E$2:E929)))))</f>
        <v/>
      </c>
      <c r="J930" s="24" t="str">
        <f ca="1">IF(OR(E930="",E930="!!!",F930="NEW"),"",COUNTBLANK(OFFSET(A$1,,,SUMPRODUCT(MAX(ROW(E$2:E930)*(E930=E$2:E930)))))-COUNTBLANK(OFFSET(A$1,,,SUMPRODUCT(MAX(ROW(E$1:E929)*(E2=E$1:E929))))))</f>
        <v/>
      </c>
      <c r="K930" s="24" t="str">
        <f>IF(OR(E930="",E930="!!!",F930="NEW"),"",INDEX(J$1:J929,SUMPRODUCT(MAX(ROW(E$1:E929)*(E930=E$1:E929)))))</f>
        <v/>
      </c>
      <c r="L930" s="25"/>
    </row>
    <row r="931" spans="1:12" x14ac:dyDescent="0.3">
      <c r="A931" t="s">
        <v>423</v>
      </c>
      <c r="E931" s="20" t="str">
        <f t="shared" si="74"/>
        <v/>
      </c>
      <c r="F931" s="21" t="str">
        <f>IF(OR(E931="",E931="!!!"),"",IF(NOT(ISNA(VLOOKUP(E931,E$1:E930,1,FALSE()))),"OLD",IF(AND(E931&lt;&gt;"",E931&lt;&gt;"!!!"),"NEW","")))</f>
        <v/>
      </c>
      <c r="G931" s="22" t="str">
        <f>IF(OR(E931="",E931="!!!"),"",IF(OR(J931=0,AND(J931=1,K931=1),AND(J931=1,I931="SBJ"),AND(J931=1,I931=0)),"?IN_FOCUS",IF(J931&lt;=2,"?ACTIVATED",IF(J931&lt;&gt;"","?FAMILIAR",IF(F931="NEW",IF(ISNA(VLOOKUP(E931,#REF!,1,FALSE())),"?TYPE_IDENTIFIABLE","?REFERENTIAL"),"_")))))</f>
        <v/>
      </c>
      <c r="H931" s="23" t="str">
        <f t="shared" ca="1" si="75"/>
        <v/>
      </c>
      <c r="I931" s="24" t="str">
        <f>IF(OR(E931="",E931="!!!",F931="NEW"),"",INDEX(B$2:B930,-1+SUMPRODUCT(MAX(ROW(E$2:E930)*(E931=E$2:E930)))))</f>
        <v/>
      </c>
      <c r="J931" s="24" t="str">
        <f ca="1">IF(OR(E931="",E931="!!!",F931="NEW"),"",COUNTBLANK(OFFSET(A$1,,,SUMPRODUCT(MAX(ROW(E$2:E931)*(E931=E$2:E931)))))-COUNTBLANK(OFFSET(A$1,,,SUMPRODUCT(MAX(ROW(E$1:E930)*(E2=E$1:E930))))))</f>
        <v/>
      </c>
      <c r="K931" s="24" t="str">
        <f>IF(OR(E931="",E931="!!!",F931="NEW"),"",INDEX(J$1:J930,SUMPRODUCT(MAX(ROW(E$1:E930)*(E931=E$1:E930)))))</f>
        <v/>
      </c>
      <c r="L931" s="25"/>
    </row>
    <row r="932" spans="1:12" x14ac:dyDescent="0.3">
      <c r="A932" t="s">
        <v>278</v>
      </c>
      <c r="E932" s="20" t="str">
        <f t="shared" si="74"/>
        <v/>
      </c>
      <c r="F932" s="21" t="str">
        <f>IF(OR(E932="",E932="!!!"),"",IF(NOT(ISNA(VLOOKUP(E932,E$1:E931,1,FALSE()))),"OLD",IF(AND(E932&lt;&gt;"",E932&lt;&gt;"!!!"),"NEW","")))</f>
        <v/>
      </c>
      <c r="G932" s="22" t="str">
        <f>IF(OR(E932="",E932="!!!"),"",IF(OR(J932=0,AND(J932=1,K932=1),AND(J932=1,I932="SBJ"),AND(J932=1,I932=0)),"?IN_FOCUS",IF(J932&lt;=2,"?ACTIVATED",IF(J932&lt;&gt;"","?FAMILIAR",IF(F932="NEW",IF(ISNA(VLOOKUP(E932,#REF!,1,FALSE())),"?TYPE_IDENTIFIABLE","?REFERENTIAL"),"_")))))</f>
        <v/>
      </c>
      <c r="H932" s="23" t="str">
        <f t="shared" ca="1" si="75"/>
        <v/>
      </c>
      <c r="I932" s="24" t="str">
        <f>IF(OR(E932="",E932="!!!",F932="NEW"),"",INDEX(B$2:B931,-1+SUMPRODUCT(MAX(ROW(E$2:E931)*(E932=E$2:E931)))))</f>
        <v/>
      </c>
      <c r="J932" s="24" t="str">
        <f ca="1">IF(OR(E932="",E932="!!!",F932="NEW"),"",COUNTBLANK(OFFSET(A$1,,,SUMPRODUCT(MAX(ROW(E$2:E932)*(E932=E$2:E932)))))-COUNTBLANK(OFFSET(A$1,,,SUMPRODUCT(MAX(ROW(E$1:E931)*(E2=E$1:E931))))))</f>
        <v/>
      </c>
      <c r="K932" s="24" t="str">
        <f>IF(OR(E932="",E932="!!!",F932="NEW"),"",INDEX(J$1:J931,SUMPRODUCT(MAX(ROW(E$1:E931)*(E932=E$1:E931)))))</f>
        <v/>
      </c>
      <c r="L932" s="25"/>
    </row>
    <row r="933" spans="1:12" x14ac:dyDescent="0.3">
      <c r="A933" t="s">
        <v>591</v>
      </c>
      <c r="E933" s="20" t="s">
        <v>677</v>
      </c>
      <c r="F933" s="21" t="str">
        <f>IF(OR(E933="",E933="!!!"),"",IF(NOT(ISNA(VLOOKUP(E933,E$1:E932,1,FALSE()))),"OLD",IF(AND(E933&lt;&gt;"",E933&lt;&gt;"!!!"),"NEW","")))</f>
        <v>OLD</v>
      </c>
      <c r="G933" s="22" t="s">
        <v>697</v>
      </c>
      <c r="H933" s="23" t="str">
        <f t="shared" ca="1" si="75"/>
        <v/>
      </c>
      <c r="I933" s="24" t="str">
        <f>IF(OR(E933="",E933="!!!",F933="NEW"),"",INDEX(B$2:B932,-1+SUMPRODUCT(MAX(ROW(E$2:E932)*(E933=E$2:E932)))))</f>
        <v>SBJ_2</v>
      </c>
      <c r="J933" s="24">
        <f ca="1">IF(OR(E933="",E933="!!!",F933="NEW"),"",COUNTBLANK(OFFSET(A$1,,,SUMPRODUCT(MAX(ROW(E$2:E933)*(E933=E$2:E933)))))-COUNTBLANK(OFFSET(A$1,,,SUMPRODUCT(MAX(ROW(E$1:E932)*(E2=E$1:E932))))))</f>
        <v>0</v>
      </c>
      <c r="K933" s="24">
        <f ca="1">IF(OR(E933="",E933="!!!",F933="NEW"),"",INDEX(J$1:J932,SUMPRODUCT(MAX(ROW(E$1:E932)*(E933=E$1:E932)))))</f>
        <v>0</v>
      </c>
      <c r="L933" s="25" t="s">
        <v>621</v>
      </c>
    </row>
    <row r="934" spans="1:12" x14ac:dyDescent="0.3">
      <c r="A934" t="s">
        <v>167</v>
      </c>
      <c r="E934" s="20" t="str">
        <f t="shared" si="74"/>
        <v/>
      </c>
      <c r="F934" s="21" t="str">
        <f>IF(OR(E934="",E934="!!!"),"",IF(NOT(ISNA(VLOOKUP(E934,E$1:E933,1,FALSE()))),"OLD",IF(AND(E934&lt;&gt;"",E934&lt;&gt;"!!!"),"NEW","")))</f>
        <v/>
      </c>
      <c r="G934" s="22" t="str">
        <f>IF(OR(E934="",E934="!!!"),"",IF(OR(J934=0,AND(J934=1,K934=1),AND(J934=1,I934="SBJ"),AND(J934=1,I934=0)),"?IN_FOCUS",IF(J934&lt;=2,"?ACTIVATED",IF(J934&lt;&gt;"","?FAMILIAR",IF(F934="NEW",IF(ISNA(VLOOKUP(E934,#REF!,1,FALSE())),"?TYPE_IDENTIFIABLE","?REFERENTIAL"),"_")))))</f>
        <v/>
      </c>
      <c r="H934" s="23" t="str">
        <f t="shared" ca="1" si="75"/>
        <v/>
      </c>
      <c r="I934" s="24" t="str">
        <f>IF(OR(E934="",E934="!!!",F934="NEW"),"",INDEX(B$2:B933,-1+SUMPRODUCT(MAX(ROW(E$2:E933)*(E934=E$2:E933)))))</f>
        <v/>
      </c>
      <c r="J934" s="24" t="str">
        <f ca="1">IF(OR(E934="",E934="!!!",F934="NEW"),"",COUNTBLANK(OFFSET(A$1,,,SUMPRODUCT(MAX(ROW(E$2:E934)*(E934=E$2:E934)))))-COUNTBLANK(OFFSET(A$1,,,SUMPRODUCT(MAX(ROW(E$1:E933)*(E2=E$1:E933))))))</f>
        <v/>
      </c>
      <c r="K934" s="24" t="str">
        <f>IF(OR(E934="",E934="!!!",F934="NEW"),"",INDEX(J$1:J933,SUMPRODUCT(MAX(ROW(E$1:E933)*(E934=E$1:E933)))))</f>
        <v/>
      </c>
      <c r="L934" s="25"/>
    </row>
    <row r="935" spans="1:12" x14ac:dyDescent="0.3">
      <c r="A935" t="s">
        <v>423</v>
      </c>
      <c r="E935" s="20" t="str">
        <f t="shared" si="74"/>
        <v/>
      </c>
      <c r="F935" s="21" t="str">
        <f>IF(OR(E935="",E935="!!!"),"",IF(NOT(ISNA(VLOOKUP(E935,E$1:E934,1,FALSE()))),"OLD",IF(AND(E935&lt;&gt;"",E935&lt;&gt;"!!!"),"NEW","")))</f>
        <v/>
      </c>
      <c r="G935" s="22" t="str">
        <f>IF(OR(E935="",E935="!!!"),"",IF(OR(J935=0,AND(J935=1,K935=1),AND(J935=1,I935="SBJ"),AND(J935=1,I935=0)),"?IN_FOCUS",IF(J935&lt;=2,"?ACTIVATED",IF(J935&lt;&gt;"","?FAMILIAR",IF(F935="NEW",IF(ISNA(VLOOKUP(E935,#REF!,1,FALSE())),"?TYPE_IDENTIFIABLE","?REFERENTIAL"),"_")))))</f>
        <v/>
      </c>
      <c r="H935" s="23" t="str">
        <f t="shared" ca="1" si="75"/>
        <v/>
      </c>
      <c r="I935" s="24" t="str">
        <f>IF(OR(E935="",E935="!!!",F935="NEW"),"",INDEX(B$2:B934,-1+SUMPRODUCT(MAX(ROW(E$2:E934)*(E935=E$2:E934)))))</f>
        <v/>
      </c>
      <c r="J935" s="24" t="str">
        <f ca="1">IF(OR(E935="",E935="!!!",F935="NEW"),"",COUNTBLANK(OFFSET(A$1,,,SUMPRODUCT(MAX(ROW(E$2:E935)*(E935=E$2:E935)))))-COUNTBLANK(OFFSET(A$1,,,SUMPRODUCT(MAX(ROW(E$1:E934)*(E2=E$1:E934))))))</f>
        <v/>
      </c>
      <c r="K935" s="24" t="str">
        <f>IF(OR(E935="",E935="!!!",F935="NEW"),"",INDEX(J$1:J934,SUMPRODUCT(MAX(ROW(E$1:E934)*(E935=E$1:E934)))))</f>
        <v/>
      </c>
      <c r="L935" s="25"/>
    </row>
    <row r="936" spans="1:12" x14ac:dyDescent="0.3">
      <c r="A936" t="s">
        <v>186</v>
      </c>
      <c r="E936" s="20" t="str">
        <f t="shared" si="74"/>
        <v/>
      </c>
      <c r="F936" s="21" t="str">
        <f>IF(OR(E936="",E936="!!!"),"",IF(NOT(ISNA(VLOOKUP(E936,E$1:E935,1,FALSE()))),"OLD",IF(AND(E936&lt;&gt;"",E936&lt;&gt;"!!!"),"NEW","")))</f>
        <v/>
      </c>
      <c r="G936" s="22" t="str">
        <f>IF(OR(E936="",E936="!!!"),"",IF(OR(J936=0,AND(J936=1,K936=1),AND(J936=1,I936="SBJ"),AND(J936=1,I936=0)),"?IN_FOCUS",IF(J936&lt;=2,"?ACTIVATED",IF(J936&lt;&gt;"","?FAMILIAR",IF(F936="NEW",IF(ISNA(VLOOKUP(E936,#REF!,1,FALSE())),"?TYPE_IDENTIFIABLE","?REFERENTIAL"),"_")))))</f>
        <v/>
      </c>
      <c r="H936" s="23" t="str">
        <f t="shared" ca="1" si="75"/>
        <v/>
      </c>
      <c r="I936" s="24" t="str">
        <f>IF(OR(E936="",E936="!!!",F936="NEW"),"",INDEX(B$2:B935,-1+SUMPRODUCT(MAX(ROW(E$2:E935)*(E936=E$2:E935)))))</f>
        <v/>
      </c>
      <c r="J936" s="24" t="str">
        <f ca="1">IF(OR(E936="",E936="!!!",F936="NEW"),"",COUNTBLANK(OFFSET(A$1,,,SUMPRODUCT(MAX(ROW(E$2:E936)*(E936=E$2:E936)))))-COUNTBLANK(OFFSET(A$1,,,SUMPRODUCT(MAX(ROW(E$1:E935)*(E2=E$1:E935))))))</f>
        <v/>
      </c>
      <c r="K936" s="24" t="str">
        <f>IF(OR(E936="",E936="!!!",F936="NEW"),"",INDEX(J$1:J935,SUMPRODUCT(MAX(ROW(E$1:E935)*(E936=E$1:E935)))))</f>
        <v/>
      </c>
      <c r="L936" s="25"/>
    </row>
    <row r="937" spans="1:12" x14ac:dyDescent="0.3">
      <c r="A937" t="s">
        <v>311</v>
      </c>
      <c r="B937" s="26" t="s">
        <v>372</v>
      </c>
      <c r="C937" s="26" t="s">
        <v>312</v>
      </c>
      <c r="D937" s="26" t="s">
        <v>181</v>
      </c>
      <c r="E937" s="20"/>
      <c r="F937" s="21" t="s">
        <v>628</v>
      </c>
      <c r="G937" s="22" t="str">
        <f>IF(OR(E937="",E937="!!!"),"",IF(OR(J937=0,AND(J937=1,K937=1),AND(J937=1,I937="SBJ"),AND(J937=1,I937=0)),"?IN_FOCUS",IF(J937&lt;=2,"?ACTIVATED",IF(J937&lt;&gt;"","?FAMILIAR",IF(F937="NEW",IF(ISNA(VLOOKUP(E937,#REF!,1,FALSE())),"?TYPE_IDENTIFIABLE","?REFERENTIAL"),"_")))))</f>
        <v/>
      </c>
      <c r="H937" s="23" t="str">
        <f t="shared" ca="1" si="75"/>
        <v/>
      </c>
      <c r="I937" s="24" t="str">
        <f>IF(OR(E937="",E937="!!!",F937="NEW"),"",INDEX(B$2:B936,-1+SUMPRODUCT(MAX(ROW(E$2:E936)*(E937=E$2:E936)))))</f>
        <v/>
      </c>
      <c r="J937" s="24" t="str">
        <f ca="1">IF(OR(E937="",E937="!!!",F937="NEW"),"",COUNTBLANK(OFFSET(A$1,,,SUMPRODUCT(MAX(ROW(E$2:E937)*(E937=E$2:E937)))))-COUNTBLANK(OFFSET(A$1,,,SUMPRODUCT(MAX(ROW(E$1:E936)*(E2=E$1:E936))))))</f>
        <v/>
      </c>
      <c r="K937" s="24" t="str">
        <f>IF(OR(E937="",E937="!!!",F937="NEW"),"",INDEX(J$1:J936,SUMPRODUCT(MAX(ROW(E$1:E936)*(E937=E$1:E936)))))</f>
        <v/>
      </c>
      <c r="L937" s="25"/>
    </row>
    <row r="938" spans="1:12" x14ac:dyDescent="0.3">
      <c r="A938" t="s">
        <v>606</v>
      </c>
      <c r="E938" s="20" t="str">
        <f t="shared" si="74"/>
        <v/>
      </c>
      <c r="F938" s="21" t="str">
        <f>IF(OR(E938="",E938="!!!"),"",IF(NOT(ISNA(VLOOKUP(E938,E$1:E937,1,FALSE()))),"OLD",IF(AND(E938&lt;&gt;"",E938&lt;&gt;"!!!"),"NEW","")))</f>
        <v/>
      </c>
      <c r="G938" s="22" t="str">
        <f>IF(OR(E938="",E938="!!!"),"",IF(OR(J938=0,AND(J938=1,K938=1),AND(J938=1,I938="SBJ"),AND(J938=1,I938=0)),"?IN_FOCUS",IF(J938&lt;=2,"?ACTIVATED",IF(J938&lt;&gt;"","?FAMILIAR",IF(F938="NEW",IF(ISNA(VLOOKUP(E938,#REF!,1,FALSE())),"?TYPE_IDENTIFIABLE","?REFERENTIAL"),"_")))))</f>
        <v/>
      </c>
      <c r="H938" s="23" t="str">
        <f t="shared" ca="1" si="75"/>
        <v/>
      </c>
      <c r="I938" s="24" t="str">
        <f>IF(OR(E938="",E938="!!!",F938="NEW"),"",INDEX(B$2:B937,-1+SUMPRODUCT(MAX(ROW(E$2:E937)*(E938=E$2:E937)))))</f>
        <v/>
      </c>
      <c r="J938" s="24" t="str">
        <f ca="1">IF(OR(E938="",E938="!!!",F938="NEW"),"",COUNTBLANK(OFFSET(A$1,,,SUMPRODUCT(MAX(ROW(E$2:E938)*(E938=E$2:E938)))))-COUNTBLANK(OFFSET(A$1,,,SUMPRODUCT(MAX(ROW(E$1:E937)*(E2=E$1:E937))))))</f>
        <v/>
      </c>
      <c r="K938" s="24" t="str">
        <f>IF(OR(E938="",E938="!!!",F938="NEW"),"",INDEX(J$1:J937,SUMPRODUCT(MAX(ROW(E$1:E937)*(E938=E$1:E937)))))</f>
        <v/>
      </c>
      <c r="L938" s="25"/>
    </row>
    <row r="939" spans="1:12" x14ac:dyDescent="0.3">
      <c r="A939" t="s">
        <v>378</v>
      </c>
      <c r="E939" s="20" t="str">
        <f t="shared" si="74"/>
        <v/>
      </c>
      <c r="F939" s="21" t="str">
        <f>IF(OR(E939="",E939="!!!"),"",IF(NOT(ISNA(VLOOKUP(E939,E$1:E938,1,FALSE()))),"OLD",IF(AND(E939&lt;&gt;"",E939&lt;&gt;"!!!"),"NEW","")))</f>
        <v/>
      </c>
      <c r="G939" s="22" t="str">
        <f>IF(OR(E939="",E939="!!!"),"",IF(OR(J939=0,AND(J939=1,K939=1),AND(J939=1,I939="SBJ"),AND(J939=1,I939=0)),"?IN_FOCUS",IF(J939&lt;=2,"?ACTIVATED",IF(J939&lt;&gt;"","?FAMILIAR",IF(F939="NEW",IF(ISNA(VLOOKUP(E939,#REF!,1,FALSE())),"?TYPE_IDENTIFIABLE","?REFERENTIAL"),"_")))))</f>
        <v/>
      </c>
      <c r="H939" s="23" t="str">
        <f t="shared" ca="1" si="75"/>
        <v/>
      </c>
      <c r="I939" s="24" t="str">
        <f>IF(OR(E939="",E939="!!!",F939="NEW"),"",INDEX(B$2:B938,-1+SUMPRODUCT(MAX(ROW(E$2:E938)*(E939=E$2:E938)))))</f>
        <v/>
      </c>
      <c r="J939" s="24" t="str">
        <f ca="1">IF(OR(E939="",E939="!!!",F939="NEW"),"",COUNTBLANK(OFFSET(A$1,,,SUMPRODUCT(MAX(ROW(E$2:E939)*(E939=E$2:E939)))))-COUNTBLANK(OFFSET(A$1,,,SUMPRODUCT(MAX(ROW(E$1:E938)*(E2=E$1:E938))))))</f>
        <v/>
      </c>
      <c r="K939" s="24" t="str">
        <f>IF(OR(E939="",E939="!!!",F939="NEW"),"",INDEX(J$1:J938,SUMPRODUCT(MAX(ROW(E$1:E938)*(E939=E$1:E938)))))</f>
        <v/>
      </c>
      <c r="L939" s="25"/>
    </row>
    <row r="940" spans="1:12" x14ac:dyDescent="0.3">
      <c r="A940" t="s">
        <v>379</v>
      </c>
      <c r="E940" s="20" t="str">
        <f t="shared" si="74"/>
        <v/>
      </c>
      <c r="F940" s="21" t="str">
        <f>IF(OR(E940="",E940="!!!"),"",IF(NOT(ISNA(VLOOKUP(E940,E$1:E939,1,FALSE()))),"OLD",IF(AND(E940&lt;&gt;"",E940&lt;&gt;"!!!"),"NEW","")))</f>
        <v/>
      </c>
      <c r="G940" s="22" t="str">
        <f>IF(OR(E940="",E940="!!!"),"",IF(OR(J940=0,AND(J940=1,K940=1),AND(J940=1,I940="SBJ"),AND(J940=1,I940=0)),"?IN_FOCUS",IF(J940&lt;=2,"?ACTIVATED",IF(J940&lt;&gt;"","?FAMILIAR",IF(F940="NEW",IF(ISNA(VLOOKUP(E940,#REF!,1,FALSE())),"?TYPE_IDENTIFIABLE","?REFERENTIAL"),"_")))))</f>
        <v/>
      </c>
      <c r="H940" s="23" t="str">
        <f t="shared" ca="1" si="75"/>
        <v/>
      </c>
      <c r="I940" s="24" t="str">
        <f>IF(OR(E940="",E940="!!!",F940="NEW"),"",INDEX(B$2:B939,-1+SUMPRODUCT(MAX(ROW(E$2:E939)*(E940=E$2:E939)))))</f>
        <v/>
      </c>
      <c r="J940" s="24" t="str">
        <f ca="1">IF(OR(E940="",E940="!!!",F940="NEW"),"",COUNTBLANK(OFFSET(A$1,,,SUMPRODUCT(MAX(ROW(E$2:E940)*(E940=E$2:E940)))))-COUNTBLANK(OFFSET(A$1,,,SUMPRODUCT(MAX(ROW(E$1:E939)*(E2=E$1:E939))))))</f>
        <v/>
      </c>
      <c r="K940" s="24" t="str">
        <f>IF(OR(E940="",E940="!!!",F940="NEW"),"",INDEX(J$1:J939,SUMPRODUCT(MAX(ROW(E$1:E939)*(E940=E$1:E939)))))</f>
        <v/>
      </c>
      <c r="L940" s="25"/>
    </row>
    <row r="941" spans="1:12" x14ac:dyDescent="0.3">
      <c r="A941" t="s">
        <v>201</v>
      </c>
      <c r="E941" s="20" t="str">
        <f t="shared" si="74"/>
        <v/>
      </c>
      <c r="F941" s="21" t="str">
        <f>IF(OR(E941="",E941="!!!"),"",IF(NOT(ISNA(VLOOKUP(E941,E$1:E940,1,FALSE()))),"OLD",IF(AND(E941&lt;&gt;"",E941&lt;&gt;"!!!"),"NEW","")))</f>
        <v/>
      </c>
      <c r="G941" s="22" t="str">
        <f>IF(OR(E941="",E941="!!!"),"",IF(OR(J941=0,AND(J941=1,K941=1),AND(J941=1,I941="SBJ"),AND(J941=1,I941=0)),"?IN_FOCUS",IF(J941&lt;=2,"?ACTIVATED",IF(J941&lt;&gt;"","?FAMILIAR",IF(F941="NEW",IF(ISNA(VLOOKUP(E941,#REF!,1,FALSE())),"?TYPE_IDENTIFIABLE","?REFERENTIAL"),"_")))))</f>
        <v/>
      </c>
      <c r="H941" s="23" t="str">
        <f t="shared" ca="1" si="75"/>
        <v/>
      </c>
      <c r="I941" s="24" t="str">
        <f>IF(OR(E941="",E941="!!!",F941="NEW"),"",INDEX(B$2:B940,-1+SUMPRODUCT(MAX(ROW(E$2:E940)*(E941=E$2:E940)))))</f>
        <v/>
      </c>
      <c r="J941" s="24" t="str">
        <f ca="1">IF(OR(E941="",E941="!!!",F941="NEW"),"",COUNTBLANK(OFFSET(A$1,,,SUMPRODUCT(MAX(ROW(E$2:E941)*(E941=E$2:E941)))))-COUNTBLANK(OFFSET(A$1,,,SUMPRODUCT(MAX(ROW(E$1:E940)*(E2=E$1:E940))))))</f>
        <v/>
      </c>
      <c r="K941" s="24" t="str">
        <f>IF(OR(E941="",E941="!!!",F941="NEW"),"",INDEX(J$1:J940,SUMPRODUCT(MAX(ROW(E$1:E940)*(E941=E$1:E940)))))</f>
        <v/>
      </c>
      <c r="L941" s="25"/>
    </row>
    <row r="942" spans="1:12" x14ac:dyDescent="0.3">
      <c r="A942" t="s">
        <v>423</v>
      </c>
      <c r="E942" s="20" t="str">
        <f t="shared" si="74"/>
        <v/>
      </c>
      <c r="F942" s="21" t="str">
        <f>IF(OR(E942="",E942="!!!"),"",IF(NOT(ISNA(VLOOKUP(E942,E$1:E941,1,FALSE()))),"OLD",IF(AND(E942&lt;&gt;"",E942&lt;&gt;"!!!"),"NEW","")))</f>
        <v/>
      </c>
      <c r="G942" s="22" t="str">
        <f>IF(OR(E942="",E942="!!!"),"",IF(OR(J942=0,AND(J942=1,K942=1),AND(J942=1,I942="SBJ"),AND(J942=1,I942=0)),"?IN_FOCUS",IF(J942&lt;=2,"?ACTIVATED",IF(J942&lt;&gt;"","?FAMILIAR",IF(F942="NEW",IF(ISNA(VLOOKUP(E942,#REF!,1,FALSE())),"?TYPE_IDENTIFIABLE","?REFERENTIAL"),"_")))))</f>
        <v/>
      </c>
      <c r="H942" s="23" t="str">
        <f t="shared" ca="1" si="75"/>
        <v/>
      </c>
      <c r="I942" s="24" t="str">
        <f>IF(OR(E942="",E942="!!!",F942="NEW"),"",INDEX(B$2:B941,-1+SUMPRODUCT(MAX(ROW(E$2:E941)*(E942=E$2:E941)))))</f>
        <v/>
      </c>
      <c r="J942" s="24" t="str">
        <f ca="1">IF(OR(E942="",E942="!!!",F942="NEW"),"",COUNTBLANK(OFFSET(A$1,,,SUMPRODUCT(MAX(ROW(E$2:E942)*(E942=E$2:E942)))))-COUNTBLANK(OFFSET(A$1,,,SUMPRODUCT(MAX(ROW(E$1:E941)*(E2=E$1:E941))))))</f>
        <v/>
      </c>
      <c r="K942" s="24" t="str">
        <f>IF(OR(E942="",E942="!!!",F942="NEW"),"",INDEX(J$1:J941,SUMPRODUCT(MAX(ROW(E$1:E941)*(E942=E$1:E941)))))</f>
        <v/>
      </c>
      <c r="L942"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2024-12-05T17:54:43Z</dcterms:created>
  <dcterms:modified xsi:type="dcterms:W3CDTF">2025-08-25T12:13:36Z</dcterms:modified>
</cp:coreProperties>
</file>