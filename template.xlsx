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<sst xmlns="http://schemas.openxmlformats.org/spreadsheetml/2006/main" count="12" uniqueCount="12">
  <si>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</si>
  <si>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</si>
  <si>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</si>
  <si>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</si>
  <si>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</si>
  <si>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</si>
  <si>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</si>
  <si>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</si>
  <si>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</si>
  <si>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</si>
  <si>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</si>
  <si>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COMMENT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</si>
</sst>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F5CE"/>
        <bgColor rgb="FFEEEEEE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EEEEEE"/>
      </patternFill>
    </fill>
    <fill>
      <patternFill patternType="solid">
        <fgColor rgb="FFE0C2CD"/>
        <bgColor rgb="FFB4C7DC"/>
      </patternFill>
    </fill>
    <fill>
      <patternFill patternType="solid">
        <fgColor rgb="FFEEEEEE"/>
        <bgColor rgb="FFDEE6EF"/>
      </patternFill>
    </fill>
    <fill>
      <patternFill patternType="solid">
        <fgColor rgb="FFB4C7DC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general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G2177" activePane="bottomRight" state="frozen"/>
      <selection pane="topLeft" activeCell="A1" activeCellId="0" sqref="A1"/>
      <selection pane="topRight" activeCell="G1" activeCellId="0" sqref="G1"/>
      <selection pane="bottomLeft" activeCell="A2177" activeCellId="0" sqref="A2177"/>
      <selection pane="bottomRight" activeCell="A4" activeCellId="0" sqref="A4"/>
    </sheetView>
  </sheetViews>
  <sheetFormatPr defaultColWidth="11.5703125" defaultRowHeight="12.8" zeroHeight="false" outlineLevelRow="0" outlineLevelCol="0"/>
  <cols>
    <col collapsed="false" customWidth="true" hidden="false" outlineLevel="0" max="5" min="5" style="0" width="16.11"/>
    <col collapsed="false" customWidth="false" hidden="true" outlineLevel="0" max="10" min="9" style="0" width="11.54"/>
    <col collapsed="false" customWidth="true" hidden="true" outlineLevel="0" max="11" min="11" style="0" width="18.89"/>
    <col collapsed="false" customWidth="true" hidden="false" outlineLevel="0" max="12" min="12" style="0" width="46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</row>
    <row r="2" customFormat="false" ht="12.8" hidden="false" customHeight="false" outlineLevel="0" collapsed="false">
      <c r="B2" s="9"/>
      <c r="E2" s="10" t="str">
        <f aca="false">IF(D2="?OLD","!!!","")</f>
        <v/>
      </c>
      <c r="F2" s="11" t="str">
        <f aca="false">IF(OR(E2="",E2="!!!"),"",IF(NOT(ISNA(VLOOKUP(E2,E$1:E1,1,FALSE()))),"OLD",IF(AND(E2&lt;&gt;"",E2&lt;&gt;"!!!"),"NEW","")))</f>
        <v/>
      </c>
      <c r="G2" s="12" t="str">
        <f aca="false">IF(OR(E2="",E2="!!!"),"",IF(OR(J2=0,AND(J2=1,K2=1),AND(J2=1,I2="SBJ"),AND(J2=1,I2=0)),"?IN_FOCUS",IF(J2&lt;=2,"?ACTIVATED",IF(J2&lt;&gt;"","?FAMILIAR",IF(F2="NEW",IF(ISNA(VLOOKUP(E2,#REF!,1,FALSE())),"?TYPE_IDENTIFIABLE","?REFERENTIAL"),"_")))))</f>
        <v/>
      </c>
      <c r="H2" s="13" t="str">
        <f aca="false">IF(J2&lt;&gt;1,"",IF(I2="SBJ","CB","?"))</f>
        <v/>
      </c>
      <c r="I2" s="14" t="str">
        <f aca="false">IF(OR(E2="",E2="!!!",F2="NEW"),"",INDEX(B1:B$2,-1+SUMPRODUCT(MAX(ROW(E1:E$2)*(E2=E1:E$2)))))</f>
        <v/>
      </c>
      <c r="J2" s="15" t="str">
        <f aca="true">IF(OR(E2="",E2="!!!",F2="NEW"),"",COUNTBLANK(OFFSET(A$1,,,SUMPRODUCT(MAX(ROW(E$2:E2)*(E2=E$2:E2)))))-COUNTBLANK(OFFSET(A$1,,,SUMPRODUCT(MAX(ROW(E$1:E1)*(E2=E$1:E1))))))</f>
        <v/>
      </c>
      <c r="K2" s="15" t="str">
        <f aca="false">IF(OR(E2="",E2="!!!",F2="NEW"),"",INDEX(J$1:J1,SUMPRODUCT(MAX(ROW(E$1:E1)*(E2=E$1:E1)))))</f>
        <v/>
      </c>
      <c r="L2" s="16"/>
    </row>
    <row r="3" customFormat="false" ht="12.8" hidden="false" customHeight="false" outlineLevel="0" collapsed="false">
      <c r="B3" s="9"/>
      <c r="E3" s="10" t="str">
        <f aca="false">IF(D3="?OLD","!!!","")</f>
        <v/>
      </c>
      <c r="F3" s="11" t="str">
        <f aca="false">IF(OR(E3="",E3="!!!"),"",IF(NOT(ISNA(VLOOKUP(E3,E$1:E2,1,FALSE()))),"OLD",IF(AND(E3&lt;&gt;"",E3&lt;&gt;"!!!"),"NEW","")))</f>
        <v/>
      </c>
      <c r="G3" s="12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13" t="str">
        <f aca="false">IF(J3&lt;&gt;1,"",IF(I3="SBJ","CB","?"))</f>
        <v/>
      </c>
      <c r="I3" s="14" t="str">
        <f aca="false">IF(OR(E3="",E3="!!!",F3="NEW"),"",INDEX(B$2:B2,-1+SUMPRODUCT(MAX(ROW(E$2:E2)*(E3=E$2:E2)))))</f>
        <v/>
      </c>
      <c r="J3" s="15" t="str">
        <f aca="true">IF(OR(E3="",E3="!!!",F3="NEW"),"",COUNTBLANK(OFFSET(A$1,,,SUMPRODUCT(MAX(ROW(E$2:E3)*(E3=E$2:E3)))))-COUNTBLANK(OFFSET(A$1,,,SUMPRODUCT(MAX(ROW(E$1:E2)*(E3=E$1:E2))))))</f>
        <v/>
      </c>
      <c r="K3" s="15" t="str">
        <f aca="false">IF(OR(E3="",E3="!!!",F3="NEW"),"",INDEX(J$1:J2,SUMPRODUCT(MAX(ROW(E$1:E2)*(E3=E$1:E2)))))</f>
        <v/>
      </c>
      <c r="L3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2023-05-24T18:06:49Z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